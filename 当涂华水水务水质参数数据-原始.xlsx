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210"/>
  </bookViews>
  <sheets>
    <sheet name="2024" sheetId="1" r:id="rId1"/>
    <sheet name="Sheet1" sheetId="14" r:id="rId2"/>
  </sheets>
  <calcPr calcId="144525"/>
</workbook>
</file>

<file path=xl/sharedStrings.xml><?xml version="1.0" encoding="utf-8"?>
<sst xmlns="http://schemas.openxmlformats.org/spreadsheetml/2006/main" count="39" uniqueCount="17">
  <si>
    <r>
      <rPr>
        <b/>
        <sz val="20"/>
        <rFont val="宋体"/>
        <charset val="134"/>
      </rPr>
      <t xml:space="preserve">     </t>
    </r>
    <r>
      <rPr>
        <b/>
        <sz val="20"/>
        <rFont val="宋体"/>
        <charset val="134"/>
      </rPr>
      <t xml:space="preserve"> 当涂华水水务有限公司污水分公司水质日检项目月报表</t>
    </r>
  </si>
  <si>
    <t xml:space="preserve"> 年月</t>
  </si>
  <si>
    <t>全年</t>
  </si>
  <si>
    <t xml:space="preserve">     项目
日期</t>
  </si>
  <si>
    <r>
      <rPr>
        <sz val="10"/>
        <rFont val="宋体"/>
        <charset val="134"/>
      </rPr>
      <t>进水（m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</si>
  <si>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归一化</t>
  </si>
  <si>
    <r>
      <rPr>
        <sz val="10"/>
        <rFont val="宋体"/>
        <charset val="134"/>
      </rPr>
      <t>出水（m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</si>
  <si>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进出水水质指标</t>
  </si>
  <si>
    <t>进水指标（mg/l；pH值：无量纲）</t>
  </si>
  <si>
    <t>出水指标（mg/l；pH值：无量纲）</t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</si>
  <si>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</si>
  <si>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t>SS</t>
  </si>
  <si>
    <t>COD</t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</si>
  <si>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</si>
  <si>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t>TN</t>
  </si>
  <si>
    <t>TP</t>
  </si>
  <si>
    <t>pH值</t>
  </si>
</sst>
</file>

<file path=xl/styles.xml><?xml version="1.0" encoding="utf-8"?>
<styleSheet xmlns="http://schemas.openxmlformats.org/spreadsheetml/2006/main">
  <numFmts count="13">
    <numFmt numFmtId="176" formatCode="0.00_);[Red]\(0.00\)"/>
    <numFmt numFmtId="177" formatCode="0.0_);[Red]\(0.0\)"/>
    <numFmt numFmtId="178" formatCode="0.000"/>
    <numFmt numFmtId="179" formatCode="0_);[Red]\(0\)"/>
    <numFmt numFmtId="180" formatCode="0.00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81" formatCode="0.000_ "/>
    <numFmt numFmtId="182" formatCode="0.0"/>
    <numFmt numFmtId="183" formatCode="0.00;[Red]0.00"/>
    <numFmt numFmtId="184" formatCode="0.000_);[Red]\(0.000\)"/>
  </numFmts>
  <fonts count="36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</font>
    <font>
      <sz val="9"/>
      <color indexed="8"/>
      <name val="宋体"/>
      <charset val="134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0"/>
      <name val="宋体"/>
      <charset val="134"/>
    </font>
    <font>
      <b/>
      <sz val="20"/>
      <color rgb="FFFF0000"/>
      <name val="宋体"/>
      <charset val="134"/>
    </font>
    <font>
      <sz val="10"/>
      <color rgb="FFFF0000"/>
      <name val="宋体"/>
      <charset val="134"/>
    </font>
    <font>
      <sz val="10"/>
      <color indexed="8"/>
      <name val="宋体"/>
      <charset val="134"/>
    </font>
    <font>
      <sz val="9"/>
      <color rgb="FFFF0000"/>
      <name val="宋体"/>
      <charset val="134"/>
      <scheme val="minor"/>
    </font>
    <font>
      <sz val="9"/>
      <color rgb="FFFF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4" fillId="2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20" fillId="15" borderId="12" applyNumberFormat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2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4" fillId="0" borderId="0"/>
  </cellStyleXfs>
  <cellXfs count="72">
    <xf numFmtId="0" fontId="0" fillId="0" borderId="0" xfId="0">
      <alignment vertical="center"/>
    </xf>
    <xf numFmtId="179" fontId="1" fillId="0" borderId="1" xfId="0" applyNumberFormat="1" applyFon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76" fontId="1" fillId="0" borderId="1" xfId="32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181" fontId="6" fillId="0" borderId="0" xfId="0" applyNumberFormat="1" applyFont="1">
      <alignment vertical="center"/>
    </xf>
    <xf numFmtId="0" fontId="7" fillId="0" borderId="1" xfId="50" applyFont="1" applyBorder="1" applyAlignment="1">
      <alignment horizontal="center" vertical="center"/>
    </xf>
    <xf numFmtId="0" fontId="8" fillId="0" borderId="1" xfId="50" applyFont="1" applyBorder="1" applyAlignment="1">
      <alignment horizontal="center" vertical="center"/>
    </xf>
    <xf numFmtId="0" fontId="4" fillId="0" borderId="2" xfId="50" applyFont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 wrapText="1"/>
    </xf>
    <xf numFmtId="0" fontId="4" fillId="2" borderId="3" xfId="50" applyFont="1" applyFill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/>
    </xf>
    <xf numFmtId="0" fontId="9" fillId="0" borderId="1" xfId="50" applyFont="1" applyBorder="1" applyAlignment="1">
      <alignment horizontal="center" vertical="center"/>
    </xf>
    <xf numFmtId="0" fontId="4" fillId="0" borderId="2" xfId="50" applyFont="1" applyBorder="1" applyAlignment="1">
      <alignment horizontal="center" vertical="center"/>
    </xf>
    <xf numFmtId="0" fontId="4" fillId="2" borderId="4" xfId="50" applyFont="1" applyFill="1" applyBorder="1" applyAlignment="1">
      <alignment horizontal="center" vertical="center" wrapText="1"/>
    </xf>
    <xf numFmtId="0" fontId="4" fillId="3" borderId="5" xfId="50" applyFont="1" applyFill="1" applyBorder="1" applyAlignment="1">
      <alignment horizontal="center" vertical="center"/>
    </xf>
    <xf numFmtId="0" fontId="9" fillId="3" borderId="6" xfId="50" applyFont="1" applyFill="1" applyBorder="1" applyAlignment="1">
      <alignment horizontal="center" vertical="center"/>
    </xf>
    <xf numFmtId="0" fontId="4" fillId="3" borderId="6" xfId="50" applyFont="1" applyFill="1" applyBorder="1" applyAlignment="1">
      <alignment horizontal="center" vertical="center"/>
    </xf>
    <xf numFmtId="0" fontId="4" fillId="2" borderId="7" xfId="50" applyFont="1" applyFill="1" applyBorder="1" applyAlignment="1">
      <alignment horizontal="center" vertical="center" wrapText="1"/>
    </xf>
    <xf numFmtId="0" fontId="10" fillId="0" borderId="1" xfId="50" applyFont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179" fontId="10" fillId="0" borderId="1" xfId="50" applyNumberFormat="1" applyFont="1" applyBorder="1" applyAlignment="1">
      <alignment horizontal="center" vertical="center"/>
    </xf>
    <xf numFmtId="58" fontId="1" fillId="0" borderId="1" xfId="50" applyNumberFormat="1" applyFont="1" applyBorder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84" fontId="12" fillId="0" borderId="1" xfId="0" applyNumberFormat="1" applyFont="1" applyBorder="1" applyAlignment="1">
      <alignment horizontal="center" vertical="center"/>
    </xf>
    <xf numFmtId="179" fontId="4" fillId="2" borderId="1" xfId="50" applyNumberFormat="1" applyFont="1" applyFill="1" applyBorder="1" applyAlignment="1">
      <alignment horizontal="center" vertical="center"/>
    </xf>
    <xf numFmtId="177" fontId="10" fillId="0" borderId="1" xfId="50" applyNumberFormat="1" applyFont="1" applyBorder="1" applyAlignment="1">
      <alignment horizontal="center" vertical="center"/>
    </xf>
    <xf numFmtId="177" fontId="4" fillId="2" borderId="1" xfId="5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81" fontId="8" fillId="0" borderId="1" xfId="50" applyNumberFormat="1" applyFont="1" applyBorder="1" applyAlignment="1">
      <alignment horizontal="center" vertical="center"/>
    </xf>
    <xf numFmtId="181" fontId="9" fillId="0" borderId="1" xfId="50" applyNumberFormat="1" applyFont="1" applyBorder="1" applyAlignment="1">
      <alignment horizontal="center" vertical="center"/>
    </xf>
    <xf numFmtId="0" fontId="9" fillId="3" borderId="8" xfId="50" applyFont="1" applyFill="1" applyBorder="1" applyAlignment="1">
      <alignment horizontal="center" vertical="center"/>
    </xf>
    <xf numFmtId="0" fontId="4" fillId="4" borderId="1" xfId="50" applyFont="1" applyFill="1" applyBorder="1" applyAlignment="1">
      <alignment horizontal="center" vertical="center"/>
    </xf>
    <xf numFmtId="0" fontId="9" fillId="4" borderId="1" xfId="50" applyFont="1" applyFill="1" applyBorder="1" applyAlignment="1">
      <alignment horizontal="center" vertical="center"/>
    </xf>
    <xf numFmtId="181" fontId="9" fillId="4" borderId="1" xfId="50" applyNumberFormat="1" applyFont="1" applyFill="1" applyBorder="1" applyAlignment="1">
      <alignment horizontal="center" vertical="center"/>
    </xf>
    <xf numFmtId="176" fontId="10" fillId="0" borderId="1" xfId="50" applyNumberFormat="1" applyFont="1" applyBorder="1" applyAlignment="1">
      <alignment horizontal="center" vertical="center"/>
    </xf>
    <xf numFmtId="176" fontId="4" fillId="2" borderId="1" xfId="50" applyNumberFormat="1" applyFont="1" applyFill="1" applyBorder="1" applyAlignment="1">
      <alignment horizontal="center" vertical="center"/>
    </xf>
    <xf numFmtId="181" fontId="4" fillId="2" borderId="1" xfId="50" applyNumberFormat="1" applyFont="1" applyFill="1" applyBorder="1" applyAlignment="1">
      <alignment horizontal="center" vertical="center"/>
    </xf>
    <xf numFmtId="181" fontId="12" fillId="0" borderId="1" xfId="0" applyNumberFormat="1" applyFont="1" applyBorder="1" applyAlignment="1">
      <alignment horizontal="center" vertical="center"/>
    </xf>
    <xf numFmtId="184" fontId="11" fillId="0" borderId="1" xfId="0" applyNumberFormat="1" applyFont="1" applyBorder="1" applyAlignment="1">
      <alignment horizontal="center" vertical="center"/>
    </xf>
    <xf numFmtId="177" fontId="13" fillId="0" borderId="1" xfId="50" applyNumberFormat="1" applyFont="1" applyBorder="1" applyAlignment="1">
      <alignment horizontal="center"/>
    </xf>
    <xf numFmtId="184" fontId="12" fillId="0" borderId="1" xfId="0" applyNumberFormat="1" applyFont="1" applyBorder="1" applyAlignment="1">
      <alignment horizontal="center" vertical="center" shrinkToFit="1"/>
    </xf>
    <xf numFmtId="57" fontId="14" fillId="0" borderId="1" xfId="50" applyNumberFormat="1" applyFont="1" applyBorder="1" applyAlignment="1">
      <alignment horizontal="center"/>
    </xf>
    <xf numFmtId="0" fontId="14" fillId="0" borderId="0" xfId="0" applyFont="1">
      <alignment vertical="center"/>
    </xf>
    <xf numFmtId="183" fontId="3" fillId="0" borderId="0" xfId="5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0" fontId="3" fillId="0" borderId="0" xfId="5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10" fillId="0" borderId="0" xfId="5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78" fontId="12" fillId="0" borderId="1" xfId="5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84" fontId="12" fillId="0" borderId="1" xfId="32" applyNumberFormat="1" applyFont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常规 21" xfId="32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Sheet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70"/>
  <sheetViews>
    <sheetView tabSelected="1" topLeftCell="A189" workbookViewId="0">
      <selection activeCell="AI17" sqref="AI17"/>
    </sheetView>
  </sheetViews>
  <sheetFormatPr defaultColWidth="9" defaultRowHeight="14"/>
  <cols>
    <col min="1" max="1" width="14.1363636363636" customWidth="1"/>
    <col min="2" max="2" width="8.6" customWidth="1"/>
    <col min="3" max="3" width="8.6" style="20" customWidth="1"/>
    <col min="4" max="4" width="9" customWidth="1"/>
    <col min="5" max="5" width="9" style="20" customWidth="1"/>
    <col min="6" max="6" width="7.4" customWidth="1"/>
    <col min="7" max="7" width="7.4" style="20" customWidth="1"/>
    <col min="9" max="9" width="9" style="20"/>
    <col min="11" max="11" width="9" style="20"/>
    <col min="12" max="12" width="8.26363636363636" customWidth="1"/>
    <col min="13" max="13" width="8.26363636363636" style="20" customWidth="1"/>
    <col min="14" max="14" width="7.13636363636364" customWidth="1"/>
    <col min="15" max="15" width="7.13636363636364" style="20" customWidth="1"/>
    <col min="16" max="16" width="9.6"/>
    <col min="17" max="17" width="9" style="20"/>
    <col min="18" max="18" width="9.6"/>
    <col min="19" max="19" width="9" style="20"/>
    <col min="20" max="20" width="7.13636363636364" customWidth="1"/>
    <col min="21" max="21" width="7.13636363636364" style="20" customWidth="1"/>
    <col min="22" max="22" width="8.13636363636364" customWidth="1"/>
    <col min="23" max="23" width="8.13636363636364" style="21" customWidth="1"/>
    <col min="24" max="24" width="8.13636363636364" customWidth="1"/>
    <col min="25" max="25" width="8.13636363636364" style="20" customWidth="1"/>
    <col min="26" max="26" width="8.4" customWidth="1"/>
    <col min="27" max="27" width="8.4" style="20" customWidth="1"/>
    <col min="28" max="28" width="7.86363636363636" customWidth="1"/>
    <col min="29" max="29" width="7.86363636363636" style="20" customWidth="1"/>
    <col min="30" max="30" width="7.86363636363636" customWidth="1"/>
    <col min="31" max="31" width="7.86363636363636" style="20" customWidth="1"/>
    <col min="32" max="32" width="8" customWidth="1"/>
    <col min="33" max="33" width="10.6" style="20" customWidth="1"/>
  </cols>
  <sheetData>
    <row r="1" ht="25.5" spans="1:39">
      <c r="A1" s="22" t="s">
        <v>0</v>
      </c>
      <c r="B1" s="22"/>
      <c r="C1" s="23"/>
      <c r="D1" s="22"/>
      <c r="E1" s="23"/>
      <c r="F1" s="22"/>
      <c r="G1" s="23"/>
      <c r="H1" s="22"/>
      <c r="I1" s="23"/>
      <c r="J1" s="22"/>
      <c r="K1" s="23"/>
      <c r="L1" s="22"/>
      <c r="M1" s="23"/>
      <c r="N1" s="22"/>
      <c r="O1" s="23"/>
      <c r="P1" s="22"/>
      <c r="Q1" s="23"/>
      <c r="R1" s="22"/>
      <c r="S1" s="23"/>
      <c r="T1" s="22"/>
      <c r="U1" s="23"/>
      <c r="V1" s="22"/>
      <c r="W1" s="45"/>
      <c r="X1" s="22"/>
      <c r="Y1" s="23"/>
      <c r="Z1" s="22"/>
      <c r="AA1" s="23"/>
      <c r="AB1" s="22"/>
      <c r="AC1" s="23"/>
      <c r="AD1" s="22"/>
      <c r="AE1" s="23"/>
      <c r="AF1" s="56" t="s">
        <v>1</v>
      </c>
      <c r="AG1" s="58" t="s">
        <v>2</v>
      </c>
      <c r="AH1" s="59"/>
      <c r="AI1" s="59"/>
      <c r="AJ1" s="59"/>
      <c r="AK1" s="59"/>
      <c r="AL1" s="59"/>
      <c r="AM1" s="59"/>
    </row>
    <row r="2" ht="15" spans="1:39">
      <c r="A2" s="24" t="s">
        <v>3</v>
      </c>
      <c r="B2" s="25" t="s">
        <v>4</v>
      </c>
      <c r="C2" s="26" t="s">
        <v>5</v>
      </c>
      <c r="D2" s="25" t="s">
        <v>6</v>
      </c>
      <c r="E2" s="26" t="s">
        <v>5</v>
      </c>
      <c r="F2" s="27" t="s">
        <v>7</v>
      </c>
      <c r="G2" s="28"/>
      <c r="H2" s="27"/>
      <c r="I2" s="28"/>
      <c r="J2" s="27"/>
      <c r="K2" s="28"/>
      <c r="L2" s="27"/>
      <c r="M2" s="28"/>
      <c r="N2" s="27"/>
      <c r="O2" s="28"/>
      <c r="P2" s="27"/>
      <c r="Q2" s="28"/>
      <c r="R2" s="27"/>
      <c r="S2" s="28"/>
      <c r="T2" s="27"/>
      <c r="U2" s="28"/>
      <c r="V2" s="27"/>
      <c r="W2" s="46"/>
      <c r="X2" s="27"/>
      <c r="Y2" s="28"/>
      <c r="Z2" s="27"/>
      <c r="AA2" s="28"/>
      <c r="AB2" s="27"/>
      <c r="AC2" s="28"/>
      <c r="AD2" s="27"/>
      <c r="AE2" s="28"/>
      <c r="AF2" s="27"/>
      <c r="AG2" s="28"/>
      <c r="AH2" s="59"/>
      <c r="AI2" s="59"/>
      <c r="AJ2" s="59"/>
      <c r="AK2" s="59"/>
      <c r="AL2" s="59"/>
      <c r="AM2" s="59"/>
    </row>
    <row r="3" ht="15" spans="1:39">
      <c r="A3" s="29"/>
      <c r="B3" s="27"/>
      <c r="C3" s="30"/>
      <c r="D3" s="27"/>
      <c r="E3" s="30"/>
      <c r="F3" s="31" t="s">
        <v>8</v>
      </c>
      <c r="G3" s="32"/>
      <c r="H3" s="33"/>
      <c r="I3" s="32"/>
      <c r="J3" s="33"/>
      <c r="K3" s="32"/>
      <c r="L3" s="33"/>
      <c r="M3" s="32"/>
      <c r="N3" s="33"/>
      <c r="O3" s="32"/>
      <c r="P3" s="33"/>
      <c r="Q3" s="32"/>
      <c r="R3" s="33"/>
      <c r="S3" s="47"/>
      <c r="T3" s="48" t="s">
        <v>9</v>
      </c>
      <c r="U3" s="49"/>
      <c r="V3" s="48"/>
      <c r="W3" s="50"/>
      <c r="X3" s="48"/>
      <c r="Y3" s="49"/>
      <c r="Z3" s="48"/>
      <c r="AA3" s="49"/>
      <c r="AB3" s="48"/>
      <c r="AC3" s="49"/>
      <c r="AD3" s="48"/>
      <c r="AE3" s="49"/>
      <c r="AF3" s="48"/>
      <c r="AG3" s="49"/>
      <c r="AH3" s="59"/>
      <c r="AI3" s="59"/>
      <c r="AJ3" s="59"/>
      <c r="AK3" s="59"/>
      <c r="AL3" s="59"/>
      <c r="AM3" s="59"/>
    </row>
    <row r="4" ht="15.5" spans="1:39">
      <c r="A4" s="29"/>
      <c r="B4" s="27"/>
      <c r="C4" s="34"/>
      <c r="D4" s="27"/>
      <c r="E4" s="34"/>
      <c r="F4" s="35" t="s">
        <v>10</v>
      </c>
      <c r="G4" s="36" t="s">
        <v>5</v>
      </c>
      <c r="H4" s="37" t="s">
        <v>11</v>
      </c>
      <c r="I4" s="41" t="s">
        <v>5</v>
      </c>
      <c r="J4" s="37" t="s">
        <v>12</v>
      </c>
      <c r="K4" s="41" t="s">
        <v>5</v>
      </c>
      <c r="L4" s="42" t="s">
        <v>13</v>
      </c>
      <c r="M4" s="43" t="s">
        <v>5</v>
      </c>
      <c r="N4" s="35" t="s">
        <v>14</v>
      </c>
      <c r="O4" s="36" t="s">
        <v>5</v>
      </c>
      <c r="P4" s="35" t="s">
        <v>15</v>
      </c>
      <c r="Q4" s="36" t="s">
        <v>5</v>
      </c>
      <c r="R4" s="51" t="s">
        <v>16</v>
      </c>
      <c r="S4" s="52" t="s">
        <v>5</v>
      </c>
      <c r="T4" s="37" t="s">
        <v>10</v>
      </c>
      <c r="U4" s="41" t="s">
        <v>5</v>
      </c>
      <c r="V4" s="37" t="s">
        <v>11</v>
      </c>
      <c r="W4" s="53" t="s">
        <v>5</v>
      </c>
      <c r="X4" s="37" t="s">
        <v>12</v>
      </c>
      <c r="Y4" s="41" t="s">
        <v>5</v>
      </c>
      <c r="Z4" s="42" t="s">
        <v>13</v>
      </c>
      <c r="AA4" s="43" t="s">
        <v>5</v>
      </c>
      <c r="AB4" s="51" t="s">
        <v>14</v>
      </c>
      <c r="AC4" s="52" t="s">
        <v>5</v>
      </c>
      <c r="AD4" s="35" t="s">
        <v>15</v>
      </c>
      <c r="AE4" s="36" t="s">
        <v>5</v>
      </c>
      <c r="AF4" s="35" t="s">
        <v>16</v>
      </c>
      <c r="AG4" s="43" t="s">
        <v>5</v>
      </c>
      <c r="AH4" s="60"/>
      <c r="AI4" s="61"/>
      <c r="AJ4" s="62"/>
      <c r="AK4" s="62"/>
      <c r="AL4" s="59"/>
      <c r="AM4" s="63"/>
    </row>
    <row r="5" spans="1:39">
      <c r="A5" s="38">
        <v>45292</v>
      </c>
      <c r="B5" s="1">
        <v>47128</v>
      </c>
      <c r="C5" s="39">
        <v>0.461133400200602</v>
      </c>
      <c r="D5" s="1">
        <v>46544.7202455</v>
      </c>
      <c r="E5" s="40">
        <v>0.470076930570818</v>
      </c>
      <c r="F5" s="10">
        <v>104.3</v>
      </c>
      <c r="G5" s="40">
        <v>0.701262272089762</v>
      </c>
      <c r="H5" s="4">
        <v>254.566958882609</v>
      </c>
      <c r="I5" s="40">
        <v>0.668803599982545</v>
      </c>
      <c r="J5" s="4">
        <v>178.056522543478</v>
      </c>
      <c r="K5" s="40">
        <v>0.189391192036303</v>
      </c>
      <c r="L5" s="4">
        <v>23.102578307605</v>
      </c>
      <c r="M5" s="40">
        <v>0.290379555190245</v>
      </c>
      <c r="N5" s="13">
        <v>32.8</v>
      </c>
      <c r="O5" s="44">
        <v>0.406374501992032</v>
      </c>
      <c r="P5" s="6">
        <v>3.52</v>
      </c>
      <c r="Q5" s="40">
        <v>0.371428571428571</v>
      </c>
      <c r="R5" s="4">
        <v>6.46425834583333</v>
      </c>
      <c r="S5" s="40">
        <v>0.192729283509699</v>
      </c>
      <c r="T5" s="11">
        <v>4.3</v>
      </c>
      <c r="U5" s="40">
        <v>0.382352941176471</v>
      </c>
      <c r="V5" s="4">
        <v>1.80808023470158</v>
      </c>
      <c r="W5" s="54">
        <f>ROUND((V5-MIN($V$5:$V$370))/(MAX($V$5:$V$370)-MIN($V$5:$V$2370)),12)</f>
        <v>0.631110243043</v>
      </c>
      <c r="X5" s="4">
        <v>14.2627332833333</v>
      </c>
      <c r="Y5" s="40">
        <v>0.371022738544165</v>
      </c>
      <c r="Z5" s="4">
        <v>0.8845</v>
      </c>
      <c r="AA5" s="40">
        <v>0.178625</v>
      </c>
      <c r="AB5" s="9">
        <v>12.966608673913</v>
      </c>
      <c r="AC5" s="57">
        <v>0.917596480214944</v>
      </c>
      <c r="AD5" s="9">
        <v>0.0897304347826087</v>
      </c>
      <c r="AE5" s="57">
        <f>ROUND((AD5-MIN($AD$5:$AD$370))/(MAX($AD$5:$AD$370)-MIN($AD$5:$AD$2370)),12)</f>
        <v>0</v>
      </c>
      <c r="AF5" s="4">
        <v>6.269549975</v>
      </c>
      <c r="AG5" s="44">
        <v>0.0533035565476194</v>
      </c>
      <c r="AH5" s="64"/>
      <c r="AI5" s="65"/>
      <c r="AJ5" s="65"/>
      <c r="AK5" s="65"/>
      <c r="AL5" s="66"/>
      <c r="AM5" s="67"/>
    </row>
    <row r="6" spans="1:39">
      <c r="A6" s="38">
        <v>45293</v>
      </c>
      <c r="B6" s="1">
        <v>46125</v>
      </c>
      <c r="C6" s="39">
        <v>0.429695336008024</v>
      </c>
      <c r="D6" s="1">
        <v>44142.9799501</v>
      </c>
      <c r="E6" s="40">
        <v>0.396763734740537</v>
      </c>
      <c r="F6" s="10">
        <v>103.8</v>
      </c>
      <c r="G6" s="40">
        <v>0.694249649368864</v>
      </c>
      <c r="H6" s="4">
        <v>254.680002216667</v>
      </c>
      <c r="I6" s="40">
        <v>0.670222138495005</v>
      </c>
      <c r="J6" s="4">
        <v>181.174998595833</v>
      </c>
      <c r="K6" s="40">
        <v>0.196980017511092</v>
      </c>
      <c r="L6" s="4">
        <v>27.2023170912137</v>
      </c>
      <c r="M6" s="40">
        <v>0.411208873893714</v>
      </c>
      <c r="N6" s="13">
        <v>31.8</v>
      </c>
      <c r="O6" s="44">
        <v>0.366533864541833</v>
      </c>
      <c r="P6" s="6">
        <v>5.18</v>
      </c>
      <c r="Q6" s="40">
        <v>0.802597402597403</v>
      </c>
      <c r="R6" s="4">
        <v>6.50229165833333</v>
      </c>
      <c r="S6" s="40">
        <v>0.212852729276894</v>
      </c>
      <c r="T6" s="10">
        <v>4.2</v>
      </c>
      <c r="U6" s="40">
        <v>0.352941176470588</v>
      </c>
      <c r="V6" s="4">
        <v>1.72490400439535</v>
      </c>
      <c r="W6" s="54">
        <f t="shared" ref="W6:W69" si="0">ROUND((V6-MIN($V$5:$V$370))/(MAX($V$5:$V$370)-MIN($V$5:$V$2370)),12)</f>
        <v>0.601819980839</v>
      </c>
      <c r="X6" s="4">
        <v>11.0690666125</v>
      </c>
      <c r="Y6" s="40">
        <v>0.261538108073363</v>
      </c>
      <c r="Z6" s="4">
        <v>0.474249995833333</v>
      </c>
      <c r="AA6" s="40">
        <v>0.0760624989583333</v>
      </c>
      <c r="AB6" s="9">
        <v>12.4945000416667</v>
      </c>
      <c r="AC6" s="57">
        <v>0.864550566479405</v>
      </c>
      <c r="AD6" s="9">
        <v>0.140316666666667</v>
      </c>
      <c r="AE6" s="57">
        <f t="shared" ref="AE6:AE69" si="1">ROUND((AD6-MIN($AD$5:$AD$370))/(MAX($AD$5:$AD$370)-MIN($AD$5:$AD$2370)),12)</f>
        <v>0.117470865344</v>
      </c>
      <c r="AF6" s="4">
        <v>6.31487505</v>
      </c>
      <c r="AG6" s="44">
        <v>0.0802827678571432</v>
      </c>
      <c r="AH6" s="64"/>
      <c r="AI6" s="65"/>
      <c r="AJ6" s="65"/>
      <c r="AK6" s="65"/>
      <c r="AL6" s="66"/>
      <c r="AM6" s="67"/>
    </row>
    <row r="7" spans="1:39">
      <c r="A7" s="38">
        <v>45294</v>
      </c>
      <c r="B7" s="1">
        <v>43989</v>
      </c>
      <c r="C7" s="39">
        <v>0.362744483450351</v>
      </c>
      <c r="D7" s="1">
        <v>44431.440571</v>
      </c>
      <c r="E7" s="40">
        <v>0.405569003998779</v>
      </c>
      <c r="F7" s="10">
        <v>105.6</v>
      </c>
      <c r="G7" s="40">
        <v>0.719495091164095</v>
      </c>
      <c r="H7" s="4">
        <v>252.960001629167</v>
      </c>
      <c r="I7" s="40">
        <v>0.648638494530895</v>
      </c>
      <c r="J7" s="4">
        <v>220.345832820833</v>
      </c>
      <c r="K7" s="40">
        <v>0.292302418467459</v>
      </c>
      <c r="L7" s="4">
        <v>26.4238809748012</v>
      </c>
      <c r="M7" s="40">
        <v>0.388266459616894</v>
      </c>
      <c r="N7" s="13">
        <v>33.4</v>
      </c>
      <c r="O7" s="44">
        <v>0.430278884462151</v>
      </c>
      <c r="P7" s="6">
        <v>4.04</v>
      </c>
      <c r="Q7" s="40">
        <v>0.506493506493507</v>
      </c>
      <c r="R7" s="4">
        <v>6.60874997916667</v>
      </c>
      <c r="S7" s="40">
        <v>0.269179883156968</v>
      </c>
      <c r="T7" s="10">
        <v>3.8</v>
      </c>
      <c r="U7" s="40">
        <v>0.235294117647059</v>
      </c>
      <c r="V7" s="4">
        <v>1.20552694768249</v>
      </c>
      <c r="W7" s="54">
        <f t="shared" si="0"/>
        <v>0.418922894517</v>
      </c>
      <c r="X7" s="4">
        <v>11.4668666583333</v>
      </c>
      <c r="Y7" s="40">
        <v>0.275175408239057</v>
      </c>
      <c r="Z7" s="4">
        <v>1.00933333333333</v>
      </c>
      <c r="AA7" s="40">
        <v>0.209833333333333</v>
      </c>
      <c r="AB7" s="9">
        <v>13.3627500208333</v>
      </c>
      <c r="AC7" s="57">
        <v>0.962106743913854</v>
      </c>
      <c r="AD7" s="9">
        <v>0.127741666666667</v>
      </c>
      <c r="AE7" s="57">
        <f t="shared" si="1"/>
        <v>0.088269320246</v>
      </c>
      <c r="AF7" s="4">
        <v>6.33278340416667</v>
      </c>
      <c r="AG7" s="44">
        <v>0.0909425024801609</v>
      </c>
      <c r="AH7" s="64"/>
      <c r="AI7" s="65"/>
      <c r="AJ7" s="65"/>
      <c r="AK7" s="65"/>
      <c r="AL7" s="66"/>
      <c r="AM7" s="67"/>
    </row>
    <row r="8" spans="1:39">
      <c r="A8" s="38">
        <v>45295</v>
      </c>
      <c r="B8" s="1">
        <v>43257</v>
      </c>
      <c r="C8" s="39">
        <v>0.339800651955868</v>
      </c>
      <c r="D8" s="1">
        <v>42226.7714845</v>
      </c>
      <c r="E8" s="40">
        <v>0.338271412835775</v>
      </c>
      <c r="F8" s="10">
        <v>106.2</v>
      </c>
      <c r="G8" s="40">
        <v>0.727910238429173</v>
      </c>
      <c r="H8" s="4">
        <v>250.96666845</v>
      </c>
      <c r="I8" s="40">
        <v>0.623624902120718</v>
      </c>
      <c r="J8" s="4">
        <v>215.945831291667</v>
      </c>
      <c r="K8" s="40">
        <v>0.281594994991037</v>
      </c>
      <c r="L8" s="4">
        <v>23.9301709622563</v>
      </c>
      <c r="M8" s="40">
        <v>0.314770732751438</v>
      </c>
      <c r="N8" s="13">
        <v>34.7</v>
      </c>
      <c r="O8" s="44">
        <v>0.48207171314741</v>
      </c>
      <c r="P8" s="6">
        <v>3.6</v>
      </c>
      <c r="Q8" s="40">
        <v>0.392207792207792</v>
      </c>
      <c r="R8" s="4">
        <v>6.69719999166667</v>
      </c>
      <c r="S8" s="40">
        <v>0.315978831569667</v>
      </c>
      <c r="T8" s="10">
        <v>3.9</v>
      </c>
      <c r="U8" s="40">
        <v>0.264705882352941</v>
      </c>
      <c r="V8" s="4">
        <v>1.44169131636479</v>
      </c>
      <c r="W8" s="54">
        <f t="shared" si="0"/>
        <v>0.50208747479</v>
      </c>
      <c r="X8" s="4">
        <v>11.8308667333333</v>
      </c>
      <c r="Y8" s="40">
        <v>0.287653984687463</v>
      </c>
      <c r="Z8" s="4">
        <v>1.62900002083333</v>
      </c>
      <c r="AA8" s="40">
        <v>0.364750005208333</v>
      </c>
      <c r="AB8" s="9">
        <v>12.4490832833333</v>
      </c>
      <c r="AC8" s="57">
        <v>0.85944755992509</v>
      </c>
      <c r="AD8" s="9">
        <v>0.133941666666667</v>
      </c>
      <c r="AE8" s="57">
        <f t="shared" si="1"/>
        <v>0.102666901129</v>
      </c>
      <c r="AF8" s="4">
        <v>6.30414169166667</v>
      </c>
      <c r="AG8" s="44">
        <v>0.0738938640873038</v>
      </c>
      <c r="AH8" s="64"/>
      <c r="AI8" s="65"/>
      <c r="AJ8" s="65"/>
      <c r="AK8" s="65"/>
      <c r="AL8" s="66"/>
      <c r="AM8" s="67"/>
    </row>
    <row r="9" spans="1:39">
      <c r="A9" s="38">
        <v>45296</v>
      </c>
      <c r="B9" s="1">
        <v>42776</v>
      </c>
      <c r="C9" s="39">
        <v>0.324724172517553</v>
      </c>
      <c r="D9" s="1">
        <v>42178.8609621</v>
      </c>
      <c r="E9" s="40">
        <v>0.336808942677045</v>
      </c>
      <c r="F9" s="10">
        <v>102.7</v>
      </c>
      <c r="G9" s="40">
        <v>0.678821879382889</v>
      </c>
      <c r="H9" s="4">
        <v>251.833333975</v>
      </c>
      <c r="I9" s="40">
        <v>0.634500363596436</v>
      </c>
      <c r="J9" s="4">
        <v>164.212498983333</v>
      </c>
      <c r="K9" s="40">
        <v>0.155701698545575</v>
      </c>
      <c r="L9" s="4">
        <v>25.9608189636015</v>
      </c>
      <c r="M9" s="40">
        <v>0.374618890763381</v>
      </c>
      <c r="N9" s="13">
        <v>31.2</v>
      </c>
      <c r="O9" s="44">
        <v>0.342629482071713</v>
      </c>
      <c r="P9" s="6">
        <v>4.62</v>
      </c>
      <c r="Q9" s="40">
        <v>0.657142857142857</v>
      </c>
      <c r="R9" s="4">
        <v>6.62035824583333</v>
      </c>
      <c r="S9" s="40">
        <v>0.275321823192238</v>
      </c>
      <c r="T9" s="10">
        <v>4</v>
      </c>
      <c r="U9" s="40">
        <v>0.294117647058824</v>
      </c>
      <c r="V9" s="4">
        <v>1.34333804282989</v>
      </c>
      <c r="W9" s="54">
        <f t="shared" si="0"/>
        <v>0.467452661936</v>
      </c>
      <c r="X9" s="4">
        <v>13.3102664916667</v>
      </c>
      <c r="Y9" s="40">
        <v>0.33837046594675</v>
      </c>
      <c r="Z9" s="4">
        <v>3.71124999166667</v>
      </c>
      <c r="AA9" s="40">
        <v>0.885312497916668</v>
      </c>
      <c r="AB9" s="9">
        <v>13.7003334</v>
      </c>
      <c r="AC9" s="57">
        <v>1.00003746067416</v>
      </c>
      <c r="AD9" s="9">
        <v>0.124825</v>
      </c>
      <c r="AE9" s="57">
        <f t="shared" si="1"/>
        <v>0.081496264723</v>
      </c>
      <c r="AF9" s="4">
        <v>6.28979166666667</v>
      </c>
      <c r="AG9" s="44">
        <v>0.0653521825396844</v>
      </c>
      <c r="AH9" s="64"/>
      <c r="AI9" s="65"/>
      <c r="AJ9" s="65"/>
      <c r="AK9" s="65"/>
      <c r="AL9" s="66"/>
      <c r="AM9" s="67"/>
    </row>
    <row r="10" spans="1:39">
      <c r="A10" s="38">
        <v>45297</v>
      </c>
      <c r="B10" s="1">
        <v>43159</v>
      </c>
      <c r="C10" s="39">
        <v>0.336728936810431</v>
      </c>
      <c r="D10" s="1">
        <v>42752.8230659</v>
      </c>
      <c r="E10" s="40">
        <v>0.354329153415751</v>
      </c>
      <c r="F10" s="10">
        <v>103.4</v>
      </c>
      <c r="G10" s="40">
        <v>0.688639551192146</v>
      </c>
      <c r="H10" s="4">
        <v>250.76666705</v>
      </c>
      <c r="I10" s="40">
        <v>0.621115159367549</v>
      </c>
      <c r="J10" s="4">
        <v>147.1708355</v>
      </c>
      <c r="K10" s="40">
        <v>0.114230733944954</v>
      </c>
      <c r="L10" s="4">
        <v>24.1926249538754</v>
      </c>
      <c r="M10" s="40">
        <v>0.322505893129248</v>
      </c>
      <c r="N10" s="13">
        <v>34.5</v>
      </c>
      <c r="O10" s="44">
        <v>0.47410358565737</v>
      </c>
      <c r="P10" s="7">
        <v>3.39</v>
      </c>
      <c r="Q10" s="40">
        <v>0.337662337662338</v>
      </c>
      <c r="R10" s="4">
        <v>6.46</v>
      </c>
      <c r="S10" s="40">
        <v>0.190476190476191</v>
      </c>
      <c r="T10" s="10">
        <v>4.1</v>
      </c>
      <c r="U10" s="40">
        <v>0.323529411764706</v>
      </c>
      <c r="V10" s="4">
        <v>1.49908659579858</v>
      </c>
      <c r="W10" s="54">
        <f t="shared" si="0"/>
        <v>0.522299051796</v>
      </c>
      <c r="X10" s="4">
        <v>14.6648665125</v>
      </c>
      <c r="Y10" s="40">
        <v>0.384808588018512</v>
      </c>
      <c r="Z10" s="4">
        <v>3.4222500125</v>
      </c>
      <c r="AA10" s="40">
        <v>0.813062503125</v>
      </c>
      <c r="AB10" s="9">
        <v>12.4864167041667</v>
      </c>
      <c r="AC10" s="57">
        <v>0.863642326310865</v>
      </c>
      <c r="AD10" s="9">
        <v>0.116108333333333</v>
      </c>
      <c r="AE10" s="57">
        <f t="shared" si="1"/>
        <v>0.061254504503</v>
      </c>
      <c r="AF10" s="4">
        <v>6.3095082875</v>
      </c>
      <c r="AG10" s="44">
        <v>0.0770882663690477</v>
      </c>
      <c r="AH10" s="64"/>
      <c r="AI10" s="65"/>
      <c r="AJ10" s="65"/>
      <c r="AK10" s="65"/>
      <c r="AL10" s="66"/>
      <c r="AM10" s="67"/>
    </row>
    <row r="11" spans="1:39">
      <c r="A11" s="38">
        <v>45298</v>
      </c>
      <c r="B11" s="1">
        <v>39024</v>
      </c>
      <c r="C11" s="39">
        <v>0.207121364092277</v>
      </c>
      <c r="D11" s="1">
        <v>38619.4665526</v>
      </c>
      <c r="E11" s="40">
        <v>0.228158319676435</v>
      </c>
      <c r="F11" s="10">
        <v>105.3</v>
      </c>
      <c r="G11" s="40">
        <v>0.715287517531557</v>
      </c>
      <c r="H11" s="4">
        <v>251.266668316667</v>
      </c>
      <c r="I11" s="40">
        <v>0.62738948822521</v>
      </c>
      <c r="J11" s="4">
        <v>147.6083326375</v>
      </c>
      <c r="K11" s="40">
        <v>0.115295385193342</v>
      </c>
      <c r="L11" s="4">
        <v>24.8319710020407</v>
      </c>
      <c r="M11" s="40">
        <v>0.341348983260852</v>
      </c>
      <c r="N11" s="13">
        <v>33.6</v>
      </c>
      <c r="O11" s="44">
        <v>0.438247011952191</v>
      </c>
      <c r="P11" s="6">
        <v>4.05</v>
      </c>
      <c r="Q11" s="40">
        <v>0.509090909090909</v>
      </c>
      <c r="R11" s="4">
        <v>6.72</v>
      </c>
      <c r="S11" s="40">
        <v>0.328042328042328</v>
      </c>
      <c r="T11" s="10">
        <v>4.36</v>
      </c>
      <c r="U11" s="40">
        <v>0.4</v>
      </c>
      <c r="V11" s="4">
        <v>1.07076201296924</v>
      </c>
      <c r="W11" s="54">
        <f t="shared" si="0"/>
        <v>0.371465823438</v>
      </c>
      <c r="X11" s="4">
        <v>11.5526667541667</v>
      </c>
      <c r="Y11" s="40">
        <v>0.278116789652612</v>
      </c>
      <c r="Z11" s="4">
        <v>2.36716665416667</v>
      </c>
      <c r="AA11" s="40">
        <v>0.549291663541667</v>
      </c>
      <c r="AB11" s="9">
        <v>12.2115833375</v>
      </c>
      <c r="AC11" s="57">
        <v>0.832762172752809</v>
      </c>
      <c r="AD11" s="9">
        <v>0.09775</v>
      </c>
      <c r="AE11" s="57">
        <f t="shared" si="1"/>
        <v>0.018622957882</v>
      </c>
      <c r="AF11" s="4">
        <v>6.22358334166667</v>
      </c>
      <c r="AG11" s="44">
        <v>0.0259424652777798</v>
      </c>
      <c r="AH11" s="64"/>
      <c r="AI11" s="65"/>
      <c r="AJ11" s="65"/>
      <c r="AK11" s="65"/>
      <c r="AL11" s="66"/>
      <c r="AM11" s="67"/>
    </row>
    <row r="12" spans="1:39">
      <c r="A12" s="38">
        <v>45299</v>
      </c>
      <c r="B12" s="1">
        <v>40365</v>
      </c>
      <c r="C12" s="39">
        <v>0.2491537111334</v>
      </c>
      <c r="D12" s="1">
        <v>39734.5274289</v>
      </c>
      <c r="E12" s="40">
        <v>0.262195586962759</v>
      </c>
      <c r="F12" s="10">
        <v>105.7</v>
      </c>
      <c r="G12" s="40">
        <v>0.720897615708275</v>
      </c>
      <c r="H12" s="4">
        <v>252.790000279167</v>
      </c>
      <c r="I12" s="40">
        <v>0.646505211182921</v>
      </c>
      <c r="J12" s="4">
        <v>275.0208333375</v>
      </c>
      <c r="K12" s="40">
        <v>0.425354277705449</v>
      </c>
      <c r="L12" s="4">
        <v>24.7475937179984</v>
      </c>
      <c r="M12" s="40">
        <v>0.338862178544014</v>
      </c>
      <c r="N12" s="13">
        <v>32.3</v>
      </c>
      <c r="O12" s="44">
        <v>0.386454183266932</v>
      </c>
      <c r="P12" s="6">
        <v>5.1</v>
      </c>
      <c r="Q12" s="40">
        <v>0.781818181818182</v>
      </c>
      <c r="R12" s="4">
        <v>6.63</v>
      </c>
      <c r="S12" s="40">
        <v>0.280423280423281</v>
      </c>
      <c r="T12" s="11">
        <v>4.5</v>
      </c>
      <c r="U12" s="40">
        <v>0.441176470588235</v>
      </c>
      <c r="V12" s="4">
        <v>1.4969171748261</v>
      </c>
      <c r="W12" s="54">
        <f t="shared" si="0"/>
        <v>0.521535096651</v>
      </c>
      <c r="X12" s="4">
        <v>14.0729334708333</v>
      </c>
      <c r="Y12" s="40">
        <v>0.364516060021711</v>
      </c>
      <c r="Z12" s="4">
        <v>0.794249991666666</v>
      </c>
      <c r="AA12" s="40">
        <v>0.156062497916666</v>
      </c>
      <c r="AB12" s="9">
        <v>12.4004166583333</v>
      </c>
      <c r="AC12" s="57">
        <v>0.85397939981273</v>
      </c>
      <c r="AD12" s="9">
        <v>0.106358333333333</v>
      </c>
      <c r="AE12" s="57">
        <f t="shared" si="1"/>
        <v>0.038613147468</v>
      </c>
      <c r="AF12" s="4">
        <v>6.25514171666667</v>
      </c>
      <c r="AG12" s="44">
        <v>0.0447272123015895</v>
      </c>
      <c r="AH12" s="64"/>
      <c r="AI12" s="65"/>
      <c r="AJ12" s="65"/>
      <c r="AK12" s="65"/>
      <c r="AL12" s="66"/>
      <c r="AM12" s="67"/>
    </row>
    <row r="13" spans="1:39">
      <c r="A13" s="38">
        <v>45300</v>
      </c>
      <c r="B13" s="1">
        <v>46057</v>
      </c>
      <c r="C13" s="39">
        <v>0.427563941825476</v>
      </c>
      <c r="D13" s="1">
        <v>45802.5820446</v>
      </c>
      <c r="E13" s="40">
        <v>0.447423139334554</v>
      </c>
      <c r="F13" s="10">
        <v>106.3</v>
      </c>
      <c r="G13" s="40">
        <v>0.729312762973352</v>
      </c>
      <c r="H13" s="4">
        <v>251.170000079167</v>
      </c>
      <c r="I13" s="40">
        <v>0.626176434673949</v>
      </c>
      <c r="J13" s="4">
        <v>236.375001904167</v>
      </c>
      <c r="K13" s="40">
        <v>0.331309473399769</v>
      </c>
      <c r="L13" s="4">
        <v>23.5891501791234</v>
      </c>
      <c r="M13" s="40">
        <v>0.304720017068182</v>
      </c>
      <c r="N13" s="13">
        <v>33.7</v>
      </c>
      <c r="O13" s="44">
        <v>0.442231075697211</v>
      </c>
      <c r="P13" s="6">
        <v>4.74</v>
      </c>
      <c r="Q13" s="40">
        <v>0.688311688311688</v>
      </c>
      <c r="R13" s="4">
        <v>6.74</v>
      </c>
      <c r="S13" s="40">
        <v>0.338624338624339</v>
      </c>
      <c r="T13" s="10">
        <v>4.8</v>
      </c>
      <c r="U13" s="40">
        <v>0.529411764705882</v>
      </c>
      <c r="V13" s="4">
        <v>1.3824576509493</v>
      </c>
      <c r="W13" s="54">
        <f t="shared" si="0"/>
        <v>0.481228515626</v>
      </c>
      <c r="X13" s="4">
        <v>14.2627332833333</v>
      </c>
      <c r="Y13" s="40">
        <v>0.371022738544165</v>
      </c>
      <c r="Z13" s="4">
        <v>0.709083341666667</v>
      </c>
      <c r="AA13" s="40">
        <v>0.134770835416667</v>
      </c>
      <c r="AB13" s="9">
        <v>13.0019999791667</v>
      </c>
      <c r="AC13" s="57">
        <v>0.921573031367045</v>
      </c>
      <c r="AD13" s="9">
        <v>0.192258333333333</v>
      </c>
      <c r="AE13" s="57">
        <f t="shared" si="1"/>
        <v>0.238089308416</v>
      </c>
      <c r="AF13" s="4">
        <v>6.18870002916667</v>
      </c>
      <c r="AG13" s="44">
        <v>0.0051785887896846</v>
      </c>
      <c r="AH13" s="64"/>
      <c r="AI13" s="65"/>
      <c r="AJ13" s="65"/>
      <c r="AK13" s="65"/>
      <c r="AL13" s="66"/>
      <c r="AM13" s="67"/>
    </row>
    <row r="14" spans="1:39">
      <c r="A14" s="38">
        <v>45301</v>
      </c>
      <c r="B14" s="1">
        <v>45036</v>
      </c>
      <c r="C14" s="39">
        <v>0.395561685055165</v>
      </c>
      <c r="D14" s="1">
        <v>44398.0764959</v>
      </c>
      <c r="E14" s="40">
        <v>0.404550564587912</v>
      </c>
      <c r="F14" s="10">
        <v>105.8</v>
      </c>
      <c r="G14" s="40">
        <v>0.722300140252454</v>
      </c>
      <c r="H14" s="4">
        <v>252.350002920833</v>
      </c>
      <c r="I14" s="40">
        <v>0.640983848924997</v>
      </c>
      <c r="J14" s="4">
        <v>153.329167041667</v>
      </c>
      <c r="K14" s="40">
        <v>0.129217061401375</v>
      </c>
      <c r="L14" s="4">
        <v>24.7114591771958</v>
      </c>
      <c r="M14" s="40">
        <v>0.337797205340283</v>
      </c>
      <c r="N14" s="13">
        <v>31.9</v>
      </c>
      <c r="O14" s="44">
        <v>0.370517928286852</v>
      </c>
      <c r="P14" s="6">
        <v>4.16</v>
      </c>
      <c r="Q14" s="40">
        <v>0.537662337662338</v>
      </c>
      <c r="R14" s="4">
        <v>6.73</v>
      </c>
      <c r="S14" s="40">
        <v>0.333333333333334</v>
      </c>
      <c r="T14" s="10">
        <v>4.2</v>
      </c>
      <c r="U14" s="40">
        <v>0.352941176470588</v>
      </c>
      <c r="V14" s="4">
        <v>1.64062416756396</v>
      </c>
      <c r="W14" s="54">
        <f t="shared" si="0"/>
        <v>0.572141086877</v>
      </c>
      <c r="X14" s="4">
        <v>11.0690666125</v>
      </c>
      <c r="Y14" s="40">
        <v>0.261538108073363</v>
      </c>
      <c r="Z14" s="4">
        <v>0.919499991666667</v>
      </c>
      <c r="AA14" s="40">
        <v>0.187374997916667</v>
      </c>
      <c r="AB14" s="9">
        <v>12.9325833208333</v>
      </c>
      <c r="AC14" s="57">
        <v>0.913773406835202</v>
      </c>
      <c r="AD14" s="9">
        <v>0.186925</v>
      </c>
      <c r="AE14" s="57">
        <f t="shared" si="1"/>
        <v>0.225704292603</v>
      </c>
      <c r="AF14" s="4">
        <v>6.24312500833333</v>
      </c>
      <c r="AG14" s="44">
        <v>0.0375744097222202</v>
      </c>
      <c r="AH14" s="64"/>
      <c r="AI14" s="65"/>
      <c r="AJ14" s="65"/>
      <c r="AK14" s="65"/>
      <c r="AL14" s="66"/>
      <c r="AM14" s="67"/>
    </row>
    <row r="15" spans="1:39">
      <c r="A15" s="38">
        <v>45302</v>
      </c>
      <c r="B15" s="1">
        <v>46987</v>
      </c>
      <c r="C15" s="39">
        <v>0.456713891675025</v>
      </c>
      <c r="D15" s="1">
        <v>46544.7202455</v>
      </c>
      <c r="E15" s="40">
        <v>0.470076930570818</v>
      </c>
      <c r="F15" s="10">
        <v>107.6</v>
      </c>
      <c r="G15" s="40">
        <v>0.747545582047686</v>
      </c>
      <c r="H15" s="4">
        <v>253.476669954167</v>
      </c>
      <c r="I15" s="40">
        <v>0.655121972068854</v>
      </c>
      <c r="J15" s="4">
        <v>213.904162091667</v>
      </c>
      <c r="K15" s="40">
        <v>0.276626583826119</v>
      </c>
      <c r="L15" s="4">
        <v>25.2434832971945</v>
      </c>
      <c r="M15" s="40">
        <v>0.353477256032847</v>
      </c>
      <c r="N15" s="13">
        <v>34.8</v>
      </c>
      <c r="O15" s="44">
        <v>0.48605577689243</v>
      </c>
      <c r="P15" s="7">
        <v>3.48</v>
      </c>
      <c r="Q15" s="40">
        <v>0.361038961038961</v>
      </c>
      <c r="R15" s="4">
        <v>6.84</v>
      </c>
      <c r="S15" s="40">
        <v>0.391534391534392</v>
      </c>
      <c r="T15" s="10">
        <v>4.6</v>
      </c>
      <c r="U15" s="40">
        <v>0.470588235294118</v>
      </c>
      <c r="V15" s="4">
        <v>1.19746000177686</v>
      </c>
      <c r="W15" s="54">
        <f t="shared" si="0"/>
        <v>0.416082143501</v>
      </c>
      <c r="X15" s="4">
        <v>11.4668666583333</v>
      </c>
      <c r="Y15" s="40">
        <v>0.275175408239057</v>
      </c>
      <c r="Z15" s="4">
        <v>0.729416670833334</v>
      </c>
      <c r="AA15" s="40">
        <v>0.139854167708333</v>
      </c>
      <c r="AB15" s="9">
        <v>11.6369166333333</v>
      </c>
      <c r="AC15" s="57">
        <v>0.768192880149809</v>
      </c>
      <c r="AD15" s="9">
        <v>0.0971916666666667</v>
      </c>
      <c r="AE15" s="57">
        <f t="shared" si="1"/>
        <v>0.017326401539</v>
      </c>
      <c r="AF15" s="4">
        <v>6.269549975</v>
      </c>
      <c r="AG15" s="44">
        <v>0.0533035565476194</v>
      </c>
      <c r="AH15" s="64"/>
      <c r="AI15" s="65"/>
      <c r="AJ15" s="65"/>
      <c r="AK15" s="65"/>
      <c r="AL15" s="66"/>
      <c r="AM15" s="67"/>
    </row>
    <row r="16" spans="1:39">
      <c r="A16" s="38">
        <v>45303</v>
      </c>
      <c r="B16" s="1">
        <v>44863</v>
      </c>
      <c r="C16" s="39">
        <v>0.390139167502508</v>
      </c>
      <c r="D16" s="1">
        <v>44142.9799501</v>
      </c>
      <c r="E16" s="40">
        <v>0.396763734740537</v>
      </c>
      <c r="F16" s="10">
        <v>108.2</v>
      </c>
      <c r="G16" s="40">
        <v>0.755960729312763</v>
      </c>
      <c r="H16" s="4">
        <v>253.390003833333</v>
      </c>
      <c r="I16" s="40">
        <v>0.654034431338097</v>
      </c>
      <c r="J16" s="4">
        <v>247.7041651375</v>
      </c>
      <c r="K16" s="40">
        <v>0.358879042993941</v>
      </c>
      <c r="L16" s="4">
        <v>23.7710512070991</v>
      </c>
      <c r="M16" s="40">
        <v>0.31008108479514</v>
      </c>
      <c r="N16" s="13">
        <v>31.6</v>
      </c>
      <c r="O16" s="44">
        <v>0.358565737051793</v>
      </c>
      <c r="P16" s="6">
        <v>5.13</v>
      </c>
      <c r="Q16" s="40">
        <v>0.78961038961039</v>
      </c>
      <c r="R16" s="4">
        <v>6.69</v>
      </c>
      <c r="S16" s="40">
        <v>0.312169312169313</v>
      </c>
      <c r="T16" s="10">
        <v>4</v>
      </c>
      <c r="U16" s="40">
        <v>0.294117647058824</v>
      </c>
      <c r="V16" s="4">
        <v>1.005633293454</v>
      </c>
      <c r="W16" s="54">
        <f t="shared" si="0"/>
        <v>0.3485309385</v>
      </c>
      <c r="X16" s="4">
        <v>11.8308667333333</v>
      </c>
      <c r="Y16" s="40">
        <v>0.287653984687463</v>
      </c>
      <c r="Z16" s="4">
        <v>1.62900002083333</v>
      </c>
      <c r="AA16" s="40">
        <v>0.364750005208333</v>
      </c>
      <c r="AB16" s="9">
        <v>11.0110000333333</v>
      </c>
      <c r="AC16" s="57">
        <v>0.69786517228464</v>
      </c>
      <c r="AD16" s="9">
        <v>0.134758333333333</v>
      </c>
      <c r="AE16" s="57">
        <f t="shared" si="1"/>
        <v>0.104563356676</v>
      </c>
      <c r="AF16" s="4">
        <v>6.31487505</v>
      </c>
      <c r="AG16" s="44">
        <v>0.0802827678571432</v>
      </c>
      <c r="AH16" s="64"/>
      <c r="AI16" s="65"/>
      <c r="AJ16" s="65"/>
      <c r="AK16" s="65"/>
      <c r="AL16" s="66"/>
      <c r="AM16" s="67"/>
    </row>
    <row r="17" spans="1:39">
      <c r="A17" s="38">
        <v>45304</v>
      </c>
      <c r="B17" s="1">
        <v>44034</v>
      </c>
      <c r="C17" s="39">
        <v>0.364154964894684</v>
      </c>
      <c r="D17" s="1">
        <v>43431.440571</v>
      </c>
      <c r="E17" s="40">
        <v>0.375043973473748</v>
      </c>
      <c r="F17" s="10">
        <v>106.2</v>
      </c>
      <c r="G17" s="40">
        <v>0.727910238429173</v>
      </c>
      <c r="H17" s="4">
        <v>254.383337033333</v>
      </c>
      <c r="I17" s="40">
        <v>0.666499398084239</v>
      </c>
      <c r="J17" s="4">
        <v>185.808329904167</v>
      </c>
      <c r="K17" s="40">
        <v>0.208255250052727</v>
      </c>
      <c r="L17" s="4">
        <v>27.4696602356307</v>
      </c>
      <c r="M17" s="40">
        <v>0.419088129549976</v>
      </c>
      <c r="N17" s="13">
        <v>32.4</v>
      </c>
      <c r="O17" s="44">
        <v>0.390438247011952</v>
      </c>
      <c r="P17" s="4">
        <v>4.74</v>
      </c>
      <c r="Q17" s="40">
        <v>0.688311688311688</v>
      </c>
      <c r="R17" s="4">
        <v>6.76</v>
      </c>
      <c r="S17" s="40">
        <v>0.349206349206349</v>
      </c>
      <c r="T17" s="10">
        <v>4.9</v>
      </c>
      <c r="U17" s="40">
        <v>0.558823529411765</v>
      </c>
      <c r="V17" s="4">
        <v>1.13104739201237</v>
      </c>
      <c r="W17" s="54">
        <f t="shared" si="0"/>
        <v>0.392695140429</v>
      </c>
      <c r="X17" s="4">
        <v>13.3102664916667</v>
      </c>
      <c r="Y17" s="40">
        <v>0.33837046594675</v>
      </c>
      <c r="Z17" s="4">
        <v>3.71124999166667</v>
      </c>
      <c r="AA17" s="40">
        <v>0.885312497916668</v>
      </c>
      <c r="AB17" s="9">
        <v>9.5339165875</v>
      </c>
      <c r="AC17" s="57">
        <v>0.531900740168539</v>
      </c>
      <c r="AD17" s="9">
        <v>0.1514</v>
      </c>
      <c r="AE17" s="57">
        <f t="shared" si="1"/>
        <v>0.143208476332</v>
      </c>
      <c r="AF17" s="4">
        <v>6.33278340416667</v>
      </c>
      <c r="AG17" s="44">
        <v>0.0909425024801609</v>
      </c>
      <c r="AH17" s="64"/>
      <c r="AI17" s="65"/>
      <c r="AJ17" s="65"/>
      <c r="AK17" s="65"/>
      <c r="AL17" s="66"/>
      <c r="AM17" s="67"/>
    </row>
    <row r="18" spans="1:39">
      <c r="A18" s="38">
        <v>45305</v>
      </c>
      <c r="B18" s="1">
        <v>43051</v>
      </c>
      <c r="C18" s="39">
        <v>0.333343781344032</v>
      </c>
      <c r="D18" s="1">
        <v>42599.3095931</v>
      </c>
      <c r="E18" s="40">
        <v>0.349643149972527</v>
      </c>
      <c r="F18" s="10">
        <v>110.4</v>
      </c>
      <c r="G18" s="40">
        <v>0.786816269284713</v>
      </c>
      <c r="H18" s="4">
        <v>256.7633374625</v>
      </c>
      <c r="I18" s="40">
        <v>0.696365133172292</v>
      </c>
      <c r="J18" s="4">
        <v>262.545836129167</v>
      </c>
      <c r="K18" s="40">
        <v>0.394996315988531</v>
      </c>
      <c r="L18" s="4">
        <v>22.2976197482066</v>
      </c>
      <c r="M18" s="40">
        <v>0.266655459717259</v>
      </c>
      <c r="N18" s="13">
        <v>32.1</v>
      </c>
      <c r="O18" s="44">
        <v>0.378486055776892</v>
      </c>
      <c r="P18" s="19">
        <v>3.76713159843109</v>
      </c>
      <c r="Q18" s="55">
        <v>0.435618596995088</v>
      </c>
      <c r="R18" s="4">
        <v>6.72</v>
      </c>
      <c r="S18" s="40">
        <v>0.328042328042328</v>
      </c>
      <c r="T18" s="10">
        <v>4.7</v>
      </c>
      <c r="U18" s="40">
        <v>0.5</v>
      </c>
      <c r="V18" s="4">
        <v>1.71144835270908</v>
      </c>
      <c r="W18" s="54">
        <f t="shared" si="0"/>
        <v>0.597081613103</v>
      </c>
      <c r="X18" s="4">
        <v>14.6648665125</v>
      </c>
      <c r="Y18" s="40">
        <v>0.384808588018512</v>
      </c>
      <c r="Z18" s="4">
        <v>3.4222500125</v>
      </c>
      <c r="AA18" s="40">
        <v>0.813062503125</v>
      </c>
      <c r="AB18" s="9">
        <v>9.8881665875</v>
      </c>
      <c r="AC18" s="57">
        <v>0.571704110955056</v>
      </c>
      <c r="AD18" s="9">
        <v>0.148925</v>
      </c>
      <c r="AE18" s="57">
        <f t="shared" si="1"/>
        <v>0.137461054931</v>
      </c>
      <c r="AF18" s="4">
        <v>6.30414169166667</v>
      </c>
      <c r="AG18" s="44">
        <v>0.0738938640873038</v>
      </c>
      <c r="AH18" s="64"/>
      <c r="AI18" s="65"/>
      <c r="AJ18" s="65"/>
      <c r="AK18" s="65"/>
      <c r="AL18" s="66"/>
      <c r="AM18" s="67"/>
    </row>
    <row r="19" spans="1:39">
      <c r="A19" s="38">
        <v>45306</v>
      </c>
      <c r="B19" s="1">
        <v>40687</v>
      </c>
      <c r="C19" s="39">
        <v>0.259246489468405</v>
      </c>
      <c r="D19" s="1">
        <v>39929.6291893</v>
      </c>
      <c r="E19" s="40">
        <v>0.268151074154457</v>
      </c>
      <c r="F19" s="10">
        <v>109.8</v>
      </c>
      <c r="G19" s="40">
        <v>0.778401122019635</v>
      </c>
      <c r="H19" s="4">
        <v>255.526671091667</v>
      </c>
      <c r="I19" s="40">
        <v>0.680846669490112</v>
      </c>
      <c r="J19" s="4">
        <v>268.770833329167</v>
      </c>
      <c r="K19" s="40">
        <v>0.410144874623821</v>
      </c>
      <c r="L19" s="4">
        <v>26.4685823396682</v>
      </c>
      <c r="M19" s="40">
        <v>0.389583918056829</v>
      </c>
      <c r="N19" s="13">
        <v>33.4</v>
      </c>
      <c r="O19" s="44">
        <v>0.430278884462151</v>
      </c>
      <c r="P19" s="19">
        <v>4.80357593427636</v>
      </c>
      <c r="Q19" s="55">
        <v>0.70482491799386</v>
      </c>
      <c r="R19" s="4">
        <v>6.75</v>
      </c>
      <c r="S19" s="40">
        <v>0.343915343915344</v>
      </c>
      <c r="T19" s="11">
        <v>5</v>
      </c>
      <c r="U19" s="40">
        <v>0.588235294117647</v>
      </c>
      <c r="V19" s="4">
        <v>1.72637070870636</v>
      </c>
      <c r="W19" s="54">
        <f t="shared" si="0"/>
        <v>0.602336476401</v>
      </c>
      <c r="X19" s="4">
        <v>32.6091996416667</v>
      </c>
      <c r="Y19" s="40">
        <v>0.999972562278598</v>
      </c>
      <c r="Z19" s="4">
        <v>2.36716665416667</v>
      </c>
      <c r="AA19" s="40">
        <v>0.549291663541667</v>
      </c>
      <c r="AB19" s="9">
        <v>11.5885833875</v>
      </c>
      <c r="AC19" s="57">
        <v>0.762762178370787</v>
      </c>
      <c r="AD19" s="9">
        <v>0.208716666666667</v>
      </c>
      <c r="AE19" s="57">
        <f t="shared" si="1"/>
        <v>0.276308693154</v>
      </c>
      <c r="AF19" s="4">
        <v>6.28979166666667</v>
      </c>
      <c r="AG19" s="44">
        <v>0.0653521825396844</v>
      </c>
      <c r="AH19" s="64"/>
      <c r="AI19" s="65"/>
      <c r="AJ19" s="65"/>
      <c r="AK19" s="65"/>
      <c r="AL19" s="66"/>
      <c r="AM19" s="67"/>
    </row>
    <row r="20" spans="1:39">
      <c r="A20" s="38">
        <v>45307</v>
      </c>
      <c r="B20" s="1">
        <v>41367</v>
      </c>
      <c r="C20" s="39">
        <v>0.280560431293882</v>
      </c>
      <c r="D20" s="1">
        <v>39689.9010285</v>
      </c>
      <c r="E20" s="40">
        <v>0.260833364728327</v>
      </c>
      <c r="F20" s="10">
        <v>108.3</v>
      </c>
      <c r="G20" s="40">
        <v>0.757363253856942</v>
      </c>
      <c r="H20" s="4">
        <v>258.09667015</v>
      </c>
      <c r="I20" s="40">
        <v>0.71309662630192</v>
      </c>
      <c r="J20" s="4">
        <v>255.833333016667</v>
      </c>
      <c r="K20" s="40">
        <v>0.37866140952636</v>
      </c>
      <c r="L20" s="4">
        <v>26.2569572867012</v>
      </c>
      <c r="M20" s="40">
        <v>0.383346810689691</v>
      </c>
      <c r="N20" s="13">
        <v>32.7</v>
      </c>
      <c r="O20" s="44">
        <v>0.402390438247012</v>
      </c>
      <c r="P20" s="19">
        <v>3.49957164738289</v>
      </c>
      <c r="Q20" s="55">
        <v>0.366122505813738</v>
      </c>
      <c r="R20" s="4">
        <v>6.17173520377815</v>
      </c>
      <c r="S20" s="40">
        <v>0.0379551342741536</v>
      </c>
      <c r="T20" s="10">
        <v>5</v>
      </c>
      <c r="U20" s="40">
        <v>0.588235294117647</v>
      </c>
      <c r="V20" s="4">
        <v>1.54735988458751</v>
      </c>
      <c r="W20" s="54">
        <f t="shared" si="0"/>
        <v>0.539298346918</v>
      </c>
      <c r="X20" s="4">
        <v>16.1728666916667</v>
      </c>
      <c r="Y20" s="40">
        <v>0.436505543080792</v>
      </c>
      <c r="Z20" s="4">
        <v>0.794249991666666</v>
      </c>
      <c r="AA20" s="40">
        <v>0.156062497916666</v>
      </c>
      <c r="AB20" s="9">
        <v>12.224333375</v>
      </c>
      <c r="AC20" s="57">
        <v>0.834194761235955</v>
      </c>
      <c r="AD20" s="9">
        <v>0.292691666666667</v>
      </c>
      <c r="AE20" s="57">
        <f t="shared" si="1"/>
        <v>0.471314637456</v>
      </c>
      <c r="AF20" s="4">
        <v>6.3095082875</v>
      </c>
      <c r="AG20" s="44">
        <v>0.0770882663690477</v>
      </c>
      <c r="AH20" s="64"/>
      <c r="AI20" s="65"/>
      <c r="AJ20" s="65"/>
      <c r="AK20" s="65"/>
      <c r="AL20" s="66"/>
      <c r="AM20" s="67"/>
    </row>
    <row r="21" spans="1:39">
      <c r="A21" s="38">
        <v>45308</v>
      </c>
      <c r="B21" s="1">
        <v>40961</v>
      </c>
      <c r="C21" s="39">
        <v>0.267834754262788</v>
      </c>
      <c r="D21" s="1">
        <v>40088.68573</v>
      </c>
      <c r="E21" s="40">
        <v>0.27300627991453</v>
      </c>
      <c r="F21" s="10">
        <v>115.9</v>
      </c>
      <c r="G21" s="40">
        <v>0.863955119214586</v>
      </c>
      <c r="H21" s="4">
        <v>270.093336741667</v>
      </c>
      <c r="I21" s="40">
        <v>0.863638307713226</v>
      </c>
      <c r="J21" s="4">
        <v>213.649996758333</v>
      </c>
      <c r="K21" s="40">
        <v>0.276008071346295</v>
      </c>
      <c r="L21" s="4">
        <v>25.9128571190476</v>
      </c>
      <c r="M21" s="40">
        <v>0.373205338020855</v>
      </c>
      <c r="N21" s="13">
        <v>31.5</v>
      </c>
      <c r="O21" s="44">
        <v>0.354581673306773</v>
      </c>
      <c r="P21" s="19">
        <v>5.60745913227294</v>
      </c>
      <c r="Q21" s="55">
        <v>0.913625748642322</v>
      </c>
      <c r="R21" s="4">
        <v>6.65182111191801</v>
      </c>
      <c r="S21" s="40">
        <v>0.291968842284662</v>
      </c>
      <c r="T21" s="10">
        <v>5.3</v>
      </c>
      <c r="U21" s="40">
        <v>0.676470588235294</v>
      </c>
      <c r="V21" s="4">
        <v>0.91312512083333</v>
      </c>
      <c r="W21" s="54">
        <f t="shared" si="0"/>
        <v>0.315954460554</v>
      </c>
      <c r="X21" s="4">
        <v>13.6222665541667</v>
      </c>
      <c r="Y21" s="40">
        <v>0.349066388555595</v>
      </c>
      <c r="Z21" s="4">
        <v>0.709083341666667</v>
      </c>
      <c r="AA21" s="40">
        <v>0.134770835416667</v>
      </c>
      <c r="AB21" s="9">
        <v>9.75091664166667</v>
      </c>
      <c r="AC21" s="57">
        <v>0.556282768726592</v>
      </c>
      <c r="AD21" s="9">
        <v>0.108058333333333</v>
      </c>
      <c r="AE21" s="57">
        <f t="shared" si="1"/>
        <v>0.042560871259</v>
      </c>
      <c r="AF21" s="4">
        <v>6.27229172083333</v>
      </c>
      <c r="AG21" s="68">
        <v>0.0549355481150775</v>
      </c>
      <c r="AH21" s="64"/>
      <c r="AI21" s="65"/>
      <c r="AJ21" s="65"/>
      <c r="AK21" s="65"/>
      <c r="AL21" s="66"/>
      <c r="AM21" s="67"/>
    </row>
    <row r="22" spans="1:39">
      <c r="A22" s="38">
        <v>45309</v>
      </c>
      <c r="B22" s="1">
        <v>40258</v>
      </c>
      <c r="C22" s="39">
        <v>0.245799899699097</v>
      </c>
      <c r="D22" s="1">
        <v>41929.7339786</v>
      </c>
      <c r="E22" s="40">
        <v>0.329204333901099</v>
      </c>
      <c r="F22" s="10">
        <v>119.4</v>
      </c>
      <c r="G22" s="40">
        <v>0.91304347826087</v>
      </c>
      <c r="H22" s="4">
        <v>269.923334120833</v>
      </c>
      <c r="I22" s="40">
        <v>0.861505008418032</v>
      </c>
      <c r="J22" s="4">
        <v>152.2166675</v>
      </c>
      <c r="K22" s="40">
        <v>0.12650978877181</v>
      </c>
      <c r="L22" s="4">
        <v>24.4385</v>
      </c>
      <c r="M22" s="40">
        <v>0.329752431476569</v>
      </c>
      <c r="N22" s="13">
        <v>32.5</v>
      </c>
      <c r="O22" s="44">
        <v>0.394422310756972</v>
      </c>
      <c r="P22" s="19">
        <v>3.34768406464284</v>
      </c>
      <c r="Q22" s="55">
        <v>0.326671185621517</v>
      </c>
      <c r="R22" s="4">
        <v>6.80423334583333</v>
      </c>
      <c r="S22" s="40">
        <v>0.372610235890651</v>
      </c>
      <c r="T22" s="10">
        <v>5.5</v>
      </c>
      <c r="U22" s="40">
        <v>0.735294117647059</v>
      </c>
      <c r="V22" s="4">
        <v>1.40270834166667</v>
      </c>
      <c r="W22" s="54">
        <f t="shared" si="0"/>
        <v>0.488359736153</v>
      </c>
      <c r="X22" s="4">
        <v>12.9592666916667</v>
      </c>
      <c r="Y22" s="40">
        <v>0.326337562278598</v>
      </c>
      <c r="Z22" s="4">
        <v>0.919499991666667</v>
      </c>
      <c r="AA22" s="40">
        <v>0.187374997916667</v>
      </c>
      <c r="AB22" s="9">
        <v>11.761166575</v>
      </c>
      <c r="AC22" s="57">
        <v>0.782153547752809</v>
      </c>
      <c r="AD22" s="9">
        <v>0.109441666666667</v>
      </c>
      <c r="AE22" s="57">
        <f t="shared" si="1"/>
        <v>0.045773234736</v>
      </c>
      <c r="AF22" s="4">
        <v>6.37274164166667</v>
      </c>
      <c r="AG22" s="68">
        <v>0.114727167658732</v>
      </c>
      <c r="AH22" s="64"/>
      <c r="AI22" s="65"/>
      <c r="AJ22" s="65"/>
      <c r="AK22" s="65"/>
      <c r="AL22" s="66"/>
      <c r="AM22" s="67"/>
    </row>
    <row r="23" spans="1:39">
      <c r="A23" s="38">
        <v>45310</v>
      </c>
      <c r="B23" s="1">
        <v>42318</v>
      </c>
      <c r="C23" s="39">
        <v>0.310368605817452</v>
      </c>
      <c r="D23" s="1">
        <v>41846.3230599</v>
      </c>
      <c r="E23" s="40">
        <v>0.326658213061661</v>
      </c>
      <c r="F23" s="10">
        <v>122.6</v>
      </c>
      <c r="G23" s="40">
        <v>0.957924263674614</v>
      </c>
      <c r="H23" s="4">
        <v>256.079999920833</v>
      </c>
      <c r="I23" s="40">
        <v>0.687790185981089</v>
      </c>
      <c r="J23" s="4">
        <v>242.016665133333</v>
      </c>
      <c r="K23" s="40">
        <v>0.345038486197973</v>
      </c>
      <c r="L23" s="4">
        <v>27.763999915</v>
      </c>
      <c r="M23" s="40">
        <v>0.427763039050987</v>
      </c>
      <c r="N23" s="13">
        <v>31.9</v>
      </c>
      <c r="O23" s="44">
        <v>0.370517928286852</v>
      </c>
      <c r="P23" s="19">
        <v>4.7058184774792</v>
      </c>
      <c r="Q23" s="55">
        <v>0.679433370773818</v>
      </c>
      <c r="R23" s="4">
        <v>6.5081416875</v>
      </c>
      <c r="S23" s="40">
        <v>0.215947982804233</v>
      </c>
      <c r="T23" s="11">
        <v>5.1</v>
      </c>
      <c r="U23" s="40">
        <v>0.617647058823529</v>
      </c>
      <c r="V23" s="4">
        <v>1.32645833333333</v>
      </c>
      <c r="W23" s="54">
        <f t="shared" si="0"/>
        <v>0.461508522424</v>
      </c>
      <c r="X23" s="4">
        <v>11.8447333083333</v>
      </c>
      <c r="Y23" s="40">
        <v>0.288129355787909</v>
      </c>
      <c r="Z23" s="4">
        <v>0.729416670833334</v>
      </c>
      <c r="AA23" s="40">
        <v>0.139854167708333</v>
      </c>
      <c r="AB23" s="9">
        <v>10.4174167041667</v>
      </c>
      <c r="AC23" s="57">
        <v>0.631170416198506</v>
      </c>
      <c r="AD23" s="9">
        <v>0.287775</v>
      </c>
      <c r="AE23" s="57">
        <f t="shared" si="1"/>
        <v>0.459897201003</v>
      </c>
      <c r="AF23" s="4">
        <v>6.37104999166667</v>
      </c>
      <c r="AG23" s="68">
        <v>0.113720233134923</v>
      </c>
      <c r="AH23" s="64"/>
      <c r="AI23" s="65"/>
      <c r="AJ23" s="65"/>
      <c r="AK23" s="65"/>
      <c r="AL23" s="66"/>
      <c r="AM23" s="67"/>
    </row>
    <row r="24" spans="1:39">
      <c r="A24" s="38">
        <v>45311</v>
      </c>
      <c r="B24" s="1">
        <v>38971</v>
      </c>
      <c r="C24" s="39">
        <v>0.205460130391174</v>
      </c>
      <c r="D24" s="1">
        <v>39507.3445573</v>
      </c>
      <c r="E24" s="40">
        <v>0.255260822872405</v>
      </c>
      <c r="F24" s="10">
        <v>118.5</v>
      </c>
      <c r="G24" s="40">
        <v>0.900420757363254</v>
      </c>
      <c r="H24" s="4">
        <v>238.019997916667</v>
      </c>
      <c r="I24" s="40">
        <v>0.461161976617731</v>
      </c>
      <c r="J24" s="4">
        <v>216.4375054</v>
      </c>
      <c r="K24" s="40">
        <v>0.282791486141192</v>
      </c>
      <c r="L24" s="4">
        <v>27.625263168421</v>
      </c>
      <c r="M24" s="40">
        <v>0.423674128158591</v>
      </c>
      <c r="N24" s="13">
        <v>33.3</v>
      </c>
      <c r="O24" s="44">
        <v>0.426294820717131</v>
      </c>
      <c r="P24" s="19">
        <v>3.28398035711634</v>
      </c>
      <c r="Q24" s="55">
        <v>0.310124768082166</v>
      </c>
      <c r="R24" s="4">
        <v>6.77442500416667</v>
      </c>
      <c r="S24" s="40">
        <v>0.356838626543212</v>
      </c>
      <c r="T24" s="10">
        <v>5.6</v>
      </c>
      <c r="U24" s="40">
        <v>0.764705882352941</v>
      </c>
      <c r="V24" s="4">
        <v>1.38375000833333</v>
      </c>
      <c r="W24" s="54">
        <f t="shared" si="0"/>
        <v>0.481683615437</v>
      </c>
      <c r="X24" s="4">
        <v>11.696533325</v>
      </c>
      <c r="Y24" s="40">
        <v>0.283048794137813</v>
      </c>
      <c r="Z24" s="4">
        <v>0.394416666666667</v>
      </c>
      <c r="AA24" s="40">
        <v>0.0561041666666668</v>
      </c>
      <c r="AB24" s="9">
        <v>9.3624166</v>
      </c>
      <c r="AC24" s="57">
        <v>0.512631078651685</v>
      </c>
      <c r="AD24" s="9">
        <v>0.182408333333333</v>
      </c>
      <c r="AE24" s="57">
        <f t="shared" si="1"/>
        <v>0.215215732336</v>
      </c>
      <c r="AF24" s="4">
        <v>6.367024975</v>
      </c>
      <c r="AG24" s="68">
        <v>0.111324389880952</v>
      </c>
      <c r="AH24" s="64"/>
      <c r="AI24" s="65"/>
      <c r="AJ24" s="65"/>
      <c r="AK24" s="65"/>
      <c r="AL24" s="66"/>
      <c r="AM24" s="67"/>
    </row>
    <row r="25" spans="1:39">
      <c r="A25" s="38">
        <v>45312</v>
      </c>
      <c r="B25" s="1">
        <v>42893</v>
      </c>
      <c r="C25" s="39">
        <v>0.328391424272818</v>
      </c>
      <c r="D25" s="1">
        <v>42178.8609621</v>
      </c>
      <c r="E25" s="40">
        <v>0.336808942677045</v>
      </c>
      <c r="F25" s="10">
        <v>119.6</v>
      </c>
      <c r="G25" s="40">
        <v>0.915848527349229</v>
      </c>
      <c r="H25" s="4">
        <v>237.406669616667</v>
      </c>
      <c r="I25" s="40">
        <v>0.453465549211532</v>
      </c>
      <c r="J25" s="4">
        <v>210.374998729167</v>
      </c>
      <c r="K25" s="40">
        <v>0.268038348938182</v>
      </c>
      <c r="L25" s="4">
        <v>28.209999995</v>
      </c>
      <c r="M25" s="40">
        <v>0.440907751105217</v>
      </c>
      <c r="N25" s="13">
        <v>32.7</v>
      </c>
      <c r="O25" s="44">
        <v>0.402390438247012</v>
      </c>
      <c r="P25" s="19">
        <v>4.18713612539446</v>
      </c>
      <c r="Q25" s="55">
        <v>0.544710681920639</v>
      </c>
      <c r="R25" s="4">
        <v>6.73785008333333</v>
      </c>
      <c r="S25" s="40">
        <v>0.337486816578482</v>
      </c>
      <c r="T25" s="10">
        <v>5.2</v>
      </c>
      <c r="U25" s="40">
        <v>0.647058823529412</v>
      </c>
      <c r="V25" s="4">
        <v>1.35520834166667</v>
      </c>
      <c r="W25" s="54">
        <f t="shared" si="0"/>
        <v>0.471632752379</v>
      </c>
      <c r="X25" s="4">
        <v>13.8684000833333</v>
      </c>
      <c r="Y25" s="40">
        <v>0.357504288081361</v>
      </c>
      <c r="Z25" s="4">
        <v>0.663833325</v>
      </c>
      <c r="AA25" s="40">
        <v>0.12345833125</v>
      </c>
      <c r="AB25" s="9">
        <v>9.68258344583333</v>
      </c>
      <c r="AC25" s="57">
        <v>0.548604881554307</v>
      </c>
      <c r="AD25" s="9">
        <v>0.182366666666666</v>
      </c>
      <c r="AE25" s="57">
        <f t="shared" si="1"/>
        <v>0.2151189744</v>
      </c>
      <c r="AF25" s="4">
        <v>6.37291671666667</v>
      </c>
      <c r="AG25" s="68">
        <v>0.114831378968256</v>
      </c>
      <c r="AH25" s="64"/>
      <c r="AI25" s="65"/>
      <c r="AJ25" s="65"/>
      <c r="AK25" s="65"/>
      <c r="AL25" s="66"/>
      <c r="AM25" s="67"/>
    </row>
    <row r="26" spans="1:39">
      <c r="A26" s="38">
        <v>45313</v>
      </c>
      <c r="B26" s="1">
        <v>45069</v>
      </c>
      <c r="C26" s="39">
        <v>0.396596038114343</v>
      </c>
      <c r="D26" s="1">
        <v>44178.2097778</v>
      </c>
      <c r="E26" s="40">
        <v>0.397839126306471</v>
      </c>
      <c r="F26" s="10">
        <v>120.6</v>
      </c>
      <c r="G26" s="40">
        <v>0.929873772791024</v>
      </c>
      <c r="H26" s="4">
        <v>251.293333679167</v>
      </c>
      <c r="I26" s="40">
        <v>0.627724101884389</v>
      </c>
      <c r="J26" s="4">
        <v>186.808330533333</v>
      </c>
      <c r="K26" s="40">
        <v>0.210688756073621</v>
      </c>
      <c r="L26" s="4">
        <v>27.3354761761904</v>
      </c>
      <c r="M26" s="40">
        <v>0.415133397470981</v>
      </c>
      <c r="N26" s="13">
        <v>31.5</v>
      </c>
      <c r="O26" s="44">
        <v>0.354581673306773</v>
      </c>
      <c r="P26" s="19">
        <v>3.86880559383775</v>
      </c>
      <c r="Q26" s="55">
        <v>0.462027426970844</v>
      </c>
      <c r="R26" s="4">
        <v>6.7715083</v>
      </c>
      <c r="S26" s="40">
        <v>0.355295396825397</v>
      </c>
      <c r="T26" s="10">
        <v>4.8</v>
      </c>
      <c r="U26" s="40">
        <v>0.529411764705882</v>
      </c>
      <c r="V26" s="4">
        <v>1.38937500833333</v>
      </c>
      <c r="W26" s="54">
        <f t="shared" si="0"/>
        <v>0.483664442462</v>
      </c>
      <c r="X26" s="4">
        <v>16.1728666916667</v>
      </c>
      <c r="Y26" s="40">
        <v>0.436505543080792</v>
      </c>
      <c r="Z26" s="4">
        <v>0.339</v>
      </c>
      <c r="AA26" s="40">
        <v>0.04225</v>
      </c>
      <c r="AB26" s="9">
        <v>10.349416575</v>
      </c>
      <c r="AC26" s="57">
        <v>0.623529952247191</v>
      </c>
      <c r="AD26" s="9">
        <v>0.188691670833333</v>
      </c>
      <c r="AE26" s="57">
        <f t="shared" si="1"/>
        <v>0.229806838767</v>
      </c>
      <c r="AF26" s="4">
        <v>6.53345835</v>
      </c>
      <c r="AG26" s="68">
        <v>0.210391875</v>
      </c>
      <c r="AH26" s="64"/>
      <c r="AI26" s="65"/>
      <c r="AJ26" s="65"/>
      <c r="AK26" s="65"/>
      <c r="AL26" s="66"/>
      <c r="AM26" s="67"/>
    </row>
    <row r="27" spans="1:39">
      <c r="A27" s="38">
        <v>45314</v>
      </c>
      <c r="B27" s="1">
        <v>45871</v>
      </c>
      <c r="C27" s="39">
        <v>0.421733951855567</v>
      </c>
      <c r="D27" s="1">
        <v>45312</v>
      </c>
      <c r="E27" s="40">
        <v>0.432448107448107</v>
      </c>
      <c r="F27" s="10">
        <v>107.5</v>
      </c>
      <c r="G27" s="40">
        <v>0.746143057503506</v>
      </c>
      <c r="H27" s="4">
        <v>256.832725536364</v>
      </c>
      <c r="I27" s="40">
        <v>0.6972358581549</v>
      </c>
      <c r="J27" s="4">
        <v>217.645455090909</v>
      </c>
      <c r="K27" s="40">
        <v>0.285731037137491</v>
      </c>
      <c r="L27" s="4">
        <v>26.96575004</v>
      </c>
      <c r="M27" s="40">
        <v>0.40423666489832</v>
      </c>
      <c r="N27" s="13">
        <v>30.7</v>
      </c>
      <c r="O27" s="44">
        <v>0.322709163346613</v>
      </c>
      <c r="P27" s="19">
        <v>3.97183385827587</v>
      </c>
      <c r="Q27" s="55">
        <v>0.48878801513659</v>
      </c>
      <c r="R27" s="4">
        <v>6.78504162916667</v>
      </c>
      <c r="S27" s="40">
        <v>0.362455888447974</v>
      </c>
      <c r="T27" s="10">
        <v>4.9</v>
      </c>
      <c r="U27" s="40">
        <v>0.558823529411765</v>
      </c>
      <c r="V27" s="4">
        <v>1.4595833375</v>
      </c>
      <c r="W27" s="54">
        <f t="shared" si="0"/>
        <v>0.508388096837</v>
      </c>
      <c r="X27" s="4">
        <v>13.6222665541667</v>
      </c>
      <c r="Y27" s="40">
        <v>0.349066388555595</v>
      </c>
      <c r="Z27" s="4">
        <v>0.663833325</v>
      </c>
      <c r="AA27" s="40">
        <v>0.12345833125</v>
      </c>
      <c r="AB27" s="9">
        <v>10.3600909545455</v>
      </c>
      <c r="AC27" s="57">
        <v>0.624729320735449</v>
      </c>
      <c r="AD27" s="9">
        <v>0.104954545454545</v>
      </c>
      <c r="AE27" s="57">
        <f t="shared" si="1"/>
        <v>0.035353284641</v>
      </c>
      <c r="AF27" s="4">
        <v>6.7</v>
      </c>
      <c r="AG27" s="68">
        <v>0.30952380952381</v>
      </c>
      <c r="AH27" s="64"/>
      <c r="AI27" s="65"/>
      <c r="AJ27" s="65"/>
      <c r="AK27" s="65"/>
      <c r="AL27" s="66"/>
      <c r="AM27" s="67"/>
    </row>
    <row r="28" spans="1:39">
      <c r="A28" s="38">
        <v>45315</v>
      </c>
      <c r="B28" s="1">
        <v>45617</v>
      </c>
      <c r="C28" s="39">
        <v>0.413772567703109</v>
      </c>
      <c r="D28" s="1">
        <v>44906.1108093</v>
      </c>
      <c r="E28" s="40">
        <v>0.42005832751221</v>
      </c>
      <c r="F28" s="10">
        <v>108.3</v>
      </c>
      <c r="G28" s="40">
        <v>0.757363253856942</v>
      </c>
      <c r="H28" s="4">
        <v>258.18800201</v>
      </c>
      <c r="I28" s="40">
        <v>0.714242715648136</v>
      </c>
      <c r="J28" s="4">
        <v>231.119999325</v>
      </c>
      <c r="K28" s="40">
        <v>0.318521401029372</v>
      </c>
      <c r="L28" s="4">
        <v>26.330714247619</v>
      </c>
      <c r="M28" s="40">
        <v>0.38552060853578</v>
      </c>
      <c r="N28" s="13">
        <v>31.4</v>
      </c>
      <c r="O28" s="44">
        <v>0.350597609561753</v>
      </c>
      <c r="P28" s="19">
        <v>5.58879218718159</v>
      </c>
      <c r="Q28" s="55">
        <v>0.908777191475738</v>
      </c>
      <c r="R28" s="4">
        <v>6.73621674166667</v>
      </c>
      <c r="S28" s="40">
        <v>0.33662261463845</v>
      </c>
      <c r="T28" s="10">
        <v>5.2</v>
      </c>
      <c r="U28" s="40">
        <v>0.647058823529412</v>
      </c>
      <c r="V28" s="4">
        <v>1.393749975</v>
      </c>
      <c r="W28" s="54">
        <f t="shared" si="0"/>
        <v>0.485205073967</v>
      </c>
      <c r="X28" s="4">
        <v>12.9592666916667</v>
      </c>
      <c r="Y28" s="40">
        <v>0.326337562278598</v>
      </c>
      <c r="Z28" s="4">
        <v>0.663833325</v>
      </c>
      <c r="AA28" s="40">
        <v>0.12345833125</v>
      </c>
      <c r="AB28" s="9">
        <v>10.37799996</v>
      </c>
      <c r="AC28" s="57">
        <v>0.626741568539326</v>
      </c>
      <c r="AD28" s="9">
        <v>0.10789</v>
      </c>
      <c r="AE28" s="57">
        <f t="shared" si="1"/>
        <v>0.042169969197</v>
      </c>
      <c r="AF28" s="4">
        <v>6.198719945</v>
      </c>
      <c r="AG28" s="68">
        <v>0.0111428244047619</v>
      </c>
      <c r="AH28" s="64"/>
      <c r="AI28" s="65"/>
      <c r="AJ28" s="65"/>
      <c r="AK28" s="65"/>
      <c r="AL28" s="66"/>
      <c r="AM28" s="67"/>
    </row>
    <row r="29" spans="1:39">
      <c r="A29" s="38">
        <v>45316</v>
      </c>
      <c r="B29" s="1">
        <v>42795</v>
      </c>
      <c r="C29" s="39">
        <v>0.325319709127382</v>
      </c>
      <c r="D29" s="1">
        <v>42308.6955028</v>
      </c>
      <c r="E29" s="40">
        <v>0.340772145995116</v>
      </c>
      <c r="F29" s="10">
        <v>106.2</v>
      </c>
      <c r="G29" s="40">
        <v>0.727910238429173</v>
      </c>
      <c r="H29" s="4">
        <v>250.796186909524</v>
      </c>
      <c r="I29" s="40">
        <v>0.621485593042088</v>
      </c>
      <c r="J29" s="4">
        <v>200.96189662381</v>
      </c>
      <c r="K29" s="40">
        <v>0.245131522701701</v>
      </c>
      <c r="L29" s="4">
        <v>26.169749875</v>
      </c>
      <c r="M29" s="40">
        <v>0.380776595195992</v>
      </c>
      <c r="N29" s="13">
        <v>30.57</v>
      </c>
      <c r="O29" s="44">
        <v>0.317529880478088</v>
      </c>
      <c r="P29" s="19">
        <v>3.38014836053572</v>
      </c>
      <c r="Q29" s="55">
        <v>0.335103470269018</v>
      </c>
      <c r="R29" s="4">
        <v>6.41939995</v>
      </c>
      <c r="S29" s="40">
        <v>0.168994682539683</v>
      </c>
      <c r="T29" s="10">
        <v>4.8</v>
      </c>
      <c r="U29" s="40">
        <v>0.529411764705882</v>
      </c>
      <c r="V29" s="4">
        <v>1.156666675</v>
      </c>
      <c r="W29" s="54">
        <f t="shared" si="0"/>
        <v>0.401716894762</v>
      </c>
      <c r="X29" s="4">
        <v>11.8447333083333</v>
      </c>
      <c r="Y29" s="40">
        <v>0.288129355787909</v>
      </c>
      <c r="Z29" s="4">
        <v>0.461238095238095</v>
      </c>
      <c r="AA29" s="40">
        <v>0.0728095238095237</v>
      </c>
      <c r="AB29" s="9">
        <v>9.66628569047619</v>
      </c>
      <c r="AC29" s="57">
        <v>0.546773673087212</v>
      </c>
      <c r="AD29" s="9">
        <v>0.141095238095238</v>
      </c>
      <c r="AE29" s="57">
        <f t="shared" si="1"/>
        <v>0.119278856492</v>
      </c>
      <c r="AF29" s="4">
        <v>6.4592</v>
      </c>
      <c r="AG29" s="68">
        <v>0.166190476190476</v>
      </c>
      <c r="AH29" s="64"/>
      <c r="AI29" s="65"/>
      <c r="AJ29" s="65"/>
      <c r="AK29" s="65"/>
      <c r="AL29" s="66"/>
      <c r="AM29" s="67"/>
    </row>
    <row r="30" spans="1:39">
      <c r="A30" s="38">
        <v>45317</v>
      </c>
      <c r="B30" s="1">
        <v>44816</v>
      </c>
      <c r="C30" s="39">
        <v>0.388665997993982</v>
      </c>
      <c r="D30" s="1">
        <v>44263.8069714</v>
      </c>
      <c r="E30" s="40">
        <v>0.400451983253968</v>
      </c>
      <c r="F30" s="10">
        <v>108.2</v>
      </c>
      <c r="G30" s="40">
        <v>0.755960729312763</v>
      </c>
      <c r="H30" s="4">
        <v>262.247619633333</v>
      </c>
      <c r="I30" s="40">
        <v>0.765185338603752</v>
      </c>
      <c r="J30" s="4">
        <v>262.528567361905</v>
      </c>
      <c r="K30" s="40">
        <v>0.394954292365865</v>
      </c>
      <c r="L30" s="4">
        <v>27.323750065</v>
      </c>
      <c r="M30" s="40">
        <v>0.414787800324197</v>
      </c>
      <c r="N30" s="13">
        <v>32.7</v>
      </c>
      <c r="O30" s="44">
        <v>0.402390438247012</v>
      </c>
      <c r="P30" s="19">
        <v>3.50268362274257</v>
      </c>
      <c r="Q30" s="55">
        <v>0.366930811101966</v>
      </c>
      <c r="R30" s="4">
        <v>6.52966664583333</v>
      </c>
      <c r="S30" s="40">
        <v>0.227336849647265</v>
      </c>
      <c r="T30" s="10">
        <v>5.3</v>
      </c>
      <c r="U30" s="40">
        <v>0.676470588235294</v>
      </c>
      <c r="V30" s="4">
        <v>1.16062501666667</v>
      </c>
      <c r="W30" s="54">
        <f t="shared" si="0"/>
        <v>0.403110813011</v>
      </c>
      <c r="X30" s="4">
        <v>11.696533325</v>
      </c>
      <c r="Y30" s="40">
        <v>0.283048794137813</v>
      </c>
      <c r="Z30" s="4">
        <v>0.640190485714286</v>
      </c>
      <c r="AA30" s="40">
        <v>0.117547621428572</v>
      </c>
      <c r="AB30" s="4">
        <v>9.40380940952381</v>
      </c>
      <c r="AC30" s="40">
        <v>0.517281956126271</v>
      </c>
      <c r="AD30" s="4">
        <v>0.146038095238095</v>
      </c>
      <c r="AE30" s="57">
        <f t="shared" si="1"/>
        <v>0.130757112219</v>
      </c>
      <c r="AF30" s="4">
        <v>6.43080006666667</v>
      </c>
      <c r="AG30" s="68">
        <v>0.149285753968256</v>
      </c>
      <c r="AH30" s="64"/>
      <c r="AI30" s="65"/>
      <c r="AJ30" s="65"/>
      <c r="AK30" s="65"/>
      <c r="AL30" s="66"/>
      <c r="AM30" s="67"/>
    </row>
    <row r="31" spans="1:39">
      <c r="A31" s="38">
        <v>45318</v>
      </c>
      <c r="B31" s="1">
        <v>41925</v>
      </c>
      <c r="C31" s="39">
        <v>0.298050401203611</v>
      </c>
      <c r="D31" s="1">
        <v>41468.8814088</v>
      </c>
      <c r="E31" s="40">
        <v>0.315136795140415</v>
      </c>
      <c r="F31" s="10">
        <v>111.2</v>
      </c>
      <c r="G31" s="40">
        <v>0.798036465638149</v>
      </c>
      <c r="H31" s="4">
        <v>255.557891052632</v>
      </c>
      <c r="I31" s="40">
        <v>0.681238437101669</v>
      </c>
      <c r="J31" s="4">
        <v>240.136841610526</v>
      </c>
      <c r="K31" s="40">
        <v>0.340463927215161</v>
      </c>
      <c r="L31" s="4">
        <v>27.72875007</v>
      </c>
      <c r="M31" s="40">
        <v>0.426724139994106</v>
      </c>
      <c r="N31" s="13">
        <v>33.6</v>
      </c>
      <c r="O31" s="44">
        <v>0.438247011952191</v>
      </c>
      <c r="P31" s="19">
        <v>4.12285556000486</v>
      </c>
      <c r="Q31" s="55">
        <v>0.528014431170094</v>
      </c>
      <c r="R31" s="4">
        <v>6.49921665416667</v>
      </c>
      <c r="S31" s="40">
        <v>0.211225742945328</v>
      </c>
      <c r="T31" s="11">
        <v>5.5</v>
      </c>
      <c r="U31" s="40">
        <v>0.735294117647059</v>
      </c>
      <c r="V31" s="4">
        <v>1.12291665833333</v>
      </c>
      <c r="W31" s="54">
        <f t="shared" si="0"/>
        <v>0.389831926738</v>
      </c>
      <c r="X31" s="4">
        <v>13.8684000833333</v>
      </c>
      <c r="Y31" s="40">
        <v>0.357504288081361</v>
      </c>
      <c r="Z31" s="4">
        <v>0.913578968421053</v>
      </c>
      <c r="AA31" s="40">
        <v>0.185894742105263</v>
      </c>
      <c r="AB31" s="4">
        <v>8.76536834210526</v>
      </c>
      <c r="AC31" s="40">
        <v>0.445547004730928</v>
      </c>
      <c r="AD31" s="4">
        <v>0.143126315789474</v>
      </c>
      <c r="AE31" s="57">
        <f t="shared" si="1"/>
        <v>0.123995405747</v>
      </c>
      <c r="AF31" s="4">
        <v>6.42703154210526</v>
      </c>
      <c r="AG31" s="68">
        <v>0.147042584586464</v>
      </c>
      <c r="AH31" s="64"/>
      <c r="AI31" s="65"/>
      <c r="AJ31" s="65"/>
      <c r="AK31" s="65"/>
      <c r="AL31" s="66"/>
      <c r="AM31" s="67"/>
    </row>
    <row r="32" spans="1:39">
      <c r="A32" s="38">
        <v>45319</v>
      </c>
      <c r="B32" s="1">
        <v>43571</v>
      </c>
      <c r="C32" s="39">
        <v>0.349642678034102</v>
      </c>
      <c r="D32" s="1">
        <v>42946.8814701</v>
      </c>
      <c r="E32" s="40">
        <v>0.360252792127595</v>
      </c>
      <c r="F32" s="10">
        <v>113.4</v>
      </c>
      <c r="G32" s="40">
        <v>0.828892005610098</v>
      </c>
      <c r="H32" s="4">
        <v>251.116189147619</v>
      </c>
      <c r="I32" s="40">
        <v>0.625501181423252</v>
      </c>
      <c r="J32" s="4">
        <v>211.409522647619</v>
      </c>
      <c r="K32" s="40">
        <v>0.270555867538556</v>
      </c>
      <c r="L32" s="4">
        <v>27.909047647619</v>
      </c>
      <c r="M32" s="40">
        <v>0.432037950121397</v>
      </c>
      <c r="N32" s="13">
        <v>30.6</v>
      </c>
      <c r="O32" s="44">
        <v>0.318725099601594</v>
      </c>
      <c r="P32" s="19">
        <v>3.50520624973322</v>
      </c>
      <c r="Q32" s="55">
        <v>0.367586038891746</v>
      </c>
      <c r="R32" s="4">
        <v>6.77150830833333</v>
      </c>
      <c r="S32" s="40">
        <v>0.355295401234566</v>
      </c>
      <c r="T32" s="10">
        <v>4.9</v>
      </c>
      <c r="U32" s="40">
        <v>0.558823529411765</v>
      </c>
      <c r="V32" s="4">
        <v>1.10166665416667</v>
      </c>
      <c r="W32" s="54">
        <f t="shared" si="0"/>
        <v>0.38234880095</v>
      </c>
      <c r="X32" s="4">
        <v>13.7448383428571</v>
      </c>
      <c r="Y32" s="40">
        <v>0.353268369655711</v>
      </c>
      <c r="Z32" s="4">
        <v>2.1730476</v>
      </c>
      <c r="AA32" s="40">
        <v>0.5007619</v>
      </c>
      <c r="AB32" s="4">
        <v>9.76761914285714</v>
      </c>
      <c r="AC32" s="40">
        <v>0.558159454253611</v>
      </c>
      <c r="AD32" s="4">
        <v>0.152733333333333</v>
      </c>
      <c r="AE32" s="57">
        <f t="shared" si="1"/>
        <v>0.146304730285</v>
      </c>
      <c r="AF32" s="4">
        <v>6.42160004761905</v>
      </c>
      <c r="AG32" s="68">
        <v>0.143809552154196</v>
      </c>
      <c r="AH32" s="64"/>
      <c r="AI32" s="65"/>
      <c r="AJ32" s="65"/>
      <c r="AK32" s="65"/>
      <c r="AL32" s="69"/>
      <c r="AM32" s="67"/>
    </row>
    <row r="33" spans="1:39">
      <c r="A33" s="38">
        <v>45320</v>
      </c>
      <c r="B33" s="1">
        <v>42687</v>
      </c>
      <c r="C33" s="39">
        <v>0.321934553660983</v>
      </c>
      <c r="D33" s="1">
        <v>42226.7714845</v>
      </c>
      <c r="E33" s="40">
        <v>0.338271412835775</v>
      </c>
      <c r="F33" s="10">
        <v>112.5</v>
      </c>
      <c r="G33" s="40">
        <v>0.816269284712483</v>
      </c>
      <c r="H33" s="4">
        <v>244.899999629167</v>
      </c>
      <c r="I33" s="40">
        <v>0.547496544474426</v>
      </c>
      <c r="J33" s="4">
        <v>260.120836266667</v>
      </c>
      <c r="K33" s="40">
        <v>0.389095067935334</v>
      </c>
      <c r="L33" s="4">
        <v>26.6030951571428</v>
      </c>
      <c r="M33" s="40">
        <v>0.393548339438338</v>
      </c>
      <c r="N33" s="13">
        <v>31.4</v>
      </c>
      <c r="O33" s="44">
        <v>0.350597609561753</v>
      </c>
      <c r="P33" s="7">
        <v>3.48</v>
      </c>
      <c r="Q33" s="40">
        <v>0.361038961038961</v>
      </c>
      <c r="R33" s="4">
        <v>6.10027494404171</v>
      </c>
      <c r="S33" s="40">
        <v>0.000145473037942164</v>
      </c>
      <c r="T33" s="10">
        <v>4.7</v>
      </c>
      <c r="U33" s="40">
        <v>0.5</v>
      </c>
      <c r="V33" s="4">
        <v>1.22729167916667</v>
      </c>
      <c r="W33" s="54">
        <f t="shared" si="0"/>
        <v>0.426587279999</v>
      </c>
      <c r="X33" s="4">
        <v>13.1898000125</v>
      </c>
      <c r="Y33" s="40">
        <v>0.334240658639013</v>
      </c>
      <c r="Z33" s="4">
        <v>2.8810833375</v>
      </c>
      <c r="AA33" s="40">
        <v>0.677770834375</v>
      </c>
      <c r="AB33" s="4">
        <v>9.74200006666667</v>
      </c>
      <c r="AC33" s="40">
        <v>0.555280906367042</v>
      </c>
      <c r="AD33" s="4">
        <v>0.153041666666667</v>
      </c>
      <c r="AE33" s="57">
        <f t="shared" si="1"/>
        <v>0.147020739012</v>
      </c>
      <c r="AF33" s="4">
        <v>6.34450829166667</v>
      </c>
      <c r="AG33" s="68">
        <v>0.0979216021825417</v>
      </c>
      <c r="AH33" s="64"/>
      <c r="AI33" s="65"/>
      <c r="AJ33" s="65"/>
      <c r="AK33" s="65"/>
      <c r="AL33" s="66"/>
      <c r="AM33" s="67"/>
    </row>
    <row r="34" spans="1:39">
      <c r="A34" s="38">
        <v>45321</v>
      </c>
      <c r="B34" s="1">
        <v>39157</v>
      </c>
      <c r="C34" s="39">
        <v>0.211290120361083</v>
      </c>
      <c r="D34" s="1">
        <v>39873.5767516</v>
      </c>
      <c r="E34" s="40">
        <v>0.266440071782662</v>
      </c>
      <c r="F34" s="10">
        <v>111</v>
      </c>
      <c r="G34" s="40">
        <v>0.79523141654979</v>
      </c>
      <c r="H34" s="4">
        <v>258.626666379167</v>
      </c>
      <c r="I34" s="40">
        <v>0.719747350723641</v>
      </c>
      <c r="J34" s="4">
        <v>281.016666729167</v>
      </c>
      <c r="K34" s="40">
        <v>0.439945165184258</v>
      </c>
      <c r="L34" s="4">
        <v>26.701750075</v>
      </c>
      <c r="M34" s="40">
        <v>0.396455940907751</v>
      </c>
      <c r="N34" s="13">
        <v>30.9</v>
      </c>
      <c r="O34" s="44">
        <v>0.330677290836653</v>
      </c>
      <c r="P34" s="6">
        <v>5.13</v>
      </c>
      <c r="Q34" s="40">
        <v>0.78961038961039</v>
      </c>
      <c r="R34" s="4">
        <v>6.41590814971554</v>
      </c>
      <c r="S34" s="40">
        <v>0.167147169161662</v>
      </c>
      <c r="T34" s="10">
        <v>5.2</v>
      </c>
      <c r="U34" s="40">
        <v>0.647058823529412</v>
      </c>
      <c r="V34" s="4">
        <v>2.0675</v>
      </c>
      <c r="W34" s="54">
        <f t="shared" si="0"/>
        <v>0.722464142092</v>
      </c>
      <c r="X34" s="4">
        <v>11.765866725</v>
      </c>
      <c r="Y34" s="40">
        <v>0.285425667637984</v>
      </c>
      <c r="Z34" s="4">
        <v>2.78624999583333</v>
      </c>
      <c r="AA34" s="40">
        <v>0.654062498958333</v>
      </c>
      <c r="AB34" s="4">
        <v>9.6135832875</v>
      </c>
      <c r="AC34" s="40">
        <v>0.540852054775281</v>
      </c>
      <c r="AD34" s="4">
        <v>0.163466666666667</v>
      </c>
      <c r="AE34" s="57">
        <f t="shared" si="1"/>
        <v>0.17122957461</v>
      </c>
      <c r="AF34" s="4">
        <v>6.21296667916667</v>
      </c>
      <c r="AG34" s="68">
        <v>0.0196230233134944</v>
      </c>
      <c r="AH34" s="64"/>
      <c r="AI34" s="65"/>
      <c r="AJ34" s="65"/>
      <c r="AK34" s="65"/>
      <c r="AL34" s="66"/>
      <c r="AM34" s="67"/>
    </row>
    <row r="35" spans="1:39">
      <c r="A35" s="38">
        <v>45322</v>
      </c>
      <c r="B35" s="1">
        <v>40246</v>
      </c>
      <c r="C35" s="39">
        <v>0.245423771313942</v>
      </c>
      <c r="D35" s="1">
        <v>39790.3431702</v>
      </c>
      <c r="E35" s="40">
        <v>0.263899364169719</v>
      </c>
      <c r="F35" s="11">
        <v>113.9</v>
      </c>
      <c r="G35" s="40">
        <v>0.835904628330996</v>
      </c>
      <c r="H35" s="4">
        <v>259.373335520833</v>
      </c>
      <c r="I35" s="40">
        <v>0.729117022472493</v>
      </c>
      <c r="J35" s="4">
        <v>256.808334991667</v>
      </c>
      <c r="K35" s="40">
        <v>0.381034081210101</v>
      </c>
      <c r="L35" s="4">
        <v>23.7976190666666</v>
      </c>
      <c r="M35" s="40">
        <v>0.31086410452893</v>
      </c>
      <c r="N35" s="14">
        <v>31.64</v>
      </c>
      <c r="O35" s="44">
        <v>0.360159362549801</v>
      </c>
      <c r="P35" s="4">
        <v>4.74</v>
      </c>
      <c r="Q35" s="40">
        <v>0.688311688311688</v>
      </c>
      <c r="R35" s="4">
        <v>6.80120000833333</v>
      </c>
      <c r="S35" s="40">
        <v>0.371005295414461</v>
      </c>
      <c r="T35" s="10">
        <v>5.1</v>
      </c>
      <c r="U35" s="40">
        <v>0.617647058823529</v>
      </c>
      <c r="V35" s="4">
        <v>2.35071428571428</v>
      </c>
      <c r="W35" s="54">
        <f t="shared" si="0"/>
        <v>0.82219721076</v>
      </c>
      <c r="X35" s="4">
        <v>14.546999925</v>
      </c>
      <c r="Y35" s="40">
        <v>0.380767909667467</v>
      </c>
      <c r="Z35" s="4">
        <v>4.17</v>
      </c>
      <c r="AA35" s="40">
        <v>1</v>
      </c>
      <c r="AB35" s="4">
        <v>9.25908335</v>
      </c>
      <c r="AC35" s="40">
        <v>0.501020601123595</v>
      </c>
      <c r="AD35" s="4">
        <v>0.145758333333333</v>
      </c>
      <c r="AE35" s="57">
        <f t="shared" si="1"/>
        <v>0.130107451791</v>
      </c>
      <c r="AF35" s="4">
        <v>6.24551667916667</v>
      </c>
      <c r="AG35" s="68">
        <v>0.0389980233134941</v>
      </c>
      <c r="AH35" s="64"/>
      <c r="AI35" s="65"/>
      <c r="AJ35" s="65"/>
      <c r="AK35" s="65"/>
      <c r="AL35" s="66"/>
      <c r="AM35" s="67"/>
    </row>
    <row r="36" spans="1:39">
      <c r="A36" s="38">
        <v>45323</v>
      </c>
      <c r="B36" s="1">
        <v>40825</v>
      </c>
      <c r="C36" s="39">
        <v>0.263571965897693</v>
      </c>
      <c r="D36" s="1">
        <v>39802.3580956</v>
      </c>
      <c r="E36" s="40">
        <v>0.26426612013431</v>
      </c>
      <c r="F36" s="10">
        <v>108.2</v>
      </c>
      <c r="G36" s="40">
        <v>0.755960729312763</v>
      </c>
      <c r="H36" s="4">
        <v>253.846666345833</v>
      </c>
      <c r="I36" s="40">
        <v>0.659764918381641</v>
      </c>
      <c r="J36" s="4">
        <v>180.545835816667</v>
      </c>
      <c r="K36" s="40">
        <v>0.195448947063166</v>
      </c>
      <c r="L36" s="4">
        <v>21.9952083625</v>
      </c>
      <c r="M36" s="40">
        <v>0.257742657309166</v>
      </c>
      <c r="N36" s="13">
        <v>30.7</v>
      </c>
      <c r="O36" s="44">
        <v>0.322709163346613</v>
      </c>
      <c r="P36" s="4">
        <v>3.66</v>
      </c>
      <c r="Q36" s="40">
        <v>0.407792207792208</v>
      </c>
      <c r="R36" s="4">
        <v>6.82533332857143</v>
      </c>
      <c r="S36" s="40">
        <v>0.383774247921392</v>
      </c>
      <c r="T36" s="11">
        <v>4.6</v>
      </c>
      <c r="U36" s="40">
        <v>0.470588235294118</v>
      </c>
      <c r="V36" s="4">
        <v>1.80808023470158</v>
      </c>
      <c r="W36" s="54">
        <f t="shared" si="0"/>
        <v>0.631110243043</v>
      </c>
      <c r="X36" s="4">
        <v>14.2627332833333</v>
      </c>
      <c r="Y36" s="40">
        <v>0.371022738544165</v>
      </c>
      <c r="Z36" s="4">
        <v>0.8845</v>
      </c>
      <c r="AA36" s="40">
        <v>0.178625</v>
      </c>
      <c r="AB36" s="9">
        <v>7.00641662916667</v>
      </c>
      <c r="AC36" s="57">
        <v>0.247911980805244</v>
      </c>
      <c r="AD36" s="9">
        <v>0.204758333333333</v>
      </c>
      <c r="AE36" s="57">
        <f t="shared" si="1"/>
        <v>0.267116689229</v>
      </c>
      <c r="AF36" s="4">
        <v>6.28664168333333</v>
      </c>
      <c r="AG36" s="44">
        <v>0.0634771924603156</v>
      </c>
      <c r="AH36" s="66"/>
      <c r="AI36" s="66"/>
      <c r="AJ36" s="66"/>
      <c r="AK36" s="66"/>
      <c r="AL36" s="66"/>
      <c r="AM36" s="67"/>
    </row>
    <row r="37" spans="1:33">
      <c r="A37" s="38">
        <v>45324</v>
      </c>
      <c r="B37" s="1">
        <v>42076</v>
      </c>
      <c r="C37" s="39">
        <v>0.30278335005015</v>
      </c>
      <c r="D37" s="1">
        <v>41667.8952028</v>
      </c>
      <c r="E37" s="40">
        <v>0.321211697277167</v>
      </c>
      <c r="F37" s="10">
        <v>98.3</v>
      </c>
      <c r="G37" s="40">
        <v>0.61711079943899</v>
      </c>
      <c r="H37" s="4">
        <v>247.1433289875</v>
      </c>
      <c r="I37" s="40">
        <v>0.575647245419752</v>
      </c>
      <c r="J37" s="4">
        <v>189.5416674625</v>
      </c>
      <c r="K37" s="40">
        <v>0.217340343762928</v>
      </c>
      <c r="L37" s="4">
        <v>24.576874975</v>
      </c>
      <c r="M37" s="40">
        <v>0.333830680076628</v>
      </c>
      <c r="N37" s="13">
        <v>29.8</v>
      </c>
      <c r="O37" s="44">
        <v>0.286852589641434</v>
      </c>
      <c r="P37" s="4">
        <v>3.95</v>
      </c>
      <c r="Q37" s="40">
        <v>0.483116883116883</v>
      </c>
      <c r="R37" s="4">
        <v>6.91853330952381</v>
      </c>
      <c r="S37" s="40">
        <v>0.433086407155455</v>
      </c>
      <c r="T37" s="10">
        <v>3.7</v>
      </c>
      <c r="U37" s="40">
        <v>0.205882352941177</v>
      </c>
      <c r="V37" s="4">
        <v>1.72490400439535</v>
      </c>
      <c r="W37" s="54">
        <f t="shared" si="0"/>
        <v>0.601819980839</v>
      </c>
      <c r="X37" s="4">
        <v>11.0690666125</v>
      </c>
      <c r="Y37" s="40">
        <v>0.261538108073363</v>
      </c>
      <c r="Z37" s="4">
        <v>0.474249995833333</v>
      </c>
      <c r="AA37" s="40">
        <v>0.0760624989583333</v>
      </c>
      <c r="AB37" s="9">
        <v>8.47758339583333</v>
      </c>
      <c r="AC37" s="57">
        <v>0.413211617509363</v>
      </c>
      <c r="AD37" s="9">
        <v>0.163858333333333</v>
      </c>
      <c r="AE37" s="57">
        <f t="shared" si="1"/>
        <v>0.172139099209</v>
      </c>
      <c r="AF37" s="4">
        <v>6.32187499166667</v>
      </c>
      <c r="AG37" s="70">
        <v>0.0844493998015894</v>
      </c>
    </row>
    <row r="38" spans="1:33">
      <c r="A38" s="38">
        <v>45325</v>
      </c>
      <c r="B38" s="1">
        <v>44154</v>
      </c>
      <c r="C38" s="39">
        <v>0.367916248746239</v>
      </c>
      <c r="D38" s="1">
        <v>43914.3217773</v>
      </c>
      <c r="E38" s="40">
        <v>0.38978393703602</v>
      </c>
      <c r="F38" s="10">
        <v>99.4</v>
      </c>
      <c r="G38" s="40">
        <v>0.632538569424965</v>
      </c>
      <c r="H38" s="4">
        <v>232.111303573913</v>
      </c>
      <c r="I38" s="40">
        <v>0.387015981602623</v>
      </c>
      <c r="J38" s="4">
        <v>186.413042973913</v>
      </c>
      <c r="K38" s="40">
        <v>0.209726822023004</v>
      </c>
      <c r="L38" s="4">
        <v>25.6152172913043</v>
      </c>
      <c r="M38" s="40">
        <v>0.364433165084123</v>
      </c>
      <c r="N38" s="13">
        <v>30.4</v>
      </c>
      <c r="O38" s="44">
        <v>0.310756972111554</v>
      </c>
      <c r="P38" s="4">
        <v>3.73</v>
      </c>
      <c r="Q38" s="40">
        <v>0.425974025974026</v>
      </c>
      <c r="R38" s="4">
        <v>6.90516845263158</v>
      </c>
      <c r="S38" s="40">
        <v>0.426015054302423</v>
      </c>
      <c r="T38" s="10">
        <v>4</v>
      </c>
      <c r="U38" s="40">
        <v>0.294117647058824</v>
      </c>
      <c r="V38" s="4">
        <v>1.20552694768249</v>
      </c>
      <c r="W38" s="54">
        <f t="shared" si="0"/>
        <v>0.418922894517</v>
      </c>
      <c r="X38" s="4">
        <v>11.4668666583333</v>
      </c>
      <c r="Y38" s="40">
        <v>0.275175408239057</v>
      </c>
      <c r="Z38" s="4">
        <v>1.00933333333333</v>
      </c>
      <c r="AA38" s="40">
        <v>0.209833333333333</v>
      </c>
      <c r="AB38" s="9">
        <v>8.41643476086956</v>
      </c>
      <c r="AC38" s="57">
        <v>0.406340984367366</v>
      </c>
      <c r="AD38" s="9">
        <v>0.244721739130434</v>
      </c>
      <c r="AE38" s="57">
        <f t="shared" si="1"/>
        <v>0.359919329123</v>
      </c>
      <c r="AF38" s="4">
        <v>6.3653130173913</v>
      </c>
      <c r="AG38" s="70">
        <v>0.110305367494822</v>
      </c>
    </row>
    <row r="39" spans="1:33">
      <c r="A39" s="38">
        <v>45326</v>
      </c>
      <c r="B39" s="1">
        <v>44287</v>
      </c>
      <c r="C39" s="39">
        <v>0.372085005015045</v>
      </c>
      <c r="D39" s="1">
        <v>43706.5770131</v>
      </c>
      <c r="E39" s="40">
        <v>0.383442521767399</v>
      </c>
      <c r="F39" s="10">
        <v>97.6</v>
      </c>
      <c r="G39" s="40">
        <v>0.607293127629734</v>
      </c>
      <c r="H39" s="4">
        <v>247.656667708333</v>
      </c>
      <c r="I39" s="40">
        <v>0.58208894100054</v>
      </c>
      <c r="J39" s="4">
        <v>192.400000245833</v>
      </c>
      <c r="K39" s="40">
        <v>0.224296109424557</v>
      </c>
      <c r="L39" s="4">
        <v>23.9624999416666</v>
      </c>
      <c r="M39" s="40">
        <v>0.315723546762941</v>
      </c>
      <c r="N39" s="13">
        <v>31.2</v>
      </c>
      <c r="O39" s="44">
        <v>0.342629482071713</v>
      </c>
      <c r="P39" s="4">
        <v>4.56</v>
      </c>
      <c r="Q39" s="40">
        <v>0.641558441558441</v>
      </c>
      <c r="R39" s="4">
        <v>6.89556002</v>
      </c>
      <c r="S39" s="40">
        <v>0.420931227513227</v>
      </c>
      <c r="T39" s="10">
        <v>3.8</v>
      </c>
      <c r="U39" s="40">
        <v>0.235294117647059</v>
      </c>
      <c r="V39" s="4">
        <v>1.44169131636479</v>
      </c>
      <c r="W39" s="54">
        <f t="shared" si="0"/>
        <v>0.50208747479</v>
      </c>
      <c r="X39" s="4">
        <v>11.8308667333333</v>
      </c>
      <c r="Y39" s="40">
        <v>0.287653984687463</v>
      </c>
      <c r="Z39" s="4">
        <v>1.62900002083333</v>
      </c>
      <c r="AA39" s="40">
        <v>0.364750005208333</v>
      </c>
      <c r="AB39" s="9">
        <v>9.63774998333333</v>
      </c>
      <c r="AC39" s="57">
        <v>0.543567413857678</v>
      </c>
      <c r="AD39" s="9">
        <v>0.242766666666666</v>
      </c>
      <c r="AE39" s="57">
        <f t="shared" si="1"/>
        <v>0.355379278489</v>
      </c>
      <c r="AF39" s="4">
        <v>6.31994999166667</v>
      </c>
      <c r="AG39" s="70">
        <v>0.0833035664682561</v>
      </c>
    </row>
    <row r="40" spans="1:33">
      <c r="A40" s="38">
        <v>45327</v>
      </c>
      <c r="B40" s="1">
        <v>46598</v>
      </c>
      <c r="C40" s="39">
        <v>0.444521063189569</v>
      </c>
      <c r="D40" s="1">
        <v>46183.1288451</v>
      </c>
      <c r="E40" s="40">
        <v>0.45903934203602</v>
      </c>
      <c r="F40" s="10">
        <v>110.8</v>
      </c>
      <c r="G40" s="40">
        <v>0.792426367461431</v>
      </c>
      <c r="H40" s="4">
        <v>228.4966697625</v>
      </c>
      <c r="I40" s="40">
        <v>0.341657294045677</v>
      </c>
      <c r="J40" s="4">
        <v>240.387498695833</v>
      </c>
      <c r="K40" s="40">
        <v>0.341073902357659</v>
      </c>
      <c r="L40" s="4">
        <v>24.1689583625</v>
      </c>
      <c r="M40" s="40">
        <v>0.321808380857648</v>
      </c>
      <c r="N40" s="13">
        <v>32.7</v>
      </c>
      <c r="O40" s="44">
        <v>0.402390438247012</v>
      </c>
      <c r="P40" s="4">
        <v>4.04</v>
      </c>
      <c r="Q40" s="40">
        <v>0.506493506493507</v>
      </c>
      <c r="R40" s="4">
        <v>6.90199995</v>
      </c>
      <c r="S40" s="40">
        <v>0.424338597883598</v>
      </c>
      <c r="T40" s="10">
        <v>3.2</v>
      </c>
      <c r="U40" s="40">
        <v>0.0588235294117648</v>
      </c>
      <c r="V40" s="4">
        <v>1.34333804282989</v>
      </c>
      <c r="W40" s="54">
        <f t="shared" si="0"/>
        <v>0.467452661936</v>
      </c>
      <c r="X40" s="4">
        <v>13.3102664916667</v>
      </c>
      <c r="Y40" s="40">
        <v>0.33837046594675</v>
      </c>
      <c r="Z40" s="4">
        <v>3.71124999166667</v>
      </c>
      <c r="AA40" s="40">
        <v>0.885312497916668</v>
      </c>
      <c r="AB40" s="9">
        <v>7.1951667</v>
      </c>
      <c r="AC40" s="57">
        <v>0.269119853932584</v>
      </c>
      <c r="AD40" s="9">
        <v>0.1412</v>
      </c>
      <c r="AE40" s="57">
        <f t="shared" si="1"/>
        <v>0.119522133588</v>
      </c>
      <c r="AF40" s="4">
        <v>6.29119169583333</v>
      </c>
      <c r="AG40" s="70">
        <v>0.0661855332341252</v>
      </c>
    </row>
    <row r="41" spans="1:33">
      <c r="A41" s="38">
        <v>45328</v>
      </c>
      <c r="B41" s="1">
        <v>46973</v>
      </c>
      <c r="C41" s="39">
        <v>0.456275075225677</v>
      </c>
      <c r="D41" s="1">
        <v>46475.8341672</v>
      </c>
      <c r="E41" s="40">
        <v>0.467974180927961</v>
      </c>
      <c r="F41" s="10">
        <v>109.3</v>
      </c>
      <c r="G41" s="40">
        <v>0.771388499298738</v>
      </c>
      <c r="H41" s="4">
        <v>241.423332220833</v>
      </c>
      <c r="I41" s="40">
        <v>0.5038691457</v>
      </c>
      <c r="J41" s="4">
        <v>259.2166674875</v>
      </c>
      <c r="K41" s="40">
        <v>0.38689476915168</v>
      </c>
      <c r="L41" s="4">
        <v>24.1272916625</v>
      </c>
      <c r="M41" s="40">
        <v>0.320580361405836</v>
      </c>
      <c r="N41" s="13">
        <v>30.9</v>
      </c>
      <c r="O41" s="44">
        <v>0.330677290836653</v>
      </c>
      <c r="P41" s="4">
        <v>3.73</v>
      </c>
      <c r="Q41" s="40">
        <v>0.425974025974026</v>
      </c>
      <c r="R41" s="4">
        <v>6.871689985</v>
      </c>
      <c r="S41" s="40">
        <v>0.408301579365079</v>
      </c>
      <c r="T41" s="10">
        <v>4.3</v>
      </c>
      <c r="U41" s="40">
        <v>0.382352941176471</v>
      </c>
      <c r="V41" s="4">
        <v>1.49908659579858</v>
      </c>
      <c r="W41" s="54">
        <f t="shared" si="0"/>
        <v>0.522299051796</v>
      </c>
      <c r="X41" s="4">
        <v>14.6648665125</v>
      </c>
      <c r="Y41" s="40">
        <v>0.384808588018512</v>
      </c>
      <c r="Z41" s="4">
        <v>3.4222500125</v>
      </c>
      <c r="AA41" s="40">
        <v>0.813062503125</v>
      </c>
      <c r="AB41" s="9">
        <v>7.306</v>
      </c>
      <c r="AC41" s="57">
        <v>0.281573033707865</v>
      </c>
      <c r="AD41" s="9">
        <v>0.244866666666666</v>
      </c>
      <c r="AE41" s="57">
        <f t="shared" si="1"/>
        <v>0.360255878465</v>
      </c>
      <c r="AF41" s="4">
        <v>6.36580005833333</v>
      </c>
      <c r="AG41" s="70">
        <v>0.110595272817459</v>
      </c>
    </row>
    <row r="42" spans="1:33">
      <c r="A42" s="38">
        <v>45329</v>
      </c>
      <c r="B42" s="1">
        <v>42589</v>
      </c>
      <c r="C42" s="39">
        <v>0.318862838515547</v>
      </c>
      <c r="D42" s="1">
        <v>41283.5062866</v>
      </c>
      <c r="E42" s="40">
        <v>0.309478213876679</v>
      </c>
      <c r="F42" s="10">
        <v>110.77777</v>
      </c>
      <c r="G42" s="40">
        <v>0.79211458625526</v>
      </c>
      <c r="H42" s="4">
        <v>247.236665095833</v>
      </c>
      <c r="I42" s="40">
        <v>0.57681848532856</v>
      </c>
      <c r="J42" s="4">
        <v>212.233331995833</v>
      </c>
      <c r="K42" s="40">
        <v>0.272560611286187</v>
      </c>
      <c r="L42" s="4">
        <v>25.7397917166666</v>
      </c>
      <c r="M42" s="40">
        <v>0.368104677767952</v>
      </c>
      <c r="N42" s="13">
        <v>31.6</v>
      </c>
      <c r="O42" s="44">
        <v>0.358565737051793</v>
      </c>
      <c r="P42" s="4">
        <v>3.86</v>
      </c>
      <c r="Q42" s="40">
        <v>0.45974025974026</v>
      </c>
      <c r="R42" s="4">
        <v>6.83433327142857</v>
      </c>
      <c r="S42" s="40">
        <v>0.388536122448979</v>
      </c>
      <c r="T42" s="10">
        <v>4.8</v>
      </c>
      <c r="U42" s="40">
        <v>0.529411764705882</v>
      </c>
      <c r="V42" s="4">
        <v>1.07076201296924</v>
      </c>
      <c r="W42" s="54">
        <f t="shared" si="0"/>
        <v>0.371465823438</v>
      </c>
      <c r="X42" s="4">
        <v>11.5526667541667</v>
      </c>
      <c r="Y42" s="40">
        <v>0.278116789652612</v>
      </c>
      <c r="Z42" s="4">
        <v>2.36716665416667</v>
      </c>
      <c r="AA42" s="40">
        <v>0.549291663541667</v>
      </c>
      <c r="AB42" s="9">
        <v>9.371666675</v>
      </c>
      <c r="AC42" s="57">
        <v>0.513670412921348</v>
      </c>
      <c r="AD42" s="9">
        <v>0.13815</v>
      </c>
      <c r="AE42" s="57">
        <f t="shared" si="1"/>
        <v>0.11243945267</v>
      </c>
      <c r="AF42" s="4">
        <v>6.43708338333333</v>
      </c>
      <c r="AG42" s="70">
        <v>0.153025823412697</v>
      </c>
    </row>
    <row r="43" spans="1:33">
      <c r="A43" s="38">
        <v>45330</v>
      </c>
      <c r="B43" s="1">
        <v>41714</v>
      </c>
      <c r="C43" s="39">
        <v>0.291436810431294</v>
      </c>
      <c r="D43" s="1">
        <v>40937.2464599</v>
      </c>
      <c r="E43" s="40">
        <v>0.29890862209707</v>
      </c>
      <c r="F43" s="10">
        <v>112.6</v>
      </c>
      <c r="G43" s="40">
        <v>0.817671809256662</v>
      </c>
      <c r="H43" s="4">
        <v>235.150000258333</v>
      </c>
      <c r="I43" s="40">
        <v>0.425147449596348</v>
      </c>
      <c r="J43" s="4">
        <v>228.470833145833</v>
      </c>
      <c r="K43" s="40">
        <v>0.312074643238101</v>
      </c>
      <c r="L43" s="4">
        <v>26.2439583208333</v>
      </c>
      <c r="M43" s="40">
        <v>0.382963699405638</v>
      </c>
      <c r="N43" s="13">
        <v>31.4</v>
      </c>
      <c r="O43" s="44">
        <v>0.350597609561753</v>
      </c>
      <c r="P43" s="4">
        <v>3.64</v>
      </c>
      <c r="Q43" s="40">
        <v>0.402597402597403</v>
      </c>
      <c r="R43" s="4">
        <v>6.873999965</v>
      </c>
      <c r="S43" s="40">
        <v>0.409523791005291</v>
      </c>
      <c r="T43" s="11">
        <v>4.2</v>
      </c>
      <c r="U43" s="40">
        <v>0.352941176470588</v>
      </c>
      <c r="V43" s="4">
        <v>1.4969171748261</v>
      </c>
      <c r="W43" s="54">
        <f t="shared" si="0"/>
        <v>0.521535096651</v>
      </c>
      <c r="X43" s="4">
        <v>14.0729334708333</v>
      </c>
      <c r="Y43" s="40">
        <v>0.364516060021711</v>
      </c>
      <c r="Z43" s="4">
        <v>0.794249991666666</v>
      </c>
      <c r="AA43" s="40">
        <v>0.156062497916666</v>
      </c>
      <c r="AB43" s="9">
        <v>9.59441664583333</v>
      </c>
      <c r="AC43" s="57">
        <v>0.538698499531835</v>
      </c>
      <c r="AD43" s="9">
        <v>0.248066666666666</v>
      </c>
      <c r="AE43" s="57">
        <f t="shared" si="1"/>
        <v>0.367686887953</v>
      </c>
      <c r="AF43" s="4">
        <v>6.4708582625</v>
      </c>
      <c r="AG43" s="70">
        <v>0.173129918154762</v>
      </c>
    </row>
    <row r="44" spans="1:33">
      <c r="A44" s="38">
        <v>45331</v>
      </c>
      <c r="B44" s="1">
        <v>36247</v>
      </c>
      <c r="C44" s="39">
        <v>0.120078986960883</v>
      </c>
      <c r="D44" s="1">
        <v>35944.0589752</v>
      </c>
      <c r="E44" s="40">
        <v>0.146491421709402</v>
      </c>
      <c r="F44" s="10">
        <v>114.4</v>
      </c>
      <c r="G44" s="40">
        <v>0.842917251051894</v>
      </c>
      <c r="H44" s="4">
        <v>238.0266698125</v>
      </c>
      <c r="I44" s="40">
        <v>0.461245699742753</v>
      </c>
      <c r="J44" s="4">
        <v>217.6333348</v>
      </c>
      <c r="K44" s="40">
        <v>0.285701542355146</v>
      </c>
      <c r="L44" s="4">
        <v>27.8318749958333</v>
      </c>
      <c r="M44" s="40">
        <v>0.429763483519991</v>
      </c>
      <c r="N44" s="13">
        <v>32.3</v>
      </c>
      <c r="O44" s="44">
        <v>0.386454183266932</v>
      </c>
      <c r="P44" s="4">
        <v>3.52</v>
      </c>
      <c r="Q44" s="40">
        <v>0.371428571428571</v>
      </c>
      <c r="R44" s="4">
        <v>6.740160055</v>
      </c>
      <c r="S44" s="40">
        <v>0.338709023809524</v>
      </c>
      <c r="T44" s="10">
        <v>4.9</v>
      </c>
      <c r="U44" s="40">
        <v>0.558823529411765</v>
      </c>
      <c r="V44" s="4">
        <v>1.3824576509493</v>
      </c>
      <c r="W44" s="54">
        <f t="shared" si="0"/>
        <v>0.481228515626</v>
      </c>
      <c r="X44" s="4">
        <v>14.2627332833333</v>
      </c>
      <c r="Y44" s="40">
        <v>0.371022738544165</v>
      </c>
      <c r="Z44" s="4">
        <v>0.709083341666667</v>
      </c>
      <c r="AA44" s="40">
        <v>0.134770835416667</v>
      </c>
      <c r="AB44" s="9">
        <v>8.91199999583333</v>
      </c>
      <c r="AC44" s="57">
        <v>0.462022471441947</v>
      </c>
      <c r="AD44" s="9">
        <v>0.181566666666666</v>
      </c>
      <c r="AE44" s="57">
        <f t="shared" si="1"/>
        <v>0.213261222027</v>
      </c>
      <c r="AF44" s="4">
        <v>6.48835835833334</v>
      </c>
      <c r="AG44" s="70">
        <v>0.183546641865083</v>
      </c>
    </row>
    <row r="45" spans="1:33">
      <c r="A45" s="38">
        <v>45332</v>
      </c>
      <c r="B45" s="1">
        <v>38697</v>
      </c>
      <c r="C45" s="39">
        <v>0.19687186559679</v>
      </c>
      <c r="D45" s="1">
        <v>38465.5268863</v>
      </c>
      <c r="E45" s="40">
        <v>0.223459306663614</v>
      </c>
      <c r="F45" s="10">
        <v>115.2</v>
      </c>
      <c r="G45" s="40">
        <v>0.85413744740533</v>
      </c>
      <c r="H45" s="4">
        <v>247.196666079167</v>
      </c>
      <c r="I45" s="40">
        <v>0.576316552631033</v>
      </c>
      <c r="J45" s="4">
        <v>228.175000833333</v>
      </c>
      <c r="K45" s="40">
        <v>0.3113547339774</v>
      </c>
      <c r="L45" s="4">
        <v>26.6999999333333</v>
      </c>
      <c r="M45" s="40">
        <v>0.396404359956773</v>
      </c>
      <c r="N45" s="13">
        <v>33.7</v>
      </c>
      <c r="O45" s="44">
        <v>0.442231075697211</v>
      </c>
      <c r="P45" s="4">
        <v>4.38</v>
      </c>
      <c r="Q45" s="40">
        <v>0.594805194805195</v>
      </c>
      <c r="R45" s="4">
        <v>6.72567369473684</v>
      </c>
      <c r="S45" s="40">
        <v>0.331044282929545</v>
      </c>
      <c r="T45" s="10">
        <v>4.5</v>
      </c>
      <c r="U45" s="40">
        <v>0.441176470588235</v>
      </c>
      <c r="V45" s="4">
        <v>1.64062416756396</v>
      </c>
      <c r="W45" s="54">
        <f t="shared" si="0"/>
        <v>0.572141086877</v>
      </c>
      <c r="X45" s="4">
        <v>11.0690666125</v>
      </c>
      <c r="Y45" s="40">
        <v>0.261538108073363</v>
      </c>
      <c r="Z45" s="4">
        <v>0.919499991666667</v>
      </c>
      <c r="AA45" s="40">
        <v>0.187374997916667</v>
      </c>
      <c r="AB45" s="9">
        <v>9.878333325</v>
      </c>
      <c r="AC45" s="57">
        <v>0.57059925</v>
      </c>
      <c r="AD45" s="9">
        <v>0.127416666666667</v>
      </c>
      <c r="AE45" s="57">
        <f t="shared" si="1"/>
        <v>0.087514608345</v>
      </c>
      <c r="AF45" s="4">
        <v>6.40085836666667</v>
      </c>
      <c r="AG45" s="70">
        <v>0.131463313492066</v>
      </c>
    </row>
    <row r="46" spans="1:33">
      <c r="A46" s="38">
        <v>45333</v>
      </c>
      <c r="B46" s="1">
        <v>39557</v>
      </c>
      <c r="C46" s="39">
        <v>0.223827733199599</v>
      </c>
      <c r="D46" s="1">
        <v>38824.6259158</v>
      </c>
      <c r="E46" s="40">
        <v>0.234420815500611</v>
      </c>
      <c r="F46" s="10">
        <v>116</v>
      </c>
      <c r="G46" s="40">
        <v>0.865357643758766</v>
      </c>
      <c r="H46" s="4">
        <v>252.830005004167</v>
      </c>
      <c r="I46" s="40">
        <v>0.647007215512197</v>
      </c>
      <c r="J46" s="4">
        <v>181.7333332625</v>
      </c>
      <c r="K46" s="40">
        <v>0.198338727429246</v>
      </c>
      <c r="L46" s="4">
        <v>26.3008333375</v>
      </c>
      <c r="M46" s="40">
        <v>0.384639945107574</v>
      </c>
      <c r="N46" s="13">
        <v>30.4</v>
      </c>
      <c r="O46" s="44">
        <v>0.310756972111554</v>
      </c>
      <c r="P46" s="4">
        <v>4.04</v>
      </c>
      <c r="Q46" s="40">
        <v>0.506493506493507</v>
      </c>
      <c r="R46" s="4">
        <v>6.81173333809524</v>
      </c>
      <c r="S46" s="40">
        <v>0.376578485764678</v>
      </c>
      <c r="T46" s="10">
        <v>4.6</v>
      </c>
      <c r="U46" s="40">
        <v>0.470588235294118</v>
      </c>
      <c r="V46" s="4">
        <v>1.19746000177686</v>
      </c>
      <c r="W46" s="54">
        <f t="shared" si="0"/>
        <v>0.416082143501</v>
      </c>
      <c r="X46" s="4">
        <v>11.4668666583333</v>
      </c>
      <c r="Y46" s="40">
        <v>0.275175408239057</v>
      </c>
      <c r="Z46" s="4">
        <v>0.729416670833334</v>
      </c>
      <c r="AA46" s="40">
        <v>0.139854167708333</v>
      </c>
      <c r="AB46" s="9">
        <v>9.91775</v>
      </c>
      <c r="AC46" s="57">
        <v>0.57502808988764</v>
      </c>
      <c r="AD46" s="9">
        <v>0.121425</v>
      </c>
      <c r="AE46" s="57">
        <f t="shared" si="1"/>
        <v>0.073600817142</v>
      </c>
      <c r="AF46" s="4">
        <v>6.37035005</v>
      </c>
      <c r="AG46" s="70">
        <v>0.113303601190476</v>
      </c>
    </row>
    <row r="47" spans="1:33">
      <c r="A47" s="38">
        <v>45334</v>
      </c>
      <c r="B47" s="1">
        <v>37886</v>
      </c>
      <c r="C47" s="39">
        <v>0.1714518555667</v>
      </c>
      <c r="D47" s="1">
        <v>36799.7141725</v>
      </c>
      <c r="E47" s="40">
        <v>0.172610322725885</v>
      </c>
      <c r="F47" s="10">
        <v>116.7</v>
      </c>
      <c r="G47" s="40">
        <v>0.875175315568023</v>
      </c>
      <c r="H47" s="4">
        <v>254.8500003875</v>
      </c>
      <c r="I47" s="40">
        <v>0.672355381948801</v>
      </c>
      <c r="J47" s="4">
        <v>227.13750045</v>
      </c>
      <c r="K47" s="40">
        <v>0.308829972136374</v>
      </c>
      <c r="L47" s="4">
        <v>27.9408333625</v>
      </c>
      <c r="M47" s="40">
        <v>0.432974752799882</v>
      </c>
      <c r="N47" s="13">
        <v>31.2</v>
      </c>
      <c r="O47" s="44">
        <v>0.342629482071713</v>
      </c>
      <c r="P47" s="4">
        <v>4.6</v>
      </c>
      <c r="Q47" s="40">
        <v>0.651948051948052</v>
      </c>
      <c r="R47" s="4">
        <v>6.85486659047619</v>
      </c>
      <c r="S47" s="40">
        <v>0.399400312421265</v>
      </c>
      <c r="T47" s="10">
        <v>3.7</v>
      </c>
      <c r="U47" s="40">
        <v>0.205882352941177</v>
      </c>
      <c r="V47" s="4">
        <v>1.005633293454</v>
      </c>
      <c r="W47" s="54">
        <f t="shared" si="0"/>
        <v>0.3485309385</v>
      </c>
      <c r="X47" s="4">
        <v>11.8308667333333</v>
      </c>
      <c r="Y47" s="40">
        <v>0.287653984687463</v>
      </c>
      <c r="Z47" s="4">
        <v>1.62900002083333</v>
      </c>
      <c r="AA47" s="40">
        <v>0.364750005208333</v>
      </c>
      <c r="AB47" s="9">
        <v>8.28308330833333</v>
      </c>
      <c r="AC47" s="57">
        <v>0.391357675093633</v>
      </c>
      <c r="AD47" s="9">
        <v>0.119241666666667</v>
      </c>
      <c r="AE47" s="57">
        <f t="shared" si="1"/>
        <v>0.068530701293</v>
      </c>
      <c r="AF47" s="4">
        <v>6.36043337916667</v>
      </c>
      <c r="AG47" s="70">
        <v>0.107400820932542</v>
      </c>
    </row>
    <row r="48" spans="1:33">
      <c r="A48" s="38">
        <v>45335</v>
      </c>
      <c r="B48" s="1">
        <v>39524</v>
      </c>
      <c r="C48" s="39">
        <v>0.222793380140421</v>
      </c>
      <c r="D48" s="1">
        <v>38839.8023683</v>
      </c>
      <c r="E48" s="40">
        <v>0.234884077176435</v>
      </c>
      <c r="F48" s="10">
        <v>117.2</v>
      </c>
      <c r="G48" s="40">
        <v>0.88218793828892</v>
      </c>
      <c r="H48" s="4">
        <v>255.683337529167</v>
      </c>
      <c r="I48" s="40">
        <v>0.682812618009374</v>
      </c>
      <c r="J48" s="4">
        <v>199.950000454166</v>
      </c>
      <c r="K48" s="40">
        <v>0.242669068829645</v>
      </c>
      <c r="L48" s="4">
        <v>28.4145833375</v>
      </c>
      <c r="M48" s="40">
        <v>0.446937322060124</v>
      </c>
      <c r="N48" s="13">
        <v>33.4</v>
      </c>
      <c r="O48" s="44">
        <v>0.430278884462151</v>
      </c>
      <c r="P48" s="4">
        <v>4.62</v>
      </c>
      <c r="Q48" s="40">
        <v>0.657142857142857</v>
      </c>
      <c r="R48" s="4">
        <v>6.83680002857143</v>
      </c>
      <c r="S48" s="40">
        <v>0.389841284958429</v>
      </c>
      <c r="T48" s="10">
        <v>4.1</v>
      </c>
      <c r="U48" s="40">
        <v>0.323529411764706</v>
      </c>
      <c r="V48" s="4">
        <v>1.13104739201237</v>
      </c>
      <c r="W48" s="54">
        <f t="shared" si="0"/>
        <v>0.392695140429</v>
      </c>
      <c r="X48" s="4">
        <v>13.3102664916667</v>
      </c>
      <c r="Y48" s="40">
        <v>0.33837046594675</v>
      </c>
      <c r="Z48" s="4">
        <v>3.71124999166667</v>
      </c>
      <c r="AA48" s="40">
        <v>0.885312497916668</v>
      </c>
      <c r="AB48" s="9">
        <v>7.84150004166667</v>
      </c>
      <c r="AC48" s="57">
        <v>0.341741577715356</v>
      </c>
      <c r="AD48" s="9">
        <v>0.1461</v>
      </c>
      <c r="AE48" s="57">
        <f t="shared" si="1"/>
        <v>0.130900866867</v>
      </c>
      <c r="AF48" s="4">
        <v>6.3176167125</v>
      </c>
      <c r="AG48" s="70">
        <v>0.0819147098214285</v>
      </c>
    </row>
    <row r="49" spans="1:33">
      <c r="A49" s="38">
        <v>45336</v>
      </c>
      <c r="B49" s="1">
        <v>39253</v>
      </c>
      <c r="C49" s="39">
        <v>0.214299147442327</v>
      </c>
      <c r="D49" s="1">
        <v>38438.2226373</v>
      </c>
      <c r="E49" s="40">
        <v>0.222625843629426</v>
      </c>
      <c r="F49" s="10">
        <v>118.5</v>
      </c>
      <c r="G49" s="40">
        <v>0.900420757363254</v>
      </c>
      <c r="H49" s="4">
        <v>252.819997791667</v>
      </c>
      <c r="I49" s="40">
        <v>0.646881638745978</v>
      </c>
      <c r="J49" s="4">
        <v>241.679166145833</v>
      </c>
      <c r="K49" s="40">
        <v>0.344217180896583</v>
      </c>
      <c r="L49" s="4">
        <v>28.97666665</v>
      </c>
      <c r="M49" s="40">
        <v>0.463503290598291</v>
      </c>
      <c r="N49" s="13">
        <v>34.9</v>
      </c>
      <c r="O49" s="44">
        <v>0.49003984063745</v>
      </c>
      <c r="P49" s="4">
        <v>3.74</v>
      </c>
      <c r="Q49" s="40">
        <v>0.428571428571429</v>
      </c>
      <c r="R49" s="4">
        <v>6.76793336666667</v>
      </c>
      <c r="S49" s="40">
        <v>0.353403897707233</v>
      </c>
      <c r="T49" s="10">
        <v>4.3</v>
      </c>
      <c r="U49" s="40">
        <v>0.382352941176471</v>
      </c>
      <c r="V49" s="4">
        <v>1.71144835270908</v>
      </c>
      <c r="W49" s="54">
        <f t="shared" si="0"/>
        <v>0.597081613103</v>
      </c>
      <c r="X49" s="4">
        <v>14.6648665125</v>
      </c>
      <c r="Y49" s="40">
        <v>0.384808588018512</v>
      </c>
      <c r="Z49" s="4">
        <v>3.4222500125</v>
      </c>
      <c r="AA49" s="40">
        <v>0.813062503125</v>
      </c>
      <c r="AB49" s="9">
        <v>7.88066661666667</v>
      </c>
      <c r="AC49" s="57">
        <v>0.346142316479401</v>
      </c>
      <c r="AD49" s="9">
        <v>0.173975</v>
      </c>
      <c r="AE49" s="57">
        <f t="shared" si="1"/>
        <v>0.19563192608</v>
      </c>
      <c r="AF49" s="4">
        <v>6.35214999583333</v>
      </c>
      <c r="AG49" s="70">
        <v>0.102470235615078</v>
      </c>
    </row>
    <row r="50" spans="1:33">
      <c r="A50" s="38">
        <v>45337</v>
      </c>
      <c r="B50" s="1">
        <v>39531</v>
      </c>
      <c r="C50" s="39">
        <v>0.223012788365095</v>
      </c>
      <c r="D50" s="1">
        <v>38563.6533795</v>
      </c>
      <c r="E50" s="40">
        <v>0.226454620863858</v>
      </c>
      <c r="F50" s="10">
        <v>118.1</v>
      </c>
      <c r="G50" s="40">
        <v>0.894810659186536</v>
      </c>
      <c r="H50" s="4">
        <v>259.860000604167</v>
      </c>
      <c r="I50" s="40">
        <v>0.735224000554235</v>
      </c>
      <c r="J50" s="4">
        <v>243.274998979167</v>
      </c>
      <c r="K50" s="40">
        <v>0.348100647261497</v>
      </c>
      <c r="L50" s="4">
        <v>28.6985416041666</v>
      </c>
      <c r="M50" s="40">
        <v>0.455306265964238</v>
      </c>
      <c r="N50" s="13">
        <v>35.8</v>
      </c>
      <c r="O50" s="44">
        <v>0.525896414342629</v>
      </c>
      <c r="P50" s="4">
        <v>4.05</v>
      </c>
      <c r="Q50" s="40">
        <v>0.509090909090909</v>
      </c>
      <c r="R50" s="4">
        <v>6.81873687894737</v>
      </c>
      <c r="S50" s="40">
        <v>0.380284062935117</v>
      </c>
      <c r="T50" s="11">
        <v>4.9</v>
      </c>
      <c r="U50" s="40">
        <v>0.558823529411765</v>
      </c>
      <c r="V50" s="4">
        <v>1.72637070870636</v>
      </c>
      <c r="W50" s="54">
        <f t="shared" si="0"/>
        <v>0.602336476401</v>
      </c>
      <c r="X50" s="4">
        <v>32.6091996416667</v>
      </c>
      <c r="Y50" s="40">
        <v>0.999972562278598</v>
      </c>
      <c r="Z50" s="4">
        <v>2.36716665416667</v>
      </c>
      <c r="AA50" s="40">
        <v>0.549291663541667</v>
      </c>
      <c r="AB50" s="9">
        <v>7.82833333333333</v>
      </c>
      <c r="AC50" s="57">
        <v>0.340262172284644</v>
      </c>
      <c r="AD50" s="9">
        <v>0.236358333333333</v>
      </c>
      <c r="AE50" s="57">
        <f t="shared" si="1"/>
        <v>0.340497907925</v>
      </c>
      <c r="AF50" s="4">
        <v>6.34200005</v>
      </c>
      <c r="AG50" s="70">
        <v>0.0964286011904765</v>
      </c>
    </row>
    <row r="51" spans="1:33">
      <c r="A51" s="38">
        <v>45338</v>
      </c>
      <c r="B51" s="1">
        <v>41325</v>
      </c>
      <c r="C51" s="39">
        <v>0.279243981945837</v>
      </c>
      <c r="D51" s="1">
        <v>40805.6771241</v>
      </c>
      <c r="E51" s="40">
        <v>0.294892464105617</v>
      </c>
      <c r="F51" s="10">
        <v>116</v>
      </c>
      <c r="G51" s="40">
        <v>0.865357643758766</v>
      </c>
      <c r="H51" s="4">
        <v>278.153333033333</v>
      </c>
      <c r="I51" s="40">
        <v>0.964780186137947</v>
      </c>
      <c r="J51" s="4">
        <v>213.045834541667</v>
      </c>
      <c r="K51" s="40">
        <v>0.274537839879461</v>
      </c>
      <c r="L51" s="4">
        <v>29.0110416</v>
      </c>
      <c r="M51" s="40">
        <v>0.464516404361922</v>
      </c>
      <c r="N51" s="13">
        <v>33.7</v>
      </c>
      <c r="O51" s="44">
        <v>0.442231075697211</v>
      </c>
      <c r="P51" s="4">
        <v>3.6</v>
      </c>
      <c r="Q51" s="40">
        <v>0.392207792207792</v>
      </c>
      <c r="R51" s="4">
        <v>6.87434992</v>
      </c>
      <c r="S51" s="40">
        <v>0.409708952380953</v>
      </c>
      <c r="T51" s="10">
        <v>4.4</v>
      </c>
      <c r="U51" s="40">
        <v>0.411764705882353</v>
      </c>
      <c r="V51" s="4">
        <v>1.54735988458751</v>
      </c>
      <c r="W51" s="54">
        <f t="shared" si="0"/>
        <v>0.539298346918</v>
      </c>
      <c r="X51" s="4">
        <v>16.1728666916667</v>
      </c>
      <c r="Y51" s="40">
        <v>0.436505543080792</v>
      </c>
      <c r="Z51" s="4">
        <v>0.794249991666666</v>
      </c>
      <c r="AA51" s="40">
        <v>0.156062497916666</v>
      </c>
      <c r="AB51" s="9">
        <v>9.67641664583333</v>
      </c>
      <c r="AC51" s="57">
        <v>0.547911982677902</v>
      </c>
      <c r="AD51" s="9">
        <v>0.138833333333333</v>
      </c>
      <c r="AE51" s="57">
        <f t="shared" si="1"/>
        <v>0.114026282821</v>
      </c>
      <c r="AF51" s="4">
        <v>6.3351749625</v>
      </c>
      <c r="AG51" s="70">
        <v>0.092366049107143</v>
      </c>
    </row>
    <row r="52" spans="1:33">
      <c r="A52" s="38">
        <v>45339</v>
      </c>
      <c r="B52" s="1">
        <v>42119</v>
      </c>
      <c r="C52" s="39">
        <v>0.304131143430291</v>
      </c>
      <c r="D52" s="1">
        <v>41773.8683528</v>
      </c>
      <c r="E52" s="40">
        <v>0.324446530915751</v>
      </c>
      <c r="F52" s="10">
        <v>115.9</v>
      </c>
      <c r="G52" s="40">
        <v>0.863955119214586</v>
      </c>
      <c r="H52" s="4">
        <v>252.703336079167</v>
      </c>
      <c r="I52" s="40">
        <v>0.645417694555992</v>
      </c>
      <c r="J52" s="4">
        <v>217.7041667375</v>
      </c>
      <c r="K52" s="40">
        <v>0.285873912193074</v>
      </c>
      <c r="L52" s="4">
        <v>29.829583325</v>
      </c>
      <c r="M52" s="40">
        <v>0.488640828912467</v>
      </c>
      <c r="N52" s="13">
        <v>32.1</v>
      </c>
      <c r="O52" s="44">
        <v>0.378486055776892</v>
      </c>
      <c r="P52" s="4">
        <v>3.74</v>
      </c>
      <c r="Q52" s="40">
        <v>0.428571428571429</v>
      </c>
      <c r="R52" s="4">
        <v>6.81922498333333</v>
      </c>
      <c r="S52" s="40">
        <v>0.380542319223984</v>
      </c>
      <c r="T52" s="10">
        <v>4.6</v>
      </c>
      <c r="U52" s="40">
        <v>0.470588235294118</v>
      </c>
      <c r="V52" s="4">
        <v>0.91312512083333</v>
      </c>
      <c r="W52" s="54">
        <f t="shared" si="0"/>
        <v>0.315954460554</v>
      </c>
      <c r="X52" s="4">
        <v>13.6222665541667</v>
      </c>
      <c r="Y52" s="40">
        <v>0.349066388555595</v>
      </c>
      <c r="Z52" s="4">
        <v>0.709083341666667</v>
      </c>
      <c r="AA52" s="40">
        <v>0.134770835416667</v>
      </c>
      <c r="AB52" s="9">
        <v>11.4544998708333</v>
      </c>
      <c r="AC52" s="57">
        <v>0.747696614700371</v>
      </c>
      <c r="AD52" s="9">
        <v>0.260666666666667</v>
      </c>
      <c r="AE52" s="57">
        <f t="shared" si="1"/>
        <v>0.396946487813</v>
      </c>
      <c r="AF52" s="4">
        <v>6.39234167916667</v>
      </c>
      <c r="AG52" s="70">
        <v>0.126393856646827</v>
      </c>
    </row>
    <row r="53" spans="1:33">
      <c r="A53" s="38">
        <v>45340</v>
      </c>
      <c r="B53" s="1">
        <v>43869</v>
      </c>
      <c r="C53" s="39">
        <v>0.358983199598796</v>
      </c>
      <c r="D53" s="1">
        <v>43307.535286</v>
      </c>
      <c r="E53" s="40">
        <v>0.371261760866911</v>
      </c>
      <c r="F53" s="10">
        <v>114.8</v>
      </c>
      <c r="G53" s="40">
        <v>0.848527349228612</v>
      </c>
      <c r="H53" s="4">
        <v>251.576666516667</v>
      </c>
      <c r="I53" s="40">
        <v>0.631279539674576</v>
      </c>
      <c r="J53" s="4">
        <v>231.037500066667</v>
      </c>
      <c r="K53" s="40">
        <v>0.318320638713813</v>
      </c>
      <c r="L53" s="4">
        <v>28.4504167125</v>
      </c>
      <c r="M53" s="40">
        <v>0.447993419171824</v>
      </c>
      <c r="N53" s="13">
        <v>33.9</v>
      </c>
      <c r="O53" s="44">
        <v>0.450199203187251</v>
      </c>
      <c r="P53" s="4">
        <v>4.16</v>
      </c>
      <c r="Q53" s="40">
        <v>0.537662337662338</v>
      </c>
      <c r="R53" s="4">
        <v>6.91045828333333</v>
      </c>
      <c r="S53" s="40">
        <v>0.428813906525572</v>
      </c>
      <c r="T53" s="10">
        <v>5.3</v>
      </c>
      <c r="U53" s="40">
        <v>0.676470588235294</v>
      </c>
      <c r="V53" s="4">
        <v>1.40270834166667</v>
      </c>
      <c r="W53" s="54">
        <f t="shared" si="0"/>
        <v>0.488359736153</v>
      </c>
      <c r="X53" s="4">
        <v>12.9592666916667</v>
      </c>
      <c r="Y53" s="40">
        <v>0.326337562278598</v>
      </c>
      <c r="Z53" s="4">
        <v>0.919499991666667</v>
      </c>
      <c r="AA53" s="40">
        <v>0.187374997916667</v>
      </c>
      <c r="AB53" s="9">
        <v>11.5528333208333</v>
      </c>
      <c r="AC53" s="57">
        <v>0.758745316947562</v>
      </c>
      <c r="AD53" s="9">
        <v>0.272358333333333</v>
      </c>
      <c r="AE53" s="57">
        <f t="shared" si="1"/>
        <v>0.424096764667</v>
      </c>
      <c r="AF53" s="4">
        <v>6.3381499625</v>
      </c>
      <c r="AG53" s="70">
        <v>0.0941368824404765</v>
      </c>
    </row>
    <row r="54" spans="1:33">
      <c r="A54" s="38">
        <v>45341</v>
      </c>
      <c r="B54" s="1">
        <v>43622</v>
      </c>
      <c r="C54" s="39">
        <v>0.351241223671013</v>
      </c>
      <c r="D54" s="1">
        <v>42894.8354953</v>
      </c>
      <c r="E54" s="40">
        <v>0.35866408715812</v>
      </c>
      <c r="F54" s="10">
        <v>116.2</v>
      </c>
      <c r="G54" s="40">
        <v>0.868162692847125</v>
      </c>
      <c r="H54" s="4">
        <v>266.839999525</v>
      </c>
      <c r="I54" s="40">
        <v>0.822813395971891</v>
      </c>
      <c r="J54" s="4">
        <v>239.045833266667</v>
      </c>
      <c r="K54" s="40">
        <v>0.337808953511953</v>
      </c>
      <c r="L54" s="4">
        <v>28.9899999</v>
      </c>
      <c r="M54" s="40">
        <v>0.463896254052461</v>
      </c>
      <c r="N54" s="13">
        <v>31.1</v>
      </c>
      <c r="O54" s="44">
        <v>0.338645418326693</v>
      </c>
      <c r="P54" s="4">
        <v>3.76</v>
      </c>
      <c r="Q54" s="40">
        <v>0.433766233766234</v>
      </c>
      <c r="R54" s="4">
        <v>6.94954177916667</v>
      </c>
      <c r="S54" s="40">
        <v>0.44949300485009</v>
      </c>
      <c r="T54" s="11">
        <v>3.7</v>
      </c>
      <c r="U54" s="40">
        <v>0.205882352941177</v>
      </c>
      <c r="V54" s="4">
        <v>1.32645833333333</v>
      </c>
      <c r="W54" s="54">
        <f t="shared" si="0"/>
        <v>0.461508522424</v>
      </c>
      <c r="X54" s="4">
        <v>11.8447333083333</v>
      </c>
      <c r="Y54" s="40">
        <v>0.288129355787909</v>
      </c>
      <c r="Z54" s="4">
        <v>0.729416670833334</v>
      </c>
      <c r="AA54" s="40">
        <v>0.139854167708333</v>
      </c>
      <c r="AB54" s="9">
        <v>9.95441675416667</v>
      </c>
      <c r="AC54" s="57">
        <v>0.579147949906368</v>
      </c>
      <c r="AD54" s="9">
        <v>0.221658333333333</v>
      </c>
      <c r="AE54" s="57">
        <f t="shared" si="1"/>
        <v>0.306361708089</v>
      </c>
      <c r="AF54" s="4">
        <v>6.20450833333333</v>
      </c>
      <c r="AG54" s="70">
        <v>0.0145882936507921</v>
      </c>
    </row>
    <row r="55" spans="1:33">
      <c r="A55" s="38">
        <v>45342</v>
      </c>
      <c r="B55" s="1">
        <v>43285</v>
      </c>
      <c r="C55" s="39">
        <v>0.340678284854564</v>
      </c>
      <c r="D55" s="1">
        <v>42790.614441</v>
      </c>
      <c r="E55" s="40">
        <v>0.355482736294261</v>
      </c>
      <c r="F55" s="10">
        <v>113.9</v>
      </c>
      <c r="G55" s="40">
        <v>0.835904628330996</v>
      </c>
      <c r="H55" s="4">
        <v>251.68333435</v>
      </c>
      <c r="I55" s="40">
        <v>0.632618074413352</v>
      </c>
      <c r="J55" s="4">
        <v>230.6249996875</v>
      </c>
      <c r="K55" s="40">
        <v>0.317316817189059</v>
      </c>
      <c r="L55" s="4">
        <v>26.3602083125</v>
      </c>
      <c r="M55" s="40">
        <v>0.386389870689655</v>
      </c>
      <c r="N55" s="13">
        <v>32.8</v>
      </c>
      <c r="O55" s="44">
        <v>0.406374501992032</v>
      </c>
      <c r="P55" s="4">
        <v>4.33</v>
      </c>
      <c r="Q55" s="40">
        <v>0.581818181818182</v>
      </c>
      <c r="R55" s="4">
        <v>6.95805832083333</v>
      </c>
      <c r="S55" s="40">
        <v>0.453999111552027</v>
      </c>
      <c r="T55" s="10">
        <v>4.1</v>
      </c>
      <c r="U55" s="40">
        <v>0.323529411764706</v>
      </c>
      <c r="V55" s="4">
        <v>1.38375000833333</v>
      </c>
      <c r="W55" s="54">
        <f t="shared" si="0"/>
        <v>0.481683615437</v>
      </c>
      <c r="X55" s="4">
        <v>11.696533325</v>
      </c>
      <c r="Y55" s="40">
        <v>0.283048794137813</v>
      </c>
      <c r="Z55" s="4">
        <v>0.394416666666667</v>
      </c>
      <c r="AA55" s="40">
        <v>0.0561041666666668</v>
      </c>
      <c r="AB55" s="9">
        <v>9.51200002083333</v>
      </c>
      <c r="AC55" s="57">
        <v>0.529438204588015</v>
      </c>
      <c r="AD55" s="9">
        <v>0.1664</v>
      </c>
      <c r="AE55" s="57">
        <f t="shared" si="1"/>
        <v>0.178041333308</v>
      </c>
      <c r="AF55" s="4">
        <v>6.30921667916667</v>
      </c>
      <c r="AG55" s="70">
        <v>0.0769146899801607</v>
      </c>
    </row>
    <row r="56" spans="1:33">
      <c r="A56" s="38">
        <v>45343</v>
      </c>
      <c r="B56" s="1">
        <v>45368</v>
      </c>
      <c r="C56" s="39">
        <v>0.405967903711133</v>
      </c>
      <c r="D56" s="1">
        <v>44809.5502629</v>
      </c>
      <c r="E56" s="40">
        <v>0.417110813885836</v>
      </c>
      <c r="F56" s="10">
        <v>98.4</v>
      </c>
      <c r="G56" s="40">
        <v>0.61851332398317</v>
      </c>
      <c r="H56" s="4">
        <v>248.856668483333</v>
      </c>
      <c r="I56" s="40">
        <v>0.597147301836278</v>
      </c>
      <c r="J56" s="4">
        <v>207.749999041667</v>
      </c>
      <c r="K56" s="40">
        <v>0.261650400412885</v>
      </c>
      <c r="L56" s="4">
        <v>23.5749999666666</v>
      </c>
      <c r="M56" s="40">
        <v>0.304302975734353</v>
      </c>
      <c r="N56" s="13">
        <v>30.6</v>
      </c>
      <c r="O56" s="44">
        <v>0.318725099601594</v>
      </c>
      <c r="P56" s="4">
        <v>4.74</v>
      </c>
      <c r="Q56" s="40">
        <v>0.688311688311688</v>
      </c>
      <c r="R56" s="4">
        <v>6.93740840416667</v>
      </c>
      <c r="S56" s="40">
        <v>0.443073229717815</v>
      </c>
      <c r="T56" s="10">
        <v>4.7</v>
      </c>
      <c r="U56" s="40">
        <v>0.5</v>
      </c>
      <c r="V56" s="4">
        <v>1.35520834166667</v>
      </c>
      <c r="W56" s="54">
        <f t="shared" si="0"/>
        <v>0.471632752379</v>
      </c>
      <c r="X56" s="4">
        <v>13.8684000833333</v>
      </c>
      <c r="Y56" s="40">
        <v>0.357504288081361</v>
      </c>
      <c r="Z56" s="4">
        <v>0.663833325</v>
      </c>
      <c r="AA56" s="40">
        <v>0.12345833125</v>
      </c>
      <c r="AB56" s="9">
        <v>9.9040833125</v>
      </c>
      <c r="AC56" s="57">
        <v>0.573492507022472</v>
      </c>
      <c r="AD56" s="9">
        <v>0.136975</v>
      </c>
      <c r="AE56" s="57">
        <f t="shared" si="1"/>
        <v>0.109710878873</v>
      </c>
      <c r="AF56" s="4">
        <v>6.31977505833333</v>
      </c>
      <c r="AG56" s="70">
        <v>0.0831994394841252</v>
      </c>
    </row>
    <row r="57" spans="1:33">
      <c r="A57" s="38">
        <v>45344</v>
      </c>
      <c r="B57" s="1">
        <v>44825</v>
      </c>
      <c r="C57" s="39">
        <v>0.388948094282849</v>
      </c>
      <c r="D57" s="1">
        <v>44047.765503</v>
      </c>
      <c r="E57" s="40">
        <v>0.393857310836386</v>
      </c>
      <c r="F57" s="10">
        <v>104.3</v>
      </c>
      <c r="G57" s="40">
        <v>0.701262272089762</v>
      </c>
      <c r="H57" s="4">
        <v>237.6900011625</v>
      </c>
      <c r="I57" s="40">
        <v>0.457020970793073</v>
      </c>
      <c r="J57" s="4">
        <v>173.575001091666</v>
      </c>
      <c r="K57" s="40">
        <v>0.178485389462113</v>
      </c>
      <c r="L57" s="4">
        <v>20.9937499833333</v>
      </c>
      <c r="M57" s="40">
        <v>0.228227232046369</v>
      </c>
      <c r="N57" s="13">
        <v>31.2</v>
      </c>
      <c r="O57" s="44">
        <v>0.342629482071713</v>
      </c>
      <c r="P57" s="4">
        <v>4.12</v>
      </c>
      <c r="Q57" s="40">
        <v>0.527272727272727</v>
      </c>
      <c r="R57" s="4">
        <v>6.94850430434783</v>
      </c>
      <c r="S57" s="40">
        <v>0.448944076374514</v>
      </c>
      <c r="T57" s="10">
        <v>4.2</v>
      </c>
      <c r="U57" s="40">
        <v>0.352941176470588</v>
      </c>
      <c r="V57" s="4">
        <v>1.38937500833333</v>
      </c>
      <c r="W57" s="54">
        <f t="shared" si="0"/>
        <v>0.483664442462</v>
      </c>
      <c r="X57" s="4">
        <v>16.1728666916667</v>
      </c>
      <c r="Y57" s="40">
        <v>0.436505543080792</v>
      </c>
      <c r="Z57" s="4">
        <v>0.339</v>
      </c>
      <c r="AA57" s="40">
        <v>0.04225</v>
      </c>
      <c r="AB57" s="9">
        <v>9.16883333333333</v>
      </c>
      <c r="AC57" s="57">
        <v>0.490880149812734</v>
      </c>
      <c r="AD57" s="9">
        <v>0.199066666666666</v>
      </c>
      <c r="AE57" s="57">
        <f t="shared" si="1"/>
        <v>0.253899555166</v>
      </c>
      <c r="AF57" s="4">
        <v>6.41940839583333</v>
      </c>
      <c r="AG57" s="70">
        <v>0.14250499751984</v>
      </c>
    </row>
    <row r="58" spans="1:33">
      <c r="A58" s="38">
        <v>45345</v>
      </c>
      <c r="B58" s="1">
        <v>48263</v>
      </c>
      <c r="C58" s="39">
        <v>0.49670887662989</v>
      </c>
      <c r="D58" s="1">
        <v>47782.2647704</v>
      </c>
      <c r="E58" s="40">
        <v>0.507853014969475</v>
      </c>
      <c r="F58" s="10">
        <v>101.4</v>
      </c>
      <c r="G58" s="40">
        <v>0.660589060308556</v>
      </c>
      <c r="H58" s="4">
        <v>248.636667245833</v>
      </c>
      <c r="I58" s="40">
        <v>0.594386588603752</v>
      </c>
      <c r="J58" s="4">
        <v>180.1374999625</v>
      </c>
      <c r="K58" s="40">
        <v>0.194455259928698</v>
      </c>
      <c r="L58" s="4">
        <v>22.8172916666666</v>
      </c>
      <c r="M58" s="40">
        <v>0.281971460850769</v>
      </c>
      <c r="N58" s="13">
        <v>29.3</v>
      </c>
      <c r="O58" s="44">
        <v>0.266932270916335</v>
      </c>
      <c r="P58" s="4">
        <v>4.19</v>
      </c>
      <c r="Q58" s="40">
        <v>0.545454545454546</v>
      </c>
      <c r="R58" s="4">
        <v>6.91109999</v>
      </c>
      <c r="S58" s="40">
        <v>0.429153433862434</v>
      </c>
      <c r="T58" s="10">
        <v>3.6</v>
      </c>
      <c r="U58" s="40">
        <v>0.176470588235294</v>
      </c>
      <c r="V58" s="4">
        <v>1.4595833375</v>
      </c>
      <c r="W58" s="54">
        <f t="shared" si="0"/>
        <v>0.508388096837</v>
      </c>
      <c r="X58" s="4">
        <v>13.6222665541667</v>
      </c>
      <c r="Y58" s="40">
        <v>0.349066388555595</v>
      </c>
      <c r="Z58" s="4">
        <v>0.663833325</v>
      </c>
      <c r="AA58" s="40">
        <v>0.12345833125</v>
      </c>
      <c r="AB58" s="9">
        <v>9.40700005</v>
      </c>
      <c r="AC58" s="57">
        <v>0.51764045505618</v>
      </c>
      <c r="AD58" s="9">
        <v>0.209933333333333</v>
      </c>
      <c r="AE58" s="57">
        <f t="shared" si="1"/>
        <v>0.279134024886</v>
      </c>
      <c r="AF58" s="4">
        <v>6.566875</v>
      </c>
      <c r="AG58" s="70">
        <v>0.230282738095238</v>
      </c>
    </row>
    <row r="59" spans="1:33">
      <c r="A59" s="38">
        <v>45346</v>
      </c>
      <c r="B59" s="1">
        <v>48276</v>
      </c>
      <c r="C59" s="39">
        <v>0.497116349047141</v>
      </c>
      <c r="D59" s="1">
        <v>47497.6917114</v>
      </c>
      <c r="E59" s="40">
        <v>0.499166413656899</v>
      </c>
      <c r="F59" s="10">
        <v>99.7</v>
      </c>
      <c r="G59" s="40">
        <v>0.636746143057504</v>
      </c>
      <c r="H59" s="4">
        <v>247.433333720833</v>
      </c>
      <c r="I59" s="40">
        <v>0.57928640633496</v>
      </c>
      <c r="J59" s="4">
        <v>176.24999905</v>
      </c>
      <c r="K59" s="40">
        <v>0.184995009003967</v>
      </c>
      <c r="L59" s="4">
        <v>24.8541666708333</v>
      </c>
      <c r="M59" s="40">
        <v>0.342003143850083</v>
      </c>
      <c r="N59" s="13">
        <v>30.5</v>
      </c>
      <c r="O59" s="44">
        <v>0.314741035856574</v>
      </c>
      <c r="P59" s="4">
        <v>4.39</v>
      </c>
      <c r="Q59" s="40">
        <v>0.597402597402597</v>
      </c>
      <c r="R59" s="4">
        <v>6.87326316842105</v>
      </c>
      <c r="S59" s="40">
        <v>0.409133951545529</v>
      </c>
      <c r="T59" s="10">
        <v>4.5</v>
      </c>
      <c r="U59" s="40">
        <v>0.441176470588235</v>
      </c>
      <c r="V59" s="4">
        <v>1.393749975</v>
      </c>
      <c r="W59" s="54">
        <f t="shared" si="0"/>
        <v>0.485205073967</v>
      </c>
      <c r="X59" s="4">
        <v>12.9592666916667</v>
      </c>
      <c r="Y59" s="40">
        <v>0.326337562278598</v>
      </c>
      <c r="Z59" s="4">
        <v>0.663833325</v>
      </c>
      <c r="AA59" s="40">
        <v>0.12345833125</v>
      </c>
      <c r="AB59" s="9">
        <v>8.356000025</v>
      </c>
      <c r="AC59" s="57">
        <v>0.399550564606742</v>
      </c>
      <c r="AD59" s="9">
        <v>0.137066666666667</v>
      </c>
      <c r="AE59" s="57">
        <f t="shared" si="1"/>
        <v>0.109923746333</v>
      </c>
      <c r="AF59" s="4">
        <v>6.58909997916667</v>
      </c>
      <c r="AG59" s="70">
        <v>0.243511892361113</v>
      </c>
    </row>
    <row r="60" spans="1:33">
      <c r="A60" s="38">
        <v>45347</v>
      </c>
      <c r="B60" s="1">
        <v>42689</v>
      </c>
      <c r="C60" s="39">
        <v>0.321997241725176</v>
      </c>
      <c r="D60" s="1">
        <v>41923.0769046</v>
      </c>
      <c r="E60" s="40">
        <v>0.329001126514041</v>
      </c>
      <c r="F60" s="10">
        <v>96.1</v>
      </c>
      <c r="G60" s="40">
        <v>0.586255259467041</v>
      </c>
      <c r="H60" s="4">
        <v>245.286668133333</v>
      </c>
      <c r="I60" s="40">
        <v>0.552348702890363</v>
      </c>
      <c r="J60" s="4">
        <v>191.416666670833</v>
      </c>
      <c r="K60" s="40">
        <v>0.221903162754807</v>
      </c>
      <c r="L60" s="4">
        <v>26.0239583333333</v>
      </c>
      <c r="M60" s="40">
        <v>0.376479762255623</v>
      </c>
      <c r="N60" s="13">
        <v>31.9</v>
      </c>
      <c r="O60" s="44">
        <v>0.370517928286852</v>
      </c>
      <c r="P60" s="4">
        <v>3.69</v>
      </c>
      <c r="Q60" s="40">
        <v>0.415584415584416</v>
      </c>
      <c r="R60" s="4">
        <v>6.88346656190476</v>
      </c>
      <c r="S60" s="40">
        <v>0.414532572436381</v>
      </c>
      <c r="T60" s="10">
        <v>3.3</v>
      </c>
      <c r="U60" s="40">
        <v>0.088235294117647</v>
      </c>
      <c r="V60" s="4">
        <v>1.156666675</v>
      </c>
      <c r="W60" s="54">
        <f t="shared" si="0"/>
        <v>0.401716894762</v>
      </c>
      <c r="X60" s="4">
        <v>11.8447333083333</v>
      </c>
      <c r="Y60" s="40">
        <v>0.288129355787909</v>
      </c>
      <c r="Z60" s="4">
        <v>0.461238095238095</v>
      </c>
      <c r="AA60" s="40">
        <v>0.0728095238095237</v>
      </c>
      <c r="AB60" s="9">
        <v>8.67899999166667</v>
      </c>
      <c r="AC60" s="57">
        <v>0.435842695692884</v>
      </c>
      <c r="AD60" s="9">
        <v>0.161058333333333</v>
      </c>
      <c r="AE60" s="57">
        <f t="shared" si="1"/>
        <v>0.165636965907</v>
      </c>
      <c r="AF60" s="4">
        <v>6.6610833625</v>
      </c>
      <c r="AG60" s="70">
        <v>0.286359144345238</v>
      </c>
    </row>
    <row r="61" spans="1:33">
      <c r="A61" s="38">
        <v>45348</v>
      </c>
      <c r="B61" s="1">
        <v>44357</v>
      </c>
      <c r="C61" s="39">
        <v>0.374279087261785</v>
      </c>
      <c r="D61" s="1">
        <v>43393.6793213</v>
      </c>
      <c r="E61" s="40">
        <v>0.373891310173993</v>
      </c>
      <c r="F61" s="10">
        <v>95.8</v>
      </c>
      <c r="G61" s="40">
        <v>0.582047685834502</v>
      </c>
      <c r="H61" s="4">
        <v>251.4033362125</v>
      </c>
      <c r="I61" s="40">
        <v>0.629104482526038</v>
      </c>
      <c r="J61" s="4">
        <v>185.362501783333</v>
      </c>
      <c r="K61" s="40">
        <v>0.207170325318991</v>
      </c>
      <c r="L61" s="4">
        <v>23.3222916708333</v>
      </c>
      <c r="M61" s="40">
        <v>0.296855044822673</v>
      </c>
      <c r="N61" s="13">
        <v>29.4</v>
      </c>
      <c r="O61" s="44">
        <v>0.270916334661354</v>
      </c>
      <c r="P61" s="4">
        <v>4.57</v>
      </c>
      <c r="Q61" s="40">
        <v>0.644155844155844</v>
      </c>
      <c r="R61" s="4">
        <v>6.82533332857143</v>
      </c>
      <c r="S61" s="40">
        <v>0.383774247921392</v>
      </c>
      <c r="T61" s="10">
        <v>3.8</v>
      </c>
      <c r="U61" s="40">
        <v>0.235294117647059</v>
      </c>
      <c r="V61" s="4">
        <v>1.16062501666667</v>
      </c>
      <c r="W61" s="54">
        <f t="shared" si="0"/>
        <v>0.403110813011</v>
      </c>
      <c r="X61" s="4">
        <v>11.696533325</v>
      </c>
      <c r="Y61" s="40">
        <v>0.283048794137813</v>
      </c>
      <c r="Z61" s="4">
        <v>0.640190485714286</v>
      </c>
      <c r="AA61" s="40">
        <v>0.117547621428572</v>
      </c>
      <c r="AB61" s="4">
        <v>8.75941669166667</v>
      </c>
      <c r="AC61" s="40">
        <v>0.444878279962547</v>
      </c>
      <c r="AD61" s="4">
        <v>0.222208333333333</v>
      </c>
      <c r="AE61" s="57">
        <f t="shared" si="1"/>
        <v>0.307638912845</v>
      </c>
      <c r="AF61" s="4">
        <v>6.6822583375</v>
      </c>
      <c r="AG61" s="70">
        <v>0.298963296130953</v>
      </c>
    </row>
    <row r="62" spans="1:33">
      <c r="A62" s="38">
        <v>45349</v>
      </c>
      <c r="B62" s="1">
        <v>40258</v>
      </c>
      <c r="C62" s="39">
        <v>0.245799899699097</v>
      </c>
      <c r="D62" s="1">
        <v>40211.2670287</v>
      </c>
      <c r="E62" s="40">
        <v>0.276748077799145</v>
      </c>
      <c r="F62" s="10">
        <v>96.3</v>
      </c>
      <c r="G62" s="40">
        <v>0.5890603085554</v>
      </c>
      <c r="H62" s="4">
        <v>262.103331254167</v>
      </c>
      <c r="I62" s="40">
        <v>0.763374717708207</v>
      </c>
      <c r="J62" s="4">
        <v>191.120834358333</v>
      </c>
      <c r="K62" s="40">
        <v>0.221183253494106</v>
      </c>
      <c r="L62" s="4">
        <v>28.0354166208333</v>
      </c>
      <c r="M62" s="40">
        <v>0.435762352514981</v>
      </c>
      <c r="N62" s="13">
        <v>30.1</v>
      </c>
      <c r="O62" s="44">
        <v>0.298804780876494</v>
      </c>
      <c r="P62" s="4">
        <v>4.16</v>
      </c>
      <c r="Q62" s="40">
        <v>0.537662337662338</v>
      </c>
      <c r="R62" s="4">
        <v>6.91853330952381</v>
      </c>
      <c r="S62" s="40">
        <v>0.433086407155455</v>
      </c>
      <c r="T62" s="11">
        <v>3.9</v>
      </c>
      <c r="U62" s="40">
        <v>0.264705882352941</v>
      </c>
      <c r="V62" s="4">
        <v>1.12291665833333</v>
      </c>
      <c r="W62" s="54">
        <f t="shared" si="0"/>
        <v>0.389831926738</v>
      </c>
      <c r="X62" s="4">
        <v>13.8684000833333</v>
      </c>
      <c r="Y62" s="40">
        <v>0.357504288081361</v>
      </c>
      <c r="Z62" s="4">
        <v>0.913578968421053</v>
      </c>
      <c r="AA62" s="40">
        <v>0.185894742105263</v>
      </c>
      <c r="AB62" s="4">
        <v>9.73233332083333</v>
      </c>
      <c r="AC62" s="40">
        <v>0.554194755149812</v>
      </c>
      <c r="AD62" s="4">
        <v>0.246991666666667</v>
      </c>
      <c r="AE62" s="57">
        <f t="shared" si="1"/>
        <v>0.365190533204</v>
      </c>
      <c r="AF62" s="4">
        <v>6.66172497916667</v>
      </c>
      <c r="AG62" s="70">
        <v>0.28674105902778</v>
      </c>
    </row>
    <row r="63" spans="1:33">
      <c r="A63" s="38">
        <v>45350</v>
      </c>
      <c r="B63" s="1">
        <v>38579</v>
      </c>
      <c r="C63" s="39">
        <v>0.193173269809428</v>
      </c>
      <c r="D63" s="1">
        <v>37932.3483887</v>
      </c>
      <c r="E63" s="40">
        <v>0.207184016749084</v>
      </c>
      <c r="F63" s="10">
        <v>98.9</v>
      </c>
      <c r="G63" s="40">
        <v>0.625525946704067</v>
      </c>
      <c r="H63" s="4">
        <v>266.369519919048</v>
      </c>
      <c r="I63" s="40">
        <v>0.816909523391241</v>
      </c>
      <c r="J63" s="4">
        <v>188.87142872381</v>
      </c>
      <c r="K63" s="40">
        <v>0.215709314783077</v>
      </c>
      <c r="L63" s="4">
        <v>30.0269047857143</v>
      </c>
      <c r="M63" s="40">
        <v>0.494456374468444</v>
      </c>
      <c r="N63" s="13">
        <v>31.6</v>
      </c>
      <c r="O63" s="44">
        <v>0.358565737051793</v>
      </c>
      <c r="P63" s="4">
        <v>3.76</v>
      </c>
      <c r="Q63" s="40">
        <v>0.433766233766234</v>
      </c>
      <c r="R63" s="4">
        <v>6.90516845263158</v>
      </c>
      <c r="S63" s="40">
        <v>0.426015054302423</v>
      </c>
      <c r="T63" s="10">
        <v>4.2</v>
      </c>
      <c r="U63" s="40">
        <v>0.352941176470588</v>
      </c>
      <c r="V63" s="4">
        <v>1.10166665416667</v>
      </c>
      <c r="W63" s="54">
        <f t="shared" si="0"/>
        <v>0.38234880095</v>
      </c>
      <c r="X63" s="4">
        <v>13.7448383428571</v>
      </c>
      <c r="Y63" s="40">
        <v>0.353268369655711</v>
      </c>
      <c r="Z63" s="4">
        <v>2.1730476</v>
      </c>
      <c r="AA63" s="40">
        <v>0.5007619</v>
      </c>
      <c r="AB63" s="4">
        <v>8.50228575714286</v>
      </c>
      <c r="AC63" s="40">
        <v>0.415987163723917</v>
      </c>
      <c r="AD63" s="4">
        <v>0.247542857142857</v>
      </c>
      <c r="AE63" s="57">
        <f t="shared" si="1"/>
        <v>0.366470502472</v>
      </c>
      <c r="AF63" s="4">
        <v>6.58933335238095</v>
      </c>
      <c r="AG63" s="70">
        <v>0.243650804988661</v>
      </c>
    </row>
    <row r="64" spans="1:33">
      <c r="A64" s="38">
        <v>45351</v>
      </c>
      <c r="B64" s="1">
        <v>42568</v>
      </c>
      <c r="C64" s="39">
        <v>0.318204613841525</v>
      </c>
      <c r="D64" s="1">
        <v>41230.0424501</v>
      </c>
      <c r="E64" s="40">
        <v>0.307846228635531</v>
      </c>
      <c r="F64" s="10">
        <v>97.2</v>
      </c>
      <c r="G64" s="40">
        <v>0.601683029453016</v>
      </c>
      <c r="H64" s="4">
        <v>271.33200072</v>
      </c>
      <c r="I64" s="40">
        <v>0.87918183862467</v>
      </c>
      <c r="J64" s="4">
        <v>193.209999465</v>
      </c>
      <c r="K64" s="40">
        <v>0.226267246161147</v>
      </c>
      <c r="L64" s="4">
        <v>29.01650014</v>
      </c>
      <c r="M64" s="40">
        <v>0.464677280872384</v>
      </c>
      <c r="N64" s="13">
        <v>30.6</v>
      </c>
      <c r="O64" s="44">
        <v>0.318725099601594</v>
      </c>
      <c r="P64" s="4">
        <v>4.33</v>
      </c>
      <c r="Q64" s="40">
        <v>0.581818181818182</v>
      </c>
      <c r="R64" s="4">
        <v>6.89556002</v>
      </c>
      <c r="S64" s="40">
        <v>0.420931227513227</v>
      </c>
      <c r="T64" s="10">
        <v>3.7</v>
      </c>
      <c r="U64" s="40">
        <v>0.205882352941177</v>
      </c>
      <c r="V64" s="4">
        <v>1.22729167916667</v>
      </c>
      <c r="W64" s="54">
        <f t="shared" si="0"/>
        <v>0.426587279999</v>
      </c>
      <c r="X64" s="4">
        <v>13.1898000125</v>
      </c>
      <c r="Y64" s="40">
        <v>0.334240658639013</v>
      </c>
      <c r="Z64" s="4">
        <v>2.8810833375</v>
      </c>
      <c r="AA64" s="40">
        <v>0.677770834375</v>
      </c>
      <c r="AB64" s="4">
        <v>10.401899985</v>
      </c>
      <c r="AC64" s="40">
        <v>0.629426964606742</v>
      </c>
      <c r="AD64" s="4">
        <v>0.23239</v>
      </c>
      <c r="AE64" s="57">
        <f t="shared" si="1"/>
        <v>0.331282682096</v>
      </c>
      <c r="AF64" s="4">
        <v>6.604359995</v>
      </c>
      <c r="AG64" s="70">
        <v>0.252595235119048</v>
      </c>
    </row>
    <row r="65" spans="1:33">
      <c r="A65" s="38">
        <v>45352</v>
      </c>
      <c r="B65" s="1">
        <v>41698</v>
      </c>
      <c r="C65" s="39">
        <v>0.290935305917753</v>
      </c>
      <c r="D65" s="1">
        <v>40288.9923096</v>
      </c>
      <c r="E65" s="40">
        <v>0.279120644371184</v>
      </c>
      <c r="F65" s="10">
        <v>103.2</v>
      </c>
      <c r="G65" s="40">
        <v>0.685834502103787</v>
      </c>
      <c r="H65" s="4">
        <v>262.178181736364</v>
      </c>
      <c r="I65" s="40">
        <v>0.764313988409637</v>
      </c>
      <c r="J65" s="4">
        <v>199.277269881818</v>
      </c>
      <c r="K65" s="40">
        <v>0.2410319759614</v>
      </c>
      <c r="L65" s="4">
        <v>27.060454490909</v>
      </c>
      <c r="M65" s="40">
        <v>0.40702783645473</v>
      </c>
      <c r="N65" s="13">
        <v>29.2</v>
      </c>
      <c r="O65" s="44">
        <v>0.262948207171315</v>
      </c>
      <c r="P65" s="4">
        <v>3.66</v>
      </c>
      <c r="Q65" s="40">
        <v>0.407792207792208</v>
      </c>
      <c r="R65" s="4">
        <v>6.82533332857143</v>
      </c>
      <c r="S65" s="40">
        <v>0.383774247921392</v>
      </c>
      <c r="T65" s="11">
        <v>4.4</v>
      </c>
      <c r="U65" s="40">
        <v>0.411764705882353</v>
      </c>
      <c r="V65" s="4">
        <v>0.270227272727272</v>
      </c>
      <c r="W65" s="54">
        <f t="shared" si="0"/>
        <v>0.089559894793</v>
      </c>
      <c r="X65" s="4">
        <v>8.74072725</v>
      </c>
      <c r="Y65" s="40">
        <v>0.181718452176894</v>
      </c>
      <c r="Z65" s="4">
        <v>1.82309091363636</v>
      </c>
      <c r="AA65" s="40">
        <v>0.41327272840909</v>
      </c>
      <c r="AB65" s="9">
        <v>10.1304545772727</v>
      </c>
      <c r="AC65" s="57">
        <v>0.598927480592438</v>
      </c>
      <c r="AD65" s="9">
        <v>0.2530091</v>
      </c>
      <c r="AE65" s="57">
        <f t="shared" si="1"/>
        <v>0.379164159514</v>
      </c>
      <c r="AF65" s="4">
        <v>6.51916363636364</v>
      </c>
      <c r="AG65" s="70">
        <v>0.201883116883119</v>
      </c>
    </row>
    <row r="66" spans="1:33">
      <c r="A66" s="38">
        <v>45353</v>
      </c>
      <c r="B66" s="1">
        <v>47846</v>
      </c>
      <c r="C66" s="39">
        <v>0.483638415245737</v>
      </c>
      <c r="D66" s="1">
        <v>46771.0038147</v>
      </c>
      <c r="E66" s="40">
        <v>0.476984243427961</v>
      </c>
      <c r="F66" s="10">
        <v>116.6</v>
      </c>
      <c r="G66" s="40">
        <v>0.873772791023843</v>
      </c>
      <c r="H66" s="4">
        <v>267.169524414286</v>
      </c>
      <c r="I66" s="40">
        <v>0.82694848054067</v>
      </c>
      <c r="J66" s="4">
        <v>157.176192147619</v>
      </c>
      <c r="K66" s="40">
        <v>0.138578814269143</v>
      </c>
      <c r="L66" s="4">
        <v>25.707142847619</v>
      </c>
      <c r="M66" s="40">
        <v>0.367142435827262</v>
      </c>
      <c r="N66" s="13">
        <v>30.7</v>
      </c>
      <c r="O66" s="44">
        <v>0.322709163346613</v>
      </c>
      <c r="P66" s="4">
        <v>3.95</v>
      </c>
      <c r="Q66" s="40">
        <v>0.483116883116883</v>
      </c>
      <c r="R66" s="4">
        <v>6.91853330952381</v>
      </c>
      <c r="S66" s="40">
        <v>0.433086407155455</v>
      </c>
      <c r="T66" s="10">
        <v>4.9</v>
      </c>
      <c r="U66" s="40">
        <v>0.558823529411765</v>
      </c>
      <c r="V66" s="4">
        <v>0.368095238095238</v>
      </c>
      <c r="W66" s="54">
        <f t="shared" si="0"/>
        <v>0.124023807818</v>
      </c>
      <c r="X66" s="4">
        <v>8.27146665714286</v>
      </c>
      <c r="Y66" s="40">
        <v>0.165631356089916</v>
      </c>
      <c r="Z66" s="4">
        <v>2.02847617619048</v>
      </c>
      <c r="AA66" s="40">
        <v>0.46461904404762</v>
      </c>
      <c r="AB66" s="9">
        <v>7.6973334</v>
      </c>
      <c r="AC66" s="57">
        <v>0.325543078651685</v>
      </c>
      <c r="AD66" s="9">
        <v>0.257171428571429</v>
      </c>
      <c r="AE66" s="57">
        <f t="shared" si="1"/>
        <v>0.388829879235</v>
      </c>
      <c r="AF66" s="4">
        <v>6.56393336666667</v>
      </c>
      <c r="AG66" s="70">
        <v>0.228531765873018</v>
      </c>
    </row>
    <row r="67" spans="1:33">
      <c r="A67" s="38">
        <v>45354</v>
      </c>
      <c r="B67" s="1">
        <v>46879</v>
      </c>
      <c r="C67" s="39">
        <v>0.453328736208626</v>
      </c>
      <c r="D67" s="1">
        <v>45634</v>
      </c>
      <c r="E67" s="40">
        <v>0.442277167277167</v>
      </c>
      <c r="F67" s="10">
        <v>119.26</v>
      </c>
      <c r="G67" s="40">
        <v>0.911079943899018</v>
      </c>
      <c r="H67" s="4">
        <v>249.310475666667</v>
      </c>
      <c r="I67" s="40">
        <v>0.602841958422224</v>
      </c>
      <c r="J67" s="4">
        <v>145.695238385714</v>
      </c>
      <c r="K67" s="40">
        <v>0.11063986174218</v>
      </c>
      <c r="L67" s="4">
        <v>27.4764286333333</v>
      </c>
      <c r="M67" s="40">
        <v>0.419287610767265</v>
      </c>
      <c r="N67" s="13">
        <v>29.8</v>
      </c>
      <c r="O67" s="44">
        <v>0.286852589641434</v>
      </c>
      <c r="P67" s="4">
        <v>3.73</v>
      </c>
      <c r="Q67" s="40">
        <v>0.425974025974026</v>
      </c>
      <c r="R67" s="4">
        <v>6.90516845263158</v>
      </c>
      <c r="S67" s="40">
        <v>0.426015054302423</v>
      </c>
      <c r="T67" s="10">
        <v>4.1</v>
      </c>
      <c r="U67" s="40">
        <v>0.323529411764706</v>
      </c>
      <c r="V67" s="4">
        <v>0.474761904761904</v>
      </c>
      <c r="W67" s="54">
        <f t="shared" si="0"/>
        <v>0.161586157346</v>
      </c>
      <c r="X67" s="4">
        <v>8.20114285714286</v>
      </c>
      <c r="Y67" s="40">
        <v>0.163220529898624</v>
      </c>
      <c r="Z67" s="4">
        <v>3.75104763333333</v>
      </c>
      <c r="AA67" s="40">
        <v>0.895261908333333</v>
      </c>
      <c r="AB67" s="9">
        <v>11.8187618190476</v>
      </c>
      <c r="AC67" s="57">
        <v>0.788624923488494</v>
      </c>
      <c r="AD67" s="9">
        <v>0.283495238095238</v>
      </c>
      <c r="AE67" s="57">
        <f t="shared" si="1"/>
        <v>0.449958778715</v>
      </c>
      <c r="AF67" s="4">
        <v>6.51553336190476</v>
      </c>
      <c r="AG67" s="70">
        <v>0.199722239229024</v>
      </c>
    </row>
    <row r="68" spans="1:33">
      <c r="A68" s="38">
        <v>45355</v>
      </c>
      <c r="B68" s="1">
        <v>50268</v>
      </c>
      <c r="C68" s="39">
        <v>0.559553660982949</v>
      </c>
      <c r="D68" s="1">
        <v>49020.6034543</v>
      </c>
      <c r="E68" s="40">
        <v>0.545653341095849</v>
      </c>
      <c r="F68" s="10">
        <v>120.1</v>
      </c>
      <c r="G68" s="40">
        <v>0.922861150070126</v>
      </c>
      <c r="H68" s="4">
        <v>258.8763622</v>
      </c>
      <c r="I68" s="40">
        <v>0.722880690174426</v>
      </c>
      <c r="J68" s="4">
        <v>173.081815877273</v>
      </c>
      <c r="K68" s="40">
        <v>0.177285221028577</v>
      </c>
      <c r="L68" s="4">
        <v>27.7006817636363</v>
      </c>
      <c r="M68" s="40">
        <v>0.425896898427241</v>
      </c>
      <c r="N68" s="13">
        <v>33.6</v>
      </c>
      <c r="O68" s="44">
        <v>0.438247011952191</v>
      </c>
      <c r="P68" s="4">
        <v>4.56</v>
      </c>
      <c r="Q68" s="40">
        <v>0.641558441558441</v>
      </c>
      <c r="R68" s="4">
        <v>6.89556002</v>
      </c>
      <c r="S68" s="40">
        <v>0.420931227513227</v>
      </c>
      <c r="T68" s="10">
        <v>4.6</v>
      </c>
      <c r="U68" s="40">
        <v>0.470588235294118</v>
      </c>
      <c r="V68" s="4">
        <v>0.469772727272727</v>
      </c>
      <c r="W68" s="54">
        <f t="shared" si="0"/>
        <v>0.159829233327</v>
      </c>
      <c r="X68" s="4">
        <v>10.7346907681818</v>
      </c>
      <c r="Y68" s="40">
        <v>0.250075103468694</v>
      </c>
      <c r="Z68" s="4">
        <v>1.33154544090909</v>
      </c>
      <c r="AA68" s="40">
        <v>0.290386360227273</v>
      </c>
      <c r="AB68" s="9">
        <v>8.55045448636364</v>
      </c>
      <c r="AC68" s="57">
        <v>0.421399380490297</v>
      </c>
      <c r="AD68" s="9">
        <v>0.396709090909091</v>
      </c>
      <c r="AE68" s="57">
        <f t="shared" si="1"/>
        <v>0.712862908231</v>
      </c>
      <c r="AF68" s="4">
        <v>6.55212723181818</v>
      </c>
      <c r="AG68" s="70">
        <v>0.221504304653679</v>
      </c>
    </row>
    <row r="69" spans="1:33">
      <c r="A69" s="38">
        <v>45356</v>
      </c>
      <c r="B69" s="1">
        <v>43657</v>
      </c>
      <c r="C69" s="39">
        <v>0.352338264794383</v>
      </c>
      <c r="D69" s="1">
        <v>42004.2443846</v>
      </c>
      <c r="E69" s="40">
        <v>0.331478766318681</v>
      </c>
      <c r="F69" s="10">
        <v>121.3</v>
      </c>
      <c r="G69" s="40">
        <v>0.939691444600281</v>
      </c>
      <c r="H69" s="4">
        <v>243.299997333333</v>
      </c>
      <c r="I69" s="40">
        <v>0.527418714184126</v>
      </c>
      <c r="J69" s="4">
        <v>161.02083205</v>
      </c>
      <c r="K69" s="40">
        <v>0.147934762733312</v>
      </c>
      <c r="L69" s="4">
        <v>27.4762500625</v>
      </c>
      <c r="M69" s="40">
        <v>0.419282347848512</v>
      </c>
      <c r="N69" s="13">
        <v>32.1</v>
      </c>
      <c r="O69" s="44">
        <v>0.378486055776892</v>
      </c>
      <c r="P69" s="4">
        <v>4.04</v>
      </c>
      <c r="Q69" s="40">
        <v>0.506493506493507</v>
      </c>
      <c r="R69" s="4">
        <v>6.90199995</v>
      </c>
      <c r="S69" s="40">
        <v>0.424338597883598</v>
      </c>
      <c r="T69" s="10">
        <v>3.8</v>
      </c>
      <c r="U69" s="40">
        <v>0.235294117647059</v>
      </c>
      <c r="V69" s="4">
        <v>0.677083333333333</v>
      </c>
      <c r="W69" s="54">
        <f t="shared" si="0"/>
        <v>0.23283304688</v>
      </c>
      <c r="X69" s="4">
        <v>9.00293334166667</v>
      </c>
      <c r="Y69" s="40">
        <v>0.19070734801737</v>
      </c>
      <c r="Z69" s="4">
        <v>0.42275</v>
      </c>
      <c r="AA69" s="40">
        <v>0.0631875</v>
      </c>
      <c r="AB69" s="9">
        <v>8.78424996666667</v>
      </c>
      <c r="AC69" s="57">
        <v>0.447668535580525</v>
      </c>
      <c r="AD69" s="9">
        <v>0.403258333333333</v>
      </c>
      <c r="AE69" s="57">
        <f t="shared" si="1"/>
        <v>0.728071496542</v>
      </c>
      <c r="AF69" s="4">
        <v>6.46152497083333</v>
      </c>
      <c r="AG69" s="70">
        <v>0.167574387400792</v>
      </c>
    </row>
    <row r="70" spans="1:33">
      <c r="A70" s="38">
        <v>45357</v>
      </c>
      <c r="B70" s="1">
        <v>43259</v>
      </c>
      <c r="C70" s="39">
        <v>0.33986334002006</v>
      </c>
      <c r="D70" s="1">
        <v>41529.8981321</v>
      </c>
      <c r="E70" s="40">
        <v>0.316999332481685</v>
      </c>
      <c r="F70" s="10">
        <v>122.6</v>
      </c>
      <c r="G70" s="40">
        <v>0.957924263674614</v>
      </c>
      <c r="H70" s="4">
        <v>253.493333191667</v>
      </c>
      <c r="I70" s="40">
        <v>0.655331072802949</v>
      </c>
      <c r="J70" s="4">
        <v>171.516667379167</v>
      </c>
      <c r="K70" s="40">
        <v>0.173476425131207</v>
      </c>
      <c r="L70" s="4">
        <v>28.228541575</v>
      </c>
      <c r="M70" s="40">
        <v>0.44145421676982</v>
      </c>
      <c r="N70" s="13">
        <v>30.8</v>
      </c>
      <c r="O70" s="44">
        <v>0.326693227091633</v>
      </c>
      <c r="P70" s="4">
        <v>3.73</v>
      </c>
      <c r="Q70" s="40">
        <v>0.425974025974026</v>
      </c>
      <c r="R70" s="4">
        <v>6.871689985</v>
      </c>
      <c r="S70" s="40">
        <v>0.408301579365079</v>
      </c>
      <c r="T70" s="10">
        <v>3.3</v>
      </c>
      <c r="U70" s="40">
        <v>0.088235294117647</v>
      </c>
      <c r="V70" s="4">
        <v>0.87625</v>
      </c>
      <c r="W70" s="54">
        <f t="shared" ref="W70:W133" si="2">ROUND((V70-MIN($V$5:$V$370))/(MAX($V$5:$V$370)-MIN($V$5:$V$2370)),12)</f>
        <v>0.302968996389</v>
      </c>
      <c r="X70" s="4">
        <v>9.0592665625</v>
      </c>
      <c r="Y70" s="40">
        <v>0.192638552022626</v>
      </c>
      <c r="Z70" s="4">
        <v>0.330999995833333</v>
      </c>
      <c r="AA70" s="40">
        <v>0.0402499989583332</v>
      </c>
      <c r="AB70" s="9">
        <v>7.9937500375</v>
      </c>
      <c r="AC70" s="57">
        <v>0.358848318820225</v>
      </c>
      <c r="AD70" s="9">
        <v>0.343741666666667</v>
      </c>
      <c r="AE70" s="57">
        <f t="shared" ref="AE70:AE133" si="3">ROUND((AD70-MIN($AD$5:$AD$370))/(MAX($AD$5:$AD$370)-MIN($AD$5:$AD$2370)),12)</f>
        <v>0.589862460697</v>
      </c>
      <c r="AF70" s="4">
        <v>6.38020829583333</v>
      </c>
      <c r="AG70" s="70">
        <v>0.119171604662697</v>
      </c>
    </row>
    <row r="71" spans="1:33">
      <c r="A71" s="38">
        <v>45358</v>
      </c>
      <c r="B71" s="1">
        <v>43571</v>
      </c>
      <c r="C71" s="39">
        <v>0.349642678034102</v>
      </c>
      <c r="D71" s="1">
        <v>42085.5801569</v>
      </c>
      <c r="E71" s="40">
        <v>0.333961543250916</v>
      </c>
      <c r="F71" s="10">
        <v>123.1</v>
      </c>
      <c r="G71" s="40">
        <v>0.964936886395512</v>
      </c>
      <c r="H71" s="4">
        <v>252.810001375</v>
      </c>
      <c r="I71" s="40">
        <v>0.646756197452629</v>
      </c>
      <c r="J71" s="4">
        <v>185.174999241667</v>
      </c>
      <c r="K71" s="40">
        <v>0.206714037041995</v>
      </c>
      <c r="L71" s="4">
        <v>27.2949999791666</v>
      </c>
      <c r="M71" s="40">
        <v>0.413940465050592</v>
      </c>
      <c r="N71" s="13">
        <v>31.4</v>
      </c>
      <c r="O71" s="44">
        <v>0.350597609561753</v>
      </c>
      <c r="P71" s="4">
        <v>3.86</v>
      </c>
      <c r="Q71" s="40">
        <v>0.45974025974026</v>
      </c>
      <c r="R71" s="4">
        <v>6.83433327142857</v>
      </c>
      <c r="S71" s="40">
        <v>0.388536122448979</v>
      </c>
      <c r="T71" s="10">
        <v>4.2</v>
      </c>
      <c r="U71" s="40">
        <v>0.352941176470588</v>
      </c>
      <c r="V71" s="4">
        <v>0.770208333333333</v>
      </c>
      <c r="W71" s="54">
        <f t="shared" si="2"/>
        <v>0.265626738753</v>
      </c>
      <c r="X71" s="4">
        <v>8.64846659166667</v>
      </c>
      <c r="Y71" s="40">
        <v>0.178555591075306</v>
      </c>
      <c r="Z71" s="4">
        <v>0.587583333333333</v>
      </c>
      <c r="AA71" s="40">
        <v>0.104395833333333</v>
      </c>
      <c r="AB71" s="9">
        <v>8.42566662083333</v>
      </c>
      <c r="AC71" s="57">
        <v>0.407378272003745</v>
      </c>
      <c r="AD71" s="9">
        <v>0.2931</v>
      </c>
      <c r="AE71" s="57">
        <f t="shared" si="3"/>
        <v>0.47226286523</v>
      </c>
      <c r="AF71" s="4">
        <v>6.39683324583333</v>
      </c>
      <c r="AG71" s="70">
        <v>0.129067408234125</v>
      </c>
    </row>
    <row r="72" spans="1:33">
      <c r="A72" s="38">
        <v>45359</v>
      </c>
      <c r="B72" s="1">
        <v>45986</v>
      </c>
      <c r="C72" s="39">
        <v>0.42533851554664</v>
      </c>
      <c r="D72" s="1">
        <v>44105.2162478</v>
      </c>
      <c r="E72" s="40">
        <v>0.395610996575092</v>
      </c>
      <c r="F72" s="10">
        <v>124.4</v>
      </c>
      <c r="G72" s="40">
        <v>0.983169705469846</v>
      </c>
      <c r="H72" s="4">
        <v>262.4233284</v>
      </c>
      <c r="I72" s="40">
        <v>0.76739024218848</v>
      </c>
      <c r="J72" s="4">
        <v>219.433332433333</v>
      </c>
      <c r="K72" s="40">
        <v>0.290081844677519</v>
      </c>
      <c r="L72" s="4">
        <v>28.1091666625</v>
      </c>
      <c r="M72" s="40">
        <v>0.437935946433834</v>
      </c>
      <c r="N72" s="13">
        <v>30.6</v>
      </c>
      <c r="O72" s="44">
        <v>0.318725099601594</v>
      </c>
      <c r="P72" s="4">
        <v>3.34768406464284</v>
      </c>
      <c r="Q72" s="40">
        <v>0.326671185621517</v>
      </c>
      <c r="R72" s="4">
        <v>6.873999965</v>
      </c>
      <c r="S72" s="40">
        <v>0.409523791005291</v>
      </c>
      <c r="T72" s="11">
        <v>4.1</v>
      </c>
      <c r="U72" s="40">
        <v>0.323529411764706</v>
      </c>
      <c r="V72" s="4">
        <v>0.6725</v>
      </c>
      <c r="W72" s="54">
        <f t="shared" si="2"/>
        <v>0.231219039674</v>
      </c>
      <c r="X72" s="4">
        <v>8.51586652916667</v>
      </c>
      <c r="Y72" s="40">
        <v>0.174009822734545</v>
      </c>
      <c r="Z72" s="4">
        <v>0.223666666666667</v>
      </c>
      <c r="AA72" s="40">
        <v>0.0134166666666668</v>
      </c>
      <c r="AB72" s="9">
        <v>8.184583425</v>
      </c>
      <c r="AC72" s="57">
        <v>0.38029027247191</v>
      </c>
      <c r="AD72" s="9">
        <v>0.286841666666667</v>
      </c>
      <c r="AE72" s="57">
        <f t="shared" si="3"/>
        <v>0.457729823236</v>
      </c>
      <c r="AF72" s="4">
        <v>6.41106669583333</v>
      </c>
      <c r="AG72" s="70">
        <v>0.137539699900792</v>
      </c>
    </row>
    <row r="73" spans="1:33">
      <c r="A73" s="38">
        <v>45360</v>
      </c>
      <c r="B73" s="1">
        <v>40589</v>
      </c>
      <c r="C73" s="39">
        <v>0.256174774322969</v>
      </c>
      <c r="D73" s="1">
        <v>39944.3070678</v>
      </c>
      <c r="E73" s="40">
        <v>0.268599116843712</v>
      </c>
      <c r="F73" s="10">
        <v>124.5</v>
      </c>
      <c r="G73" s="40">
        <v>0.984572230014025</v>
      </c>
      <c r="H73" s="4">
        <v>255.610001245833</v>
      </c>
      <c r="I73" s="40">
        <v>0.681892348423052</v>
      </c>
      <c r="J73" s="4">
        <v>222.5916659</v>
      </c>
      <c r="K73" s="40">
        <v>0.297767663348989</v>
      </c>
      <c r="L73" s="4">
        <v>28.2758332291666</v>
      </c>
      <c r="M73" s="40">
        <v>0.442848017364179</v>
      </c>
      <c r="N73" s="13">
        <v>31.3</v>
      </c>
      <c r="O73" s="44">
        <v>0.346613545816733</v>
      </c>
      <c r="P73" s="4">
        <v>4.7058184774792</v>
      </c>
      <c r="Q73" s="40">
        <v>0.679433370773818</v>
      </c>
      <c r="R73" s="4">
        <v>6.740160055</v>
      </c>
      <c r="S73" s="40">
        <v>0.338709023809524</v>
      </c>
      <c r="T73" s="10">
        <v>4.9</v>
      </c>
      <c r="U73" s="40">
        <v>0.558823529411765</v>
      </c>
      <c r="V73" s="4">
        <v>0.780416666666666</v>
      </c>
      <c r="W73" s="54">
        <f t="shared" si="2"/>
        <v>0.269221572985</v>
      </c>
      <c r="X73" s="4">
        <v>9.071399975</v>
      </c>
      <c r="Y73" s="40">
        <v>0.193054507199177</v>
      </c>
      <c r="Z73" s="4">
        <v>0.360333333333333</v>
      </c>
      <c r="AA73" s="40">
        <v>0.0475833333333332</v>
      </c>
      <c r="AB73" s="9">
        <v>9.26650005416667</v>
      </c>
      <c r="AC73" s="57">
        <v>0.501853938670412</v>
      </c>
      <c r="AD73" s="9">
        <v>0.251775</v>
      </c>
      <c r="AE73" s="57">
        <f t="shared" si="3"/>
        <v>0.376298344261</v>
      </c>
      <c r="AF73" s="4">
        <v>6.4114166625</v>
      </c>
      <c r="AG73" s="70">
        <v>0.137748013392857</v>
      </c>
    </row>
    <row r="74" spans="1:33">
      <c r="A74" s="38">
        <v>45361</v>
      </c>
      <c r="B74" s="1">
        <v>44618</v>
      </c>
      <c r="C74" s="39">
        <v>0.382459879638917</v>
      </c>
      <c r="D74" s="1">
        <v>43529.4566651</v>
      </c>
      <c r="E74" s="40">
        <v>0.378035917738095</v>
      </c>
      <c r="F74" s="10">
        <v>124.8</v>
      </c>
      <c r="G74" s="40">
        <v>0.988779803646564</v>
      </c>
      <c r="H74" s="4">
        <v>248.410002395833</v>
      </c>
      <c r="I74" s="40">
        <v>0.591542256190651</v>
      </c>
      <c r="J74" s="4">
        <v>201.9000008875</v>
      </c>
      <c r="K74" s="40">
        <v>0.247414403639306</v>
      </c>
      <c r="L74" s="4">
        <v>29.432916675</v>
      </c>
      <c r="M74" s="40">
        <v>0.476950093575007</v>
      </c>
      <c r="N74" s="13">
        <v>29.8</v>
      </c>
      <c r="O74" s="44">
        <v>0.286852589641434</v>
      </c>
      <c r="P74" s="4">
        <v>3.28398035711634</v>
      </c>
      <c r="Q74" s="40">
        <v>0.310124768082166</v>
      </c>
      <c r="R74" s="4">
        <v>6.72567369473684</v>
      </c>
      <c r="S74" s="40">
        <v>0.331044282929545</v>
      </c>
      <c r="T74" s="10">
        <v>3.8</v>
      </c>
      <c r="U74" s="40">
        <v>0.235294117647059</v>
      </c>
      <c r="V74" s="4">
        <v>0.882916666666666</v>
      </c>
      <c r="W74" s="54">
        <f t="shared" si="2"/>
        <v>0.305316643235</v>
      </c>
      <c r="X74" s="4">
        <v>9.13639991666666</v>
      </c>
      <c r="Y74" s="40">
        <v>0.195282821963204</v>
      </c>
      <c r="Z74" s="4">
        <v>0.227166666666667</v>
      </c>
      <c r="AA74" s="40">
        <v>0.0142916666666667</v>
      </c>
      <c r="AB74" s="9">
        <v>9.60491675416667</v>
      </c>
      <c r="AC74" s="57">
        <v>0.539878286985019</v>
      </c>
      <c r="AD74" s="9">
        <v>0.21185</v>
      </c>
      <c r="AE74" s="57">
        <f t="shared" si="3"/>
        <v>0.283584889944</v>
      </c>
      <c r="AF74" s="4">
        <v>6.3623000375</v>
      </c>
      <c r="AG74" s="70">
        <v>0.108511927083333</v>
      </c>
    </row>
    <row r="75" spans="1:33">
      <c r="A75" s="38">
        <v>45362</v>
      </c>
      <c r="B75" s="1">
        <v>47853</v>
      </c>
      <c r="C75" s="39">
        <v>0.483857823470411</v>
      </c>
      <c r="D75" s="1">
        <v>46703.4514769</v>
      </c>
      <c r="E75" s="40">
        <v>0.474922206254579</v>
      </c>
      <c r="F75" s="10">
        <v>123.2</v>
      </c>
      <c r="G75" s="40">
        <v>0.966339410939692</v>
      </c>
      <c r="H75" s="4">
        <v>251.946666083333</v>
      </c>
      <c r="I75" s="40">
        <v>0.635922525829251</v>
      </c>
      <c r="J75" s="4">
        <v>182.866668708333</v>
      </c>
      <c r="K75" s="40">
        <v>0.201096704325148</v>
      </c>
      <c r="L75" s="4">
        <v>28.52958345</v>
      </c>
      <c r="M75" s="40">
        <v>0.450326656351312</v>
      </c>
      <c r="N75" s="13">
        <v>30.3</v>
      </c>
      <c r="O75" s="44">
        <v>0.306772908366534</v>
      </c>
      <c r="P75" s="4">
        <v>4.18713612539446</v>
      </c>
      <c r="Q75" s="40">
        <v>0.544710681920639</v>
      </c>
      <c r="R75" s="4">
        <v>6.81173333809524</v>
      </c>
      <c r="S75" s="40">
        <v>0.376578485764678</v>
      </c>
      <c r="T75" s="10">
        <v>3</v>
      </c>
      <c r="U75" s="40">
        <v>0</v>
      </c>
      <c r="V75" s="4">
        <v>0.878958333333333</v>
      </c>
      <c r="W75" s="54">
        <f t="shared" si="2"/>
        <v>0.30392272792</v>
      </c>
      <c r="X75" s="4">
        <v>11.2597332041667</v>
      </c>
      <c r="Y75" s="40">
        <v>0.268074501342705</v>
      </c>
      <c r="Z75" s="4">
        <v>1.342833325</v>
      </c>
      <c r="AA75" s="40">
        <v>0.29320833125</v>
      </c>
      <c r="AB75" s="9">
        <v>9.18575004166667</v>
      </c>
      <c r="AC75" s="57">
        <v>0.492780903558053</v>
      </c>
      <c r="AD75" s="9">
        <v>0.218375</v>
      </c>
      <c r="AE75" s="57">
        <f t="shared" si="3"/>
        <v>0.298737182729</v>
      </c>
      <c r="AF75" s="4">
        <v>6.35232499166667</v>
      </c>
      <c r="AG75" s="70">
        <v>0.102574399801589</v>
      </c>
    </row>
    <row r="76" spans="1:33">
      <c r="A76" s="38">
        <v>45363</v>
      </c>
      <c r="B76" s="1">
        <v>43652</v>
      </c>
      <c r="C76" s="39">
        <v>0.352181544633902</v>
      </c>
      <c r="D76" s="1">
        <v>42210.3252743</v>
      </c>
      <c r="E76" s="40">
        <v>0.337769391767399</v>
      </c>
      <c r="F76" s="10">
        <v>122</v>
      </c>
      <c r="G76" s="40">
        <v>0.949509116409537</v>
      </c>
      <c r="H76" s="4">
        <v>256.319997795833</v>
      </c>
      <c r="I76" s="40">
        <v>0.69080182953737</v>
      </c>
      <c r="J76" s="4">
        <v>187.241666795833</v>
      </c>
      <c r="K76" s="40">
        <v>0.211743281814015</v>
      </c>
      <c r="L76" s="4">
        <v>28.5795833916666</v>
      </c>
      <c r="M76" s="40">
        <v>0.451800276795361</v>
      </c>
      <c r="N76" s="13">
        <v>28.4</v>
      </c>
      <c r="O76" s="44">
        <v>0.231075697211155</v>
      </c>
      <c r="P76" s="4">
        <v>3.86880559383775</v>
      </c>
      <c r="Q76" s="40">
        <v>0.462027426970844</v>
      </c>
      <c r="R76" s="4">
        <v>6.85486659047619</v>
      </c>
      <c r="S76" s="40">
        <v>0.399400312421265</v>
      </c>
      <c r="T76" s="10">
        <v>3.5</v>
      </c>
      <c r="U76" s="40">
        <v>0.147058823529412</v>
      </c>
      <c r="V76" s="4">
        <v>0.779166666666666</v>
      </c>
      <c r="W76" s="54">
        <f t="shared" si="2"/>
        <v>0.268781389202</v>
      </c>
      <c r="X76" s="4">
        <v>9.330533325</v>
      </c>
      <c r="Y76" s="40">
        <v>0.20193806393555</v>
      </c>
      <c r="Z76" s="4">
        <v>3.29375002916667</v>
      </c>
      <c r="AA76" s="40">
        <v>0.780937507291668</v>
      </c>
      <c r="AB76" s="9">
        <v>5.22074997916667</v>
      </c>
      <c r="AC76" s="57">
        <v>0.0472752785580528</v>
      </c>
      <c r="AD76" s="9">
        <v>0.109433333333333</v>
      </c>
      <c r="AE76" s="57">
        <f t="shared" si="3"/>
        <v>0.045753883148</v>
      </c>
      <c r="AF76" s="4">
        <v>6.35996665416667</v>
      </c>
      <c r="AG76" s="70">
        <v>0.107123008432542</v>
      </c>
    </row>
    <row r="77" spans="1:33">
      <c r="A77" s="38">
        <v>45364</v>
      </c>
      <c r="B77" s="1">
        <v>49872</v>
      </c>
      <c r="C77" s="39">
        <v>0.547141424272818</v>
      </c>
      <c r="D77" s="1">
        <v>48737.3276671</v>
      </c>
      <c r="E77" s="40">
        <v>0.537006339044567</v>
      </c>
      <c r="F77" s="10">
        <v>122.7</v>
      </c>
      <c r="G77" s="40">
        <v>0.959326788218794</v>
      </c>
      <c r="H77" s="4">
        <v>248.256666816667</v>
      </c>
      <c r="I77" s="40">
        <v>0.589618105366633</v>
      </c>
      <c r="J77" s="4">
        <v>168.5833339625</v>
      </c>
      <c r="K77" s="40">
        <v>0.166338145091621</v>
      </c>
      <c r="L77" s="4">
        <v>27.7958331125</v>
      </c>
      <c r="M77" s="40">
        <v>0.428701241158267</v>
      </c>
      <c r="N77" s="13">
        <v>30.7</v>
      </c>
      <c r="O77" s="44">
        <v>0.322709163346613</v>
      </c>
      <c r="P77" s="4">
        <v>3.97183385827587</v>
      </c>
      <c r="Q77" s="40">
        <v>0.48878801513659</v>
      </c>
      <c r="R77" s="4">
        <v>6.83680002857143</v>
      </c>
      <c r="S77" s="40">
        <v>0.389841284958429</v>
      </c>
      <c r="T77" s="10">
        <v>3.9</v>
      </c>
      <c r="U77" s="40">
        <v>0.264705882352941</v>
      </c>
      <c r="V77" s="4">
        <v>0.676875</v>
      </c>
      <c r="W77" s="54">
        <f t="shared" si="2"/>
        <v>0.232759682916</v>
      </c>
      <c r="X77" s="4">
        <v>9.028933225</v>
      </c>
      <c r="Y77" s="40">
        <v>0.191598670723346</v>
      </c>
      <c r="Z77" s="4">
        <v>2.39516667916667</v>
      </c>
      <c r="AA77" s="40">
        <v>0.556291669791668</v>
      </c>
      <c r="AB77" s="9">
        <v>5.2666667</v>
      </c>
      <c r="AC77" s="57">
        <v>0.0524344606741573</v>
      </c>
      <c r="AD77" s="9">
        <v>0.287891666666666</v>
      </c>
      <c r="AE77" s="57">
        <f t="shared" si="3"/>
        <v>0.460168123224</v>
      </c>
      <c r="AF77" s="4">
        <v>6.31201670416667</v>
      </c>
      <c r="AG77" s="70">
        <v>0.0785813715277798</v>
      </c>
    </row>
    <row r="78" spans="1:33">
      <c r="A78" s="38">
        <v>45365</v>
      </c>
      <c r="B78" s="1">
        <v>42561</v>
      </c>
      <c r="C78" s="39">
        <v>0.317985205616851</v>
      </c>
      <c r="D78" s="1">
        <v>41421.6423952</v>
      </c>
      <c r="E78" s="40">
        <v>0.313694822808303</v>
      </c>
      <c r="F78" s="10">
        <v>121</v>
      </c>
      <c r="G78" s="40">
        <v>0.935483870967742</v>
      </c>
      <c r="H78" s="4">
        <v>250.1166687</v>
      </c>
      <c r="I78" s="40">
        <v>0.612958573221232</v>
      </c>
      <c r="J78" s="4">
        <v>251.891665783333</v>
      </c>
      <c r="K78" s="40">
        <v>0.369069344616682</v>
      </c>
      <c r="L78" s="4">
        <v>27.8441667083333</v>
      </c>
      <c r="M78" s="40">
        <v>0.430125750319284</v>
      </c>
      <c r="N78" s="13">
        <v>31.3</v>
      </c>
      <c r="O78" s="44">
        <v>0.346613545816733</v>
      </c>
      <c r="P78" s="4">
        <v>3.58879218718159</v>
      </c>
      <c r="Q78" s="40">
        <v>0.389296671995218</v>
      </c>
      <c r="R78" s="4">
        <v>6.76793336666667</v>
      </c>
      <c r="S78" s="40">
        <v>0.353403897707233</v>
      </c>
      <c r="T78" s="10">
        <v>4.4</v>
      </c>
      <c r="U78" s="40">
        <v>0.411764705882353</v>
      </c>
      <c r="V78" s="4">
        <v>0.878125</v>
      </c>
      <c r="W78" s="54">
        <f t="shared" si="2"/>
        <v>0.303629272065</v>
      </c>
      <c r="X78" s="4">
        <v>8.26279987083333</v>
      </c>
      <c r="Y78" s="40">
        <v>0.165334243086504</v>
      </c>
      <c r="Z78" s="4">
        <v>1.92099997916667</v>
      </c>
      <c r="AA78" s="40">
        <v>0.437749994791668</v>
      </c>
      <c r="AB78" s="9">
        <v>9.92633335416667</v>
      </c>
      <c r="AC78" s="57">
        <v>0.57599251170412</v>
      </c>
      <c r="AD78" s="9">
        <v>0.178691666666666</v>
      </c>
      <c r="AE78" s="57">
        <f t="shared" si="3"/>
        <v>0.20658492444</v>
      </c>
      <c r="AF78" s="4">
        <v>6.2962084</v>
      </c>
      <c r="AG78" s="70">
        <v>0.069171666666667</v>
      </c>
    </row>
    <row r="79" spans="1:33">
      <c r="A79" s="38">
        <v>45366</v>
      </c>
      <c r="B79" s="1">
        <v>48591</v>
      </c>
      <c r="C79" s="39">
        <v>0.506989719157472</v>
      </c>
      <c r="D79" s="1">
        <v>47591.487671</v>
      </c>
      <c r="E79" s="40">
        <v>0.502029538186813</v>
      </c>
      <c r="F79" s="10">
        <v>121.9</v>
      </c>
      <c r="G79" s="40">
        <v>0.948106591865358</v>
      </c>
      <c r="H79" s="4">
        <v>259.880001704167</v>
      </c>
      <c r="I79" s="40">
        <v>0.735474986876233</v>
      </c>
      <c r="J79" s="4">
        <v>251.616665525</v>
      </c>
      <c r="K79" s="40">
        <v>0.368400130253328</v>
      </c>
      <c r="L79" s="4">
        <v>28.1110416875</v>
      </c>
      <c r="M79" s="40">
        <v>0.437991208001768</v>
      </c>
      <c r="N79" s="13">
        <v>30.8</v>
      </c>
      <c r="O79" s="44">
        <v>0.326693227091633</v>
      </c>
      <c r="P79" s="4">
        <v>3.38014836053572</v>
      </c>
      <c r="Q79" s="40">
        <v>0.335103470269018</v>
      </c>
      <c r="R79" s="4">
        <v>6.81873687894737</v>
      </c>
      <c r="S79" s="40">
        <v>0.380284062935117</v>
      </c>
      <c r="T79" s="11">
        <v>4.7</v>
      </c>
      <c r="U79" s="40">
        <v>0.5</v>
      </c>
      <c r="V79" s="4">
        <v>0.780208333333333</v>
      </c>
      <c r="W79" s="54">
        <f t="shared" si="2"/>
        <v>0.269148209021</v>
      </c>
      <c r="X79" s="4">
        <v>10.2899333291667</v>
      </c>
      <c r="Y79" s="40">
        <v>0.234828019512057</v>
      </c>
      <c r="Z79" s="4">
        <v>2.69449998333333</v>
      </c>
      <c r="AA79" s="40">
        <v>0.631124995833332</v>
      </c>
      <c r="AB79" s="9">
        <v>12.1689166208333</v>
      </c>
      <c r="AC79" s="57">
        <v>0.827968159644191</v>
      </c>
      <c r="AD79" s="9">
        <v>0.1841</v>
      </c>
      <c r="AE79" s="57">
        <f t="shared" si="3"/>
        <v>0.219144104539</v>
      </c>
      <c r="AF79" s="4">
        <v>6.32152499166667</v>
      </c>
      <c r="AG79" s="70">
        <v>0.084241066468256</v>
      </c>
    </row>
    <row r="80" spans="1:33">
      <c r="A80" s="38">
        <v>45367</v>
      </c>
      <c r="B80" s="1">
        <v>44257</v>
      </c>
      <c r="C80" s="39">
        <v>0.371144684052156</v>
      </c>
      <c r="D80" s="1">
        <v>43200.9145813</v>
      </c>
      <c r="E80" s="40">
        <v>0.368007160601343</v>
      </c>
      <c r="F80" s="10">
        <v>122.2</v>
      </c>
      <c r="G80" s="40">
        <v>0.952314165497896</v>
      </c>
      <c r="H80" s="4">
        <v>266.050000495833</v>
      </c>
      <c r="I80" s="40">
        <v>0.812899993673397</v>
      </c>
      <c r="J80" s="4">
        <v>182.316666283333</v>
      </c>
      <c r="K80" s="40">
        <v>0.199758270954501</v>
      </c>
      <c r="L80" s="4">
        <v>28.68249995</v>
      </c>
      <c r="M80" s="40">
        <v>0.454833479221928</v>
      </c>
      <c r="N80" s="13">
        <v>32.6</v>
      </c>
      <c r="O80" s="44">
        <v>0.398406374501992</v>
      </c>
      <c r="P80" s="4">
        <v>3.50268362274257</v>
      </c>
      <c r="Q80" s="40">
        <v>0.366930811101966</v>
      </c>
      <c r="R80" s="4">
        <v>6.87434992</v>
      </c>
      <c r="S80" s="40">
        <v>0.409708952380953</v>
      </c>
      <c r="T80" s="10">
        <v>4.5</v>
      </c>
      <c r="U80" s="40">
        <v>0.441176470588235</v>
      </c>
      <c r="V80" s="4">
        <v>0.684583333333333</v>
      </c>
      <c r="W80" s="54">
        <f t="shared" si="2"/>
        <v>0.235474149581</v>
      </c>
      <c r="X80" s="4">
        <v>8.25933312916667</v>
      </c>
      <c r="Y80" s="40">
        <v>0.165215396954634</v>
      </c>
      <c r="Z80" s="4">
        <v>2.83533335833333</v>
      </c>
      <c r="AA80" s="40">
        <v>0.666333339583333</v>
      </c>
      <c r="AB80" s="9">
        <v>11.4972499625</v>
      </c>
      <c r="AC80" s="57">
        <v>0.752499995786517</v>
      </c>
      <c r="AD80" s="9">
        <v>0.168016666666666</v>
      </c>
      <c r="AE80" s="57">
        <f t="shared" si="3"/>
        <v>0.181795541226</v>
      </c>
      <c r="AF80" s="4">
        <v>6.31400005416667</v>
      </c>
      <c r="AG80" s="70">
        <v>0.0797619370039706</v>
      </c>
    </row>
    <row r="81" spans="1:33">
      <c r="A81" s="38">
        <v>45368</v>
      </c>
      <c r="B81" s="1">
        <v>48253</v>
      </c>
      <c r="C81" s="39">
        <v>0.496395436308927</v>
      </c>
      <c r="D81" s="1">
        <v>47039.4506836</v>
      </c>
      <c r="E81" s="40">
        <v>0.485178592295482</v>
      </c>
      <c r="F81" s="10">
        <v>122</v>
      </c>
      <c r="G81" s="40">
        <v>0.949509116409537</v>
      </c>
      <c r="H81" s="4">
        <v>251.37666575</v>
      </c>
      <c r="I81" s="40">
        <v>0.628769804868867</v>
      </c>
      <c r="J81" s="4">
        <v>199.766668954167</v>
      </c>
      <c r="K81" s="40">
        <v>0.242222930801273</v>
      </c>
      <c r="L81" s="4">
        <v>29.1604166708333</v>
      </c>
      <c r="M81" s="40">
        <v>0.468918852662343</v>
      </c>
      <c r="N81" s="13">
        <v>31.9</v>
      </c>
      <c r="O81" s="44">
        <v>0.370517928286852</v>
      </c>
      <c r="P81" s="4">
        <v>4.12285556000486</v>
      </c>
      <c r="Q81" s="40">
        <v>0.528014431170094</v>
      </c>
      <c r="R81" s="4">
        <v>6.81310005</v>
      </c>
      <c r="S81" s="40">
        <v>0.377301613756614</v>
      </c>
      <c r="T81" s="10">
        <v>4.4</v>
      </c>
      <c r="U81" s="40">
        <v>0.411764705882353</v>
      </c>
      <c r="V81" s="4">
        <v>0.788541666666666</v>
      </c>
      <c r="W81" s="54">
        <f t="shared" si="2"/>
        <v>0.272082767578</v>
      </c>
      <c r="X81" s="4">
        <v>8.20300001666667</v>
      </c>
      <c r="Y81" s="40">
        <v>0.163284196663239</v>
      </c>
      <c r="Z81" s="4">
        <v>2.56899997916667</v>
      </c>
      <c r="AA81" s="40">
        <v>0.599749994791667</v>
      </c>
      <c r="AB81" s="9">
        <v>8.62141665416667</v>
      </c>
      <c r="AC81" s="57">
        <v>0.429372657771536</v>
      </c>
      <c r="AD81" s="9">
        <v>0.25965</v>
      </c>
      <c r="AE81" s="57">
        <f t="shared" si="3"/>
        <v>0.394585594174</v>
      </c>
      <c r="AF81" s="4">
        <v>6.3066499375</v>
      </c>
      <c r="AG81" s="70">
        <v>0.0753868675595237</v>
      </c>
    </row>
    <row r="82" spans="1:33">
      <c r="A82" s="38">
        <v>45369</v>
      </c>
      <c r="B82" s="1">
        <v>41857</v>
      </c>
      <c r="C82" s="39">
        <v>0.295919007021063</v>
      </c>
      <c r="D82" s="1">
        <v>40788.7736207</v>
      </c>
      <c r="E82" s="40">
        <v>0.294376484148352</v>
      </c>
      <c r="F82" s="10">
        <v>122.5</v>
      </c>
      <c r="G82" s="40">
        <v>0.956521739130435</v>
      </c>
      <c r="H82" s="4">
        <v>255.736667629167</v>
      </c>
      <c r="I82" s="40">
        <v>0.683481837484841</v>
      </c>
      <c r="J82" s="4">
        <v>322.433331170833</v>
      </c>
      <c r="K82" s="40">
        <v>0.540732804056246</v>
      </c>
      <c r="L82" s="4">
        <v>20.2752082666667</v>
      </c>
      <c r="M82" s="40">
        <v>0.207050052067984</v>
      </c>
      <c r="N82" s="13">
        <v>30.5</v>
      </c>
      <c r="O82" s="44">
        <v>0.314741035856574</v>
      </c>
      <c r="P82" s="4">
        <v>3.50520624973322</v>
      </c>
      <c r="Q82" s="40">
        <v>0.367586038891746</v>
      </c>
      <c r="R82" s="4">
        <v>6.81922498333333</v>
      </c>
      <c r="S82" s="40">
        <v>0.380542319223984</v>
      </c>
      <c r="T82" s="10">
        <v>3.9</v>
      </c>
      <c r="U82" s="40">
        <v>0.264705882352941</v>
      </c>
      <c r="V82" s="4">
        <v>1.07458333333333</v>
      </c>
      <c r="W82" s="54">
        <f t="shared" si="2"/>
        <v>0.372811490042</v>
      </c>
      <c r="X82" s="4">
        <v>25.1047331</v>
      </c>
      <c r="Y82" s="40">
        <v>0.742705968460747</v>
      </c>
      <c r="Z82" s="4">
        <v>1.82166665416667</v>
      </c>
      <c r="AA82" s="40">
        <v>0.412916663541668</v>
      </c>
      <c r="AB82" s="9">
        <v>9.91974998333333</v>
      </c>
      <c r="AC82" s="57">
        <v>0.575252807116105</v>
      </c>
      <c r="AD82" s="9">
        <v>0.15335</v>
      </c>
      <c r="AE82" s="57">
        <f t="shared" si="3"/>
        <v>0.147736747739</v>
      </c>
      <c r="AF82" s="4">
        <v>6.27830002916667</v>
      </c>
      <c r="AG82" s="70">
        <v>0.0585119221230179</v>
      </c>
    </row>
    <row r="83" spans="1:33">
      <c r="A83" s="38">
        <v>45370</v>
      </c>
      <c r="B83" s="1">
        <v>49562</v>
      </c>
      <c r="C83" s="39">
        <v>0.537424774322969</v>
      </c>
      <c r="D83" s="1">
        <v>48798.6467897</v>
      </c>
      <c r="E83" s="40">
        <v>0.5388781071337</v>
      </c>
      <c r="F83" s="10">
        <v>121.4</v>
      </c>
      <c r="G83" s="40">
        <v>0.94109396914446</v>
      </c>
      <c r="H83" s="4">
        <v>273.389998116667</v>
      </c>
      <c r="I83" s="40">
        <v>0.905006878111018</v>
      </c>
      <c r="J83" s="4">
        <v>210.2749958</v>
      </c>
      <c r="K83" s="40">
        <v>0.267794991361059</v>
      </c>
      <c r="L83" s="4">
        <v>29.2470833541666</v>
      </c>
      <c r="M83" s="40">
        <v>0.471473131569897</v>
      </c>
      <c r="N83" s="13">
        <v>31.8</v>
      </c>
      <c r="O83" s="44">
        <v>0.366533864541833</v>
      </c>
      <c r="P83" s="4">
        <v>3.76</v>
      </c>
      <c r="Q83" s="40">
        <v>0.433766233766234</v>
      </c>
      <c r="R83" s="4">
        <v>6.91045828333333</v>
      </c>
      <c r="S83" s="40">
        <v>0.428813906525572</v>
      </c>
      <c r="T83" s="11">
        <v>4.1</v>
      </c>
      <c r="U83" s="40">
        <v>0.323529411764706</v>
      </c>
      <c r="V83" s="4">
        <v>0.885208333333333</v>
      </c>
      <c r="W83" s="54">
        <f t="shared" si="2"/>
        <v>0.306123646838</v>
      </c>
      <c r="X83" s="4">
        <v>7.69859995</v>
      </c>
      <c r="Y83" s="40">
        <v>0.14599245629071</v>
      </c>
      <c r="Z83" s="4">
        <v>1.921</v>
      </c>
      <c r="AA83" s="40">
        <v>0.43775</v>
      </c>
      <c r="AB83" s="9">
        <v>9.976333325</v>
      </c>
      <c r="AC83" s="57">
        <v>0.581610485955056</v>
      </c>
      <c r="AD83" s="9">
        <v>0.1599</v>
      </c>
      <c r="AE83" s="57">
        <f t="shared" si="3"/>
        <v>0.162947095285</v>
      </c>
      <c r="AF83" s="4">
        <v>6.31615839166667</v>
      </c>
      <c r="AG83" s="70">
        <v>0.0810466617063516</v>
      </c>
    </row>
    <row r="84" spans="1:33">
      <c r="A84" s="38">
        <v>45371</v>
      </c>
      <c r="B84" s="1">
        <v>43105</v>
      </c>
      <c r="C84" s="39">
        <v>0.335036359077232</v>
      </c>
      <c r="D84" s="1">
        <v>41654</v>
      </c>
      <c r="E84" s="40">
        <v>0.320787545787546</v>
      </c>
      <c r="F84" s="10">
        <v>124</v>
      </c>
      <c r="G84" s="40">
        <v>0.977559607293128</v>
      </c>
      <c r="H84" s="4">
        <v>273.019997920833</v>
      </c>
      <c r="I84" s="40">
        <v>0.90036388406115</v>
      </c>
      <c r="J84" s="4">
        <v>255.616664883333</v>
      </c>
      <c r="K84" s="40">
        <v>0.378134146651091</v>
      </c>
      <c r="L84" s="4">
        <v>29.4668748833333</v>
      </c>
      <c r="M84" s="40">
        <v>0.47795092494351</v>
      </c>
      <c r="N84" s="13">
        <v>32.3</v>
      </c>
      <c r="O84" s="44">
        <v>0.386454183266932</v>
      </c>
      <c r="P84" s="4">
        <v>4.33</v>
      </c>
      <c r="Q84" s="40">
        <v>0.581818181818182</v>
      </c>
      <c r="R84" s="4">
        <v>6.94954177916667</v>
      </c>
      <c r="S84" s="40">
        <v>0.44949300485009</v>
      </c>
      <c r="T84" s="10">
        <v>4.8</v>
      </c>
      <c r="U84" s="40">
        <v>0.529411764705882</v>
      </c>
      <c r="V84" s="4">
        <v>0.784166666666666</v>
      </c>
      <c r="W84" s="54">
        <f t="shared" si="2"/>
        <v>0.270542124336</v>
      </c>
      <c r="X84" s="4">
        <v>5.557933325</v>
      </c>
      <c r="Y84" s="40">
        <v>0.0726065589646897</v>
      </c>
      <c r="Z84" s="4">
        <v>1.81466666666667</v>
      </c>
      <c r="AA84" s="40">
        <v>0.411166666666668</v>
      </c>
      <c r="AB84" s="9">
        <v>8.644</v>
      </c>
      <c r="AC84" s="57">
        <v>0.431910112359551</v>
      </c>
      <c r="AD84" s="9">
        <v>0.143425</v>
      </c>
      <c r="AE84" s="57">
        <f t="shared" si="3"/>
        <v>0.124689007373</v>
      </c>
      <c r="AF84" s="4">
        <v>6.2889166375</v>
      </c>
      <c r="AG84" s="70">
        <v>0.0648313318452382</v>
      </c>
    </row>
    <row r="85" spans="1:33">
      <c r="A85" s="38">
        <v>45372</v>
      </c>
      <c r="B85" s="1">
        <v>42578</v>
      </c>
      <c r="C85" s="39">
        <v>0.318518054162487</v>
      </c>
      <c r="D85" s="1">
        <v>41267.7053225</v>
      </c>
      <c r="E85" s="40">
        <v>0.308995888965201</v>
      </c>
      <c r="F85" s="10">
        <v>124.9</v>
      </c>
      <c r="G85" s="40">
        <v>0.990182328190743</v>
      </c>
      <c r="H85" s="4">
        <v>268.213333129167</v>
      </c>
      <c r="I85" s="40">
        <v>0.840046845641448</v>
      </c>
      <c r="J85" s="4">
        <v>248.5833346125</v>
      </c>
      <c r="K85" s="40">
        <v>0.361018505858662</v>
      </c>
      <c r="L85" s="4">
        <v>28.2189583791666</v>
      </c>
      <c r="M85" s="40">
        <v>0.441171776574318</v>
      </c>
      <c r="N85" s="13">
        <v>33.2</v>
      </c>
      <c r="O85" s="44">
        <v>0.422310756972112</v>
      </c>
      <c r="P85" s="4">
        <v>4.74</v>
      </c>
      <c r="Q85" s="40">
        <v>0.688311688311688</v>
      </c>
      <c r="R85" s="4">
        <v>6.95805832083333</v>
      </c>
      <c r="S85" s="40">
        <v>0.453999111552027</v>
      </c>
      <c r="T85" s="10">
        <v>4.3</v>
      </c>
      <c r="U85" s="40">
        <v>0.382352941176471</v>
      </c>
      <c r="V85" s="4">
        <v>1.08770833333333</v>
      </c>
      <c r="W85" s="54">
        <f t="shared" si="2"/>
        <v>0.37743341977</v>
      </c>
      <c r="X85" s="4">
        <v>10.42166665</v>
      </c>
      <c r="Y85" s="40">
        <v>0.239344074391498</v>
      </c>
      <c r="Z85" s="4">
        <v>1.36650002083333</v>
      </c>
      <c r="AA85" s="40">
        <v>0.299125005208333</v>
      </c>
      <c r="AB85" s="9">
        <v>8.19049999166667</v>
      </c>
      <c r="AC85" s="57">
        <v>0.380955055243446</v>
      </c>
      <c r="AD85" s="9">
        <v>0.240033333333333</v>
      </c>
      <c r="AE85" s="57">
        <f t="shared" si="3"/>
        <v>0.349031957884</v>
      </c>
      <c r="AF85" s="4">
        <v>6.26634171666667</v>
      </c>
      <c r="AG85" s="70">
        <v>0.051393878968256</v>
      </c>
    </row>
    <row r="86" spans="1:33">
      <c r="A86" s="38">
        <v>45373</v>
      </c>
      <c r="B86" s="1">
        <v>40351</v>
      </c>
      <c r="C86" s="39">
        <v>0.248714894684052</v>
      </c>
      <c r="D86" s="1">
        <v>39754</v>
      </c>
      <c r="E86" s="40">
        <v>0.262789987789988</v>
      </c>
      <c r="F86" s="10">
        <v>122.5</v>
      </c>
      <c r="G86" s="40">
        <v>0.956521739130435</v>
      </c>
      <c r="H86" s="4">
        <v>255.343334195833</v>
      </c>
      <c r="I86" s="40">
        <v>0.678546043365955</v>
      </c>
      <c r="J86" s="4">
        <v>292.550001775</v>
      </c>
      <c r="K86" s="40">
        <v>0.468011587800842</v>
      </c>
      <c r="L86" s="4">
        <v>26.7510417291666</v>
      </c>
      <c r="M86" s="40">
        <v>0.397908686388641</v>
      </c>
      <c r="N86" s="13">
        <v>34.5</v>
      </c>
      <c r="O86" s="44">
        <v>0.47410358565737</v>
      </c>
      <c r="P86" s="4">
        <v>4.12</v>
      </c>
      <c r="Q86" s="40">
        <v>0.527272727272727</v>
      </c>
      <c r="R86" s="4">
        <v>6.93740840416667</v>
      </c>
      <c r="S86" s="40">
        <v>0.443073229717815</v>
      </c>
      <c r="T86" s="10">
        <v>3.7</v>
      </c>
      <c r="U86" s="40">
        <v>0.205882352941177</v>
      </c>
      <c r="V86" s="4">
        <v>1.091875</v>
      </c>
      <c r="W86" s="54">
        <f t="shared" si="2"/>
        <v>0.378900699048</v>
      </c>
      <c r="X86" s="4">
        <v>11.5673999416667</v>
      </c>
      <c r="Y86" s="40">
        <v>0.278621869786311</v>
      </c>
      <c r="Z86" s="4">
        <v>1.43441668333333</v>
      </c>
      <c r="AA86" s="40">
        <v>0.316104170833333</v>
      </c>
      <c r="AB86" s="9">
        <v>9.34500000416667</v>
      </c>
      <c r="AC86" s="57">
        <v>0.510674157771536</v>
      </c>
      <c r="AD86" s="9">
        <v>0.143483333333333</v>
      </c>
      <c r="AE86" s="57">
        <f t="shared" si="3"/>
        <v>0.124824468483</v>
      </c>
      <c r="AF86" s="4">
        <v>6.318375</v>
      </c>
      <c r="AG86" s="70">
        <v>0.0823660714285714</v>
      </c>
    </row>
    <row r="87" spans="1:33">
      <c r="A87" s="38">
        <v>45374</v>
      </c>
      <c r="B87" s="1">
        <v>39284</v>
      </c>
      <c r="C87" s="39">
        <v>0.215270812437312</v>
      </c>
      <c r="D87" s="1">
        <v>38482.6044924</v>
      </c>
      <c r="E87" s="40">
        <v>0.223980601111111</v>
      </c>
      <c r="F87" s="10">
        <v>121.9</v>
      </c>
      <c r="G87" s="40">
        <v>0.948106591865358</v>
      </c>
      <c r="H87" s="4">
        <v>261.970000579167</v>
      </c>
      <c r="I87" s="40">
        <v>0.761701600943242</v>
      </c>
      <c r="J87" s="4">
        <v>363.6791687</v>
      </c>
      <c r="K87" s="40">
        <v>0.641104734869686</v>
      </c>
      <c r="L87" s="4">
        <v>26.8950000583333</v>
      </c>
      <c r="M87" s="40">
        <v>0.40215149007761</v>
      </c>
      <c r="N87" s="13">
        <v>29.7</v>
      </c>
      <c r="O87" s="44">
        <v>0.282868525896414</v>
      </c>
      <c r="P87" s="4">
        <v>4.19</v>
      </c>
      <c r="Q87" s="40">
        <v>0.545454545454546</v>
      </c>
      <c r="R87" s="4">
        <v>6.94850430434783</v>
      </c>
      <c r="S87" s="40">
        <v>0.448944076374514</v>
      </c>
      <c r="T87" s="10">
        <v>3.5</v>
      </c>
      <c r="U87" s="40">
        <v>0.147058823529412</v>
      </c>
      <c r="V87" s="4">
        <v>0.592708333333333</v>
      </c>
      <c r="W87" s="54">
        <f t="shared" si="2"/>
        <v>0.203120641492</v>
      </c>
      <c r="X87" s="4">
        <v>10.4208000208333</v>
      </c>
      <c r="Y87" s="40">
        <v>0.23931436478688</v>
      </c>
      <c r="Z87" s="4">
        <v>2.624166625</v>
      </c>
      <c r="AA87" s="40">
        <v>0.61354165625</v>
      </c>
      <c r="AB87" s="9">
        <v>9.47350003333333</v>
      </c>
      <c r="AC87" s="57">
        <v>0.52511236329588</v>
      </c>
      <c r="AD87" s="9">
        <v>0.22133333333333</v>
      </c>
      <c r="AE87" s="57">
        <f t="shared" si="3"/>
        <v>0.305606996188</v>
      </c>
      <c r="AF87" s="4">
        <v>6.21652499583333</v>
      </c>
      <c r="AG87" s="70">
        <v>0.021741068948411</v>
      </c>
    </row>
    <row r="88" spans="1:33">
      <c r="A88" s="38">
        <v>45375</v>
      </c>
      <c r="B88" s="1">
        <v>41825</v>
      </c>
      <c r="C88" s="39">
        <v>0.294915997993982</v>
      </c>
      <c r="D88" s="1">
        <v>41059.2438661</v>
      </c>
      <c r="E88" s="40">
        <v>0.302632596645299</v>
      </c>
      <c r="F88" s="10">
        <v>122.2</v>
      </c>
      <c r="G88" s="40">
        <v>0.952314165497896</v>
      </c>
      <c r="H88" s="4">
        <v>277.43333435</v>
      </c>
      <c r="I88" s="40">
        <v>0.955745191993976</v>
      </c>
      <c r="J88" s="4">
        <v>266.029163354167</v>
      </c>
      <c r="K88" s="40">
        <v>0.403473008430066</v>
      </c>
      <c r="L88" s="4">
        <v>27.7295833208333</v>
      </c>
      <c r="M88" s="40">
        <v>0.426748697932016</v>
      </c>
      <c r="N88" s="13">
        <v>30.1</v>
      </c>
      <c r="O88" s="44">
        <v>0.298804780876494</v>
      </c>
      <c r="P88" s="4">
        <v>4.39</v>
      </c>
      <c r="Q88" s="40">
        <v>0.597402597402597</v>
      </c>
      <c r="R88" s="4">
        <v>6.91109999</v>
      </c>
      <c r="S88" s="40">
        <v>0.429153433862434</v>
      </c>
      <c r="T88" s="10">
        <v>4</v>
      </c>
      <c r="U88" s="40">
        <v>0.294117647058824</v>
      </c>
      <c r="V88" s="4">
        <v>0.685833333333333</v>
      </c>
      <c r="W88" s="54">
        <f t="shared" si="2"/>
        <v>0.235914333365</v>
      </c>
      <c r="X88" s="4">
        <v>11.7580666875</v>
      </c>
      <c r="Y88" s="40">
        <v>0.285158268340761</v>
      </c>
      <c r="Z88" s="4">
        <v>2.20625000416667</v>
      </c>
      <c r="AA88" s="40">
        <v>0.509062501041668</v>
      </c>
      <c r="AB88" s="9">
        <v>5.0339167</v>
      </c>
      <c r="AC88" s="57">
        <v>0.0262827752808989</v>
      </c>
      <c r="AD88" s="9">
        <v>0.27435</v>
      </c>
      <c r="AE88" s="57">
        <f t="shared" si="3"/>
        <v>0.42872179401</v>
      </c>
      <c r="AF88" s="4">
        <v>6.1870666625</v>
      </c>
      <c r="AG88" s="70">
        <v>0.00420634672619086</v>
      </c>
    </row>
    <row r="89" spans="1:33">
      <c r="A89" s="38">
        <v>45376</v>
      </c>
      <c r="B89" s="1">
        <v>42587</v>
      </c>
      <c r="C89" s="39">
        <v>0.318800150451354</v>
      </c>
      <c r="D89" s="1">
        <v>41827.4377748</v>
      </c>
      <c r="E89" s="40">
        <v>0.326081739157509</v>
      </c>
      <c r="F89" s="10">
        <v>123.7</v>
      </c>
      <c r="G89" s="40">
        <v>0.973352033660589</v>
      </c>
      <c r="H89" s="4">
        <v>274.149997070833</v>
      </c>
      <c r="I89" s="40">
        <v>0.914543820690589</v>
      </c>
      <c r="J89" s="4">
        <v>305.6374994875</v>
      </c>
      <c r="K89" s="40">
        <v>0.499860072244664</v>
      </c>
      <c r="L89" s="4">
        <v>27.3116666833333</v>
      </c>
      <c r="M89" s="40">
        <v>0.414431673543569</v>
      </c>
      <c r="N89" s="13">
        <v>33.5</v>
      </c>
      <c r="O89" s="44">
        <v>0.434262948207171</v>
      </c>
      <c r="P89" s="4">
        <v>3.69</v>
      </c>
      <c r="Q89" s="40">
        <v>0.415584415584416</v>
      </c>
      <c r="R89" s="4">
        <v>6.87326316842105</v>
      </c>
      <c r="S89" s="40">
        <v>0.409133951545529</v>
      </c>
      <c r="T89" s="10">
        <v>3.4</v>
      </c>
      <c r="U89" s="40">
        <v>0.117647058823529</v>
      </c>
      <c r="V89" s="4">
        <v>0.782916666666666</v>
      </c>
      <c r="W89" s="54">
        <f t="shared" si="2"/>
        <v>0.270101940552</v>
      </c>
      <c r="X89" s="4">
        <v>9.52726659166667</v>
      </c>
      <c r="Y89" s="40">
        <v>0.20868243372186</v>
      </c>
      <c r="Z89" s="4">
        <v>2.14441669166667</v>
      </c>
      <c r="AA89" s="40">
        <v>0.493604172916667</v>
      </c>
      <c r="AB89" s="9">
        <v>9.31124996666667</v>
      </c>
      <c r="AC89" s="57">
        <v>0.506882018726592</v>
      </c>
      <c r="AD89" s="9">
        <v>0.2749083333333</v>
      </c>
      <c r="AE89" s="57">
        <f t="shared" si="3"/>
        <v>0.430018350353</v>
      </c>
      <c r="AF89" s="4">
        <v>6.18426663333333</v>
      </c>
      <c r="AG89" s="70">
        <v>0.00253966269841078</v>
      </c>
    </row>
    <row r="90" spans="1:33">
      <c r="A90" s="38">
        <v>45377</v>
      </c>
      <c r="B90" s="1">
        <v>45328</v>
      </c>
      <c r="C90" s="39">
        <v>0.404714142427282</v>
      </c>
      <c r="D90" s="1">
        <v>44138.9751283</v>
      </c>
      <c r="E90" s="40">
        <v>0.396641487432845</v>
      </c>
      <c r="F90" s="10">
        <v>122.3</v>
      </c>
      <c r="G90" s="40">
        <v>0.953716690042076</v>
      </c>
      <c r="H90" s="4">
        <v>268.3033332875</v>
      </c>
      <c r="I90" s="40">
        <v>0.841176223961601</v>
      </c>
      <c r="J90" s="4">
        <v>325.470830275</v>
      </c>
      <c r="K90" s="40">
        <v>0.548124571764047</v>
      </c>
      <c r="L90" s="4">
        <v>22.2585416458333</v>
      </c>
      <c r="M90" s="40">
        <v>0.265503732562137</v>
      </c>
      <c r="N90" s="13">
        <v>28.4</v>
      </c>
      <c r="O90" s="44">
        <v>0.231075697211155</v>
      </c>
      <c r="P90" s="4">
        <v>4.57</v>
      </c>
      <c r="Q90" s="40">
        <v>0.644155844155844</v>
      </c>
      <c r="R90" s="4">
        <v>6.88346656190476</v>
      </c>
      <c r="S90" s="40">
        <v>0.414532572436381</v>
      </c>
      <c r="T90" s="10">
        <v>4.6</v>
      </c>
      <c r="U90" s="40">
        <v>0.470588235294118</v>
      </c>
      <c r="V90" s="4">
        <v>0.882708333333333</v>
      </c>
      <c r="W90" s="54">
        <f t="shared" si="2"/>
        <v>0.305243279271</v>
      </c>
      <c r="X90" s="4">
        <v>4.80046675833333</v>
      </c>
      <c r="Y90" s="40">
        <v>0.0466392443720716</v>
      </c>
      <c r="Z90" s="4">
        <v>1.2424999875</v>
      </c>
      <c r="AA90" s="40">
        <v>0.268124996875</v>
      </c>
      <c r="AB90" s="4">
        <v>8.9255</v>
      </c>
      <c r="AC90" s="40">
        <v>0.463539325842697</v>
      </c>
      <c r="AD90" s="4">
        <v>0.2456</v>
      </c>
      <c r="AE90" s="57">
        <f t="shared" si="3"/>
        <v>0.36195881814</v>
      </c>
      <c r="AF90" s="4">
        <v>6.23787497083333</v>
      </c>
      <c r="AG90" s="70">
        <v>0.0344493874007918</v>
      </c>
    </row>
    <row r="91" spans="1:33">
      <c r="A91" s="38">
        <v>45378</v>
      </c>
      <c r="B91" s="1">
        <v>43026</v>
      </c>
      <c r="C91" s="39">
        <v>0.332560180541625</v>
      </c>
      <c r="D91" s="1">
        <v>42163.0820314</v>
      </c>
      <c r="E91" s="40">
        <v>0.336327290335775</v>
      </c>
      <c r="F91" s="10">
        <v>122.8</v>
      </c>
      <c r="G91" s="40">
        <v>0.960729312762973</v>
      </c>
      <c r="H91" s="4">
        <v>253.183333725</v>
      </c>
      <c r="I91" s="40">
        <v>0.651441005458652</v>
      </c>
      <c r="J91" s="4">
        <v>193.554168704167</v>
      </c>
      <c r="K91" s="40">
        <v>0.227104783549916</v>
      </c>
      <c r="L91" s="4">
        <v>24.8031250708333</v>
      </c>
      <c r="M91" s="40">
        <v>0.3404988231899</v>
      </c>
      <c r="N91" s="13">
        <v>28.6</v>
      </c>
      <c r="O91" s="44">
        <v>0.239043824701195</v>
      </c>
      <c r="P91" s="4">
        <v>4.16</v>
      </c>
      <c r="Q91" s="40">
        <v>0.537662337662338</v>
      </c>
      <c r="R91" s="4">
        <v>6.82533332857143</v>
      </c>
      <c r="S91" s="40">
        <v>0.383774247921392</v>
      </c>
      <c r="T91" s="11">
        <v>3.2</v>
      </c>
      <c r="U91" s="40">
        <v>0.0588235294117648</v>
      </c>
      <c r="V91" s="4">
        <v>0.782708333333333</v>
      </c>
      <c r="W91" s="54">
        <f t="shared" si="2"/>
        <v>0.270028576588</v>
      </c>
      <c r="X91" s="4">
        <v>5.75466665</v>
      </c>
      <c r="Y91" s="40">
        <v>0.0793509307507713</v>
      </c>
      <c r="Z91" s="4">
        <v>1.65649999166667</v>
      </c>
      <c r="AA91" s="40">
        <v>0.371624997916668</v>
      </c>
      <c r="AB91" s="4">
        <v>9.53774999583333</v>
      </c>
      <c r="AC91" s="40">
        <v>0.532331460205992</v>
      </c>
      <c r="AD91" s="4">
        <v>0.252341666666666</v>
      </c>
      <c r="AE91" s="57">
        <f t="shared" si="3"/>
        <v>0.377614252192</v>
      </c>
      <c r="AF91" s="4">
        <v>6.26348336666667</v>
      </c>
      <c r="AG91" s="70">
        <v>0.0496924801587325</v>
      </c>
    </row>
    <row r="92" spans="1:33">
      <c r="A92" s="38">
        <v>45379</v>
      </c>
      <c r="B92" s="1">
        <v>48751</v>
      </c>
      <c r="C92" s="39">
        <v>0.512004764292879</v>
      </c>
      <c r="D92" s="1">
        <v>47743.241455</v>
      </c>
      <c r="E92" s="40">
        <v>0.506661827075702</v>
      </c>
      <c r="F92" s="10">
        <v>123.5</v>
      </c>
      <c r="G92" s="40">
        <v>0.97054698457223</v>
      </c>
      <c r="H92" s="4">
        <v>262.243332554167</v>
      </c>
      <c r="I92" s="40">
        <v>0.765131541650985</v>
      </c>
      <c r="J92" s="4">
        <v>209.808334995833</v>
      </c>
      <c r="K92" s="40">
        <v>0.266659370198898</v>
      </c>
      <c r="L92" s="4">
        <v>24.6441666708333</v>
      </c>
      <c r="M92" s="40">
        <v>0.335813930764318</v>
      </c>
      <c r="N92" s="13">
        <v>29.7</v>
      </c>
      <c r="O92" s="44">
        <v>0.282868525896414</v>
      </c>
      <c r="P92" s="4">
        <v>3.76</v>
      </c>
      <c r="Q92" s="40">
        <v>0.433766233766234</v>
      </c>
      <c r="R92" s="4">
        <v>6.91853330952381</v>
      </c>
      <c r="S92" s="40">
        <v>0.433086407155455</v>
      </c>
      <c r="T92" s="10">
        <v>3.3</v>
      </c>
      <c r="U92" s="40">
        <v>0.088235294117647</v>
      </c>
      <c r="V92" s="4">
        <v>0.783125</v>
      </c>
      <c r="W92" s="54">
        <f t="shared" si="2"/>
        <v>0.270175304516</v>
      </c>
      <c r="X92" s="4">
        <v>5.1739999625</v>
      </c>
      <c r="Y92" s="40">
        <v>0.0594446336133013</v>
      </c>
      <c r="Z92" s="4">
        <v>1.26649999583333</v>
      </c>
      <c r="AA92" s="40">
        <v>0.274124998958333</v>
      </c>
      <c r="AB92" s="4">
        <v>9.50525002916667</v>
      </c>
      <c r="AC92" s="40">
        <v>0.528679778558053</v>
      </c>
      <c r="AD92" s="4">
        <v>0.150891666666666</v>
      </c>
      <c r="AE92" s="57">
        <f t="shared" si="3"/>
        <v>0.142028029512</v>
      </c>
      <c r="AF92" s="4">
        <v>6.19593324583333</v>
      </c>
      <c r="AG92" s="70">
        <v>0.00948407490079173</v>
      </c>
    </row>
    <row r="93" spans="1:33">
      <c r="A93" s="38">
        <v>45380</v>
      </c>
      <c r="B93" s="1">
        <v>43256</v>
      </c>
      <c r="C93" s="39">
        <v>0.339769307923771</v>
      </c>
      <c r="D93" s="1">
        <v>42465.9899033</v>
      </c>
      <c r="E93" s="40">
        <v>0.345573562371795</v>
      </c>
      <c r="F93" s="10">
        <v>123</v>
      </c>
      <c r="G93" s="40">
        <v>0.963534361851332</v>
      </c>
      <c r="H93" s="4">
        <v>250.166667941667</v>
      </c>
      <c r="I93" s="40">
        <v>0.613585995001468</v>
      </c>
      <c r="J93" s="4">
        <v>158.445833841667</v>
      </c>
      <c r="K93" s="40">
        <v>0.141668493032066</v>
      </c>
      <c r="L93" s="4">
        <v>24.5810416791666</v>
      </c>
      <c r="M93" s="40">
        <v>0.333953483028783</v>
      </c>
      <c r="N93" s="13">
        <v>31.7</v>
      </c>
      <c r="O93" s="44">
        <v>0.362549800796813</v>
      </c>
      <c r="P93" s="4">
        <v>4.33</v>
      </c>
      <c r="Q93" s="40">
        <v>0.581818181818182</v>
      </c>
      <c r="R93" s="4">
        <v>6.90516845263158</v>
      </c>
      <c r="S93" s="40">
        <v>0.426015054302423</v>
      </c>
      <c r="T93" s="10">
        <v>3</v>
      </c>
      <c r="U93" s="40">
        <v>0</v>
      </c>
      <c r="V93" s="4">
        <v>1.095</v>
      </c>
      <c r="W93" s="54">
        <f t="shared" si="2"/>
        <v>0.380001158507</v>
      </c>
      <c r="X93" s="4">
        <v>4.39660000416667</v>
      </c>
      <c r="Y93" s="40">
        <v>0.0327939665466805</v>
      </c>
      <c r="Z93" s="4">
        <v>0.603416666666667</v>
      </c>
      <c r="AA93" s="40">
        <v>0.108354166666667</v>
      </c>
      <c r="AB93" s="4">
        <v>11.3645000041666</v>
      </c>
      <c r="AC93" s="40">
        <v>0.737584270131079</v>
      </c>
      <c r="AD93" s="4">
        <v>0.144258333333333</v>
      </c>
      <c r="AE93" s="57">
        <f t="shared" si="3"/>
        <v>0.126624166094</v>
      </c>
      <c r="AF93" s="4">
        <v>6.24184165833333</v>
      </c>
      <c r="AG93" s="70">
        <v>0.0368105109126966</v>
      </c>
    </row>
    <row r="94" spans="1:33">
      <c r="A94" s="38">
        <v>45381</v>
      </c>
      <c r="B94" s="1">
        <v>42578</v>
      </c>
      <c r="C94" s="39">
        <v>0.318518054162487</v>
      </c>
      <c r="D94" s="1">
        <v>41583.9538536</v>
      </c>
      <c r="E94" s="40">
        <v>0.318649385030525</v>
      </c>
      <c r="F94" s="11">
        <v>123.1</v>
      </c>
      <c r="G94" s="40">
        <v>0.964936886395512</v>
      </c>
      <c r="H94" s="4">
        <v>244.799999233333</v>
      </c>
      <c r="I94" s="40">
        <v>0.546241676914707</v>
      </c>
      <c r="J94" s="4">
        <v>233.912500383333</v>
      </c>
      <c r="K94" s="40">
        <v>0.325316964892641</v>
      </c>
      <c r="L94" s="4">
        <v>25.2012500166666</v>
      </c>
      <c r="M94" s="40">
        <v>0.352232538068571</v>
      </c>
      <c r="N94" s="13">
        <v>28.9</v>
      </c>
      <c r="O94" s="44">
        <v>0.250996015936255</v>
      </c>
      <c r="P94" s="4">
        <v>4.57</v>
      </c>
      <c r="Q94" s="40">
        <v>0.644155844155844</v>
      </c>
      <c r="R94" s="4">
        <v>6.89556002</v>
      </c>
      <c r="S94" s="40">
        <v>0.420931227513227</v>
      </c>
      <c r="T94" s="13">
        <v>3.7</v>
      </c>
      <c r="U94" s="40">
        <v>0.205882352941177</v>
      </c>
      <c r="V94" s="4">
        <v>1.09270833333333</v>
      </c>
      <c r="W94" s="54">
        <f t="shared" si="2"/>
        <v>0.379194154904</v>
      </c>
      <c r="X94" s="4">
        <v>6.24433331666667</v>
      </c>
      <c r="Y94" s="40">
        <v>0.0961375837047196</v>
      </c>
      <c r="Z94" s="4">
        <v>0.610833333333333</v>
      </c>
      <c r="AA94" s="40">
        <v>0.110208333333333</v>
      </c>
      <c r="AB94" s="4">
        <v>11.2650833291666</v>
      </c>
      <c r="AC94" s="40">
        <v>0.72641385720973</v>
      </c>
      <c r="AD94" s="4">
        <v>0.151508333333333</v>
      </c>
      <c r="AE94" s="57">
        <f t="shared" si="3"/>
        <v>0.143460046965</v>
      </c>
      <c r="AF94" s="4">
        <v>6.3649834</v>
      </c>
      <c r="AG94" s="70">
        <v>0.110109166666667</v>
      </c>
    </row>
    <row r="95" spans="1:33">
      <c r="A95" s="38">
        <v>45382</v>
      </c>
      <c r="B95" s="1">
        <v>42657</v>
      </c>
      <c r="C95" s="39">
        <v>0.320994232698094</v>
      </c>
      <c r="D95" s="1">
        <v>41815.1649782</v>
      </c>
      <c r="E95" s="40">
        <v>0.325707111666667</v>
      </c>
      <c r="F95" s="11">
        <v>124.8</v>
      </c>
      <c r="G95" s="40">
        <v>0.988779803646564</v>
      </c>
      <c r="H95" s="4">
        <v>252.356669104167</v>
      </c>
      <c r="I95" s="40">
        <v>0.641067500366006</v>
      </c>
      <c r="J95" s="4">
        <v>212.183333075</v>
      </c>
      <c r="K95" s="40">
        <v>0.272438938687854</v>
      </c>
      <c r="L95" s="4">
        <v>24.820625</v>
      </c>
      <c r="M95" s="40">
        <v>0.341014588859416</v>
      </c>
      <c r="N95" s="13">
        <v>30.4</v>
      </c>
      <c r="O95" s="44">
        <v>0.310756972111554</v>
      </c>
      <c r="P95" s="4">
        <v>4.16</v>
      </c>
      <c r="Q95" s="40">
        <v>0.537662337662338</v>
      </c>
      <c r="R95" s="4">
        <v>6.90199995</v>
      </c>
      <c r="S95" s="40">
        <v>0.424338597883598</v>
      </c>
      <c r="T95" s="13">
        <v>4.2</v>
      </c>
      <c r="U95" s="40">
        <v>0.352941176470588</v>
      </c>
      <c r="V95" s="4">
        <v>0.88625</v>
      </c>
      <c r="W95" s="54">
        <f t="shared" si="2"/>
        <v>0.306490466657</v>
      </c>
      <c r="X95" s="4">
        <v>7.22539998333333</v>
      </c>
      <c r="Y95" s="40">
        <v>0.129770311392984</v>
      </c>
      <c r="Z95" s="4">
        <v>0.755916675</v>
      </c>
      <c r="AA95" s="40">
        <v>0.14647916875</v>
      </c>
      <c r="AB95" s="4">
        <v>9.79108335833333</v>
      </c>
      <c r="AC95" s="40">
        <v>0.560795882958801</v>
      </c>
      <c r="AD95" s="4">
        <v>0.248841666666666</v>
      </c>
      <c r="AE95" s="57">
        <f t="shared" si="3"/>
        <v>0.369486585564</v>
      </c>
      <c r="AF95" s="4">
        <v>6.40103330833333</v>
      </c>
      <c r="AG95" s="70">
        <v>0.131567445436506</v>
      </c>
    </row>
    <row r="96" spans="1:33">
      <c r="A96" s="38">
        <v>45383</v>
      </c>
      <c r="B96" s="1">
        <v>47154</v>
      </c>
      <c r="C96" s="39">
        <v>0.461948345035105</v>
      </c>
      <c r="D96" s="1">
        <v>46798.1867983</v>
      </c>
      <c r="E96" s="40">
        <v>0.477814004832112</v>
      </c>
      <c r="F96" s="10">
        <v>125.1</v>
      </c>
      <c r="G96" s="40">
        <v>0.992987377279102</v>
      </c>
      <c r="H96" s="4">
        <v>264.68333435</v>
      </c>
      <c r="I96" s="40">
        <v>0.795750211444347</v>
      </c>
      <c r="J96" s="4">
        <v>235.087498358333</v>
      </c>
      <c r="K96" s="40">
        <v>0.328176327740328</v>
      </c>
      <c r="L96" s="4">
        <v>23.49</v>
      </c>
      <c r="M96" s="40">
        <v>0.301797819039198</v>
      </c>
      <c r="N96" s="13">
        <v>32.8</v>
      </c>
      <c r="O96" s="44">
        <v>0.406374501992032</v>
      </c>
      <c r="P96" s="4">
        <v>3.86</v>
      </c>
      <c r="Q96" s="40">
        <v>0.45974025974026</v>
      </c>
      <c r="R96" s="4">
        <v>6.81173333809524</v>
      </c>
      <c r="S96" s="40">
        <v>0.376578485764678</v>
      </c>
      <c r="T96" s="11">
        <v>4.8</v>
      </c>
      <c r="U96" s="40">
        <v>0.529411764705882</v>
      </c>
      <c r="V96" s="4">
        <v>0.0904166666666667</v>
      </c>
      <c r="W96" s="54">
        <f t="shared" si="2"/>
        <v>0.026240124477</v>
      </c>
      <c r="X96" s="4">
        <v>8.96133338333333</v>
      </c>
      <c r="Y96" s="40">
        <v>0.189281226716946</v>
      </c>
      <c r="Z96" s="4">
        <v>1.51266666666667</v>
      </c>
      <c r="AA96" s="40">
        <v>0.335666666666668</v>
      </c>
      <c r="AB96" s="9">
        <v>7.31308334583333</v>
      </c>
      <c r="AC96" s="57">
        <v>0.282368915262172</v>
      </c>
      <c r="AD96" s="9">
        <v>0.148241666666667</v>
      </c>
      <c r="AE96" s="57">
        <f t="shared" si="3"/>
        <v>0.13587422478</v>
      </c>
      <c r="AF96" s="4">
        <v>6.46980834166667</v>
      </c>
      <c r="AG96" s="70">
        <v>0.17250496527778</v>
      </c>
    </row>
    <row r="97" spans="1:33">
      <c r="A97" s="38">
        <v>45384</v>
      </c>
      <c r="B97" s="1">
        <v>47021</v>
      </c>
      <c r="C97" s="39">
        <v>0.457779588766299</v>
      </c>
      <c r="D97" s="1">
        <v>46666.115723</v>
      </c>
      <c r="E97" s="40">
        <v>0.473782531227106</v>
      </c>
      <c r="F97" s="10">
        <v>124.7</v>
      </c>
      <c r="G97" s="40">
        <v>0.987377279102384</v>
      </c>
      <c r="H97" s="4">
        <v>251.096665695833</v>
      </c>
      <c r="I97" s="40">
        <v>0.625256188930016</v>
      </c>
      <c r="J97" s="4">
        <v>223.408330920833</v>
      </c>
      <c r="K97" s="40">
        <v>0.299755021343862</v>
      </c>
      <c r="L97" s="4">
        <v>22.8292858</v>
      </c>
      <c r="M97" s="40">
        <v>0.282324957264957</v>
      </c>
      <c r="N97" s="13">
        <v>29.4</v>
      </c>
      <c r="O97" s="44">
        <v>0.270916334661354</v>
      </c>
      <c r="P97" s="4">
        <v>3.95</v>
      </c>
      <c r="Q97" s="40">
        <v>0.483116883116883</v>
      </c>
      <c r="R97" s="4">
        <v>6.85486659047619</v>
      </c>
      <c r="S97" s="40">
        <v>0.399400312421265</v>
      </c>
      <c r="T97" s="10">
        <v>3.6</v>
      </c>
      <c r="U97" s="40">
        <v>0.176470588235294</v>
      </c>
      <c r="V97" s="4">
        <v>0.086875</v>
      </c>
      <c r="W97" s="54">
        <f t="shared" si="2"/>
        <v>0.024992937091</v>
      </c>
      <c r="X97" s="4">
        <v>8.71953330416667</v>
      </c>
      <c r="Y97" s="40">
        <v>0.180991885641641</v>
      </c>
      <c r="Z97" s="4">
        <v>2.04008332083333</v>
      </c>
      <c r="AA97" s="40">
        <v>0.467520830208333</v>
      </c>
      <c r="AB97" s="9">
        <v>9.25958334166667</v>
      </c>
      <c r="AC97" s="57">
        <v>0.501076779962547</v>
      </c>
      <c r="AD97" s="9">
        <v>0.250683333333333</v>
      </c>
      <c r="AE97" s="57">
        <f t="shared" si="3"/>
        <v>0.373763286337</v>
      </c>
      <c r="AF97" s="4">
        <v>6.43609164583333</v>
      </c>
      <c r="AG97" s="70">
        <v>0.152435503472221</v>
      </c>
    </row>
    <row r="98" spans="1:33">
      <c r="A98" s="38">
        <v>45385</v>
      </c>
      <c r="B98" s="1">
        <v>46981</v>
      </c>
      <c r="C98" s="39">
        <v>0.456525827482447</v>
      </c>
      <c r="D98" s="1">
        <v>46743.277539</v>
      </c>
      <c r="E98" s="40">
        <v>0.476137898015873</v>
      </c>
      <c r="F98" s="10">
        <v>124.1</v>
      </c>
      <c r="G98" s="40">
        <v>0.978962131837307</v>
      </c>
      <c r="H98" s="4">
        <v>252.490002304167</v>
      </c>
      <c r="I98" s="40">
        <v>0.64274064881625</v>
      </c>
      <c r="J98" s="4">
        <v>361.791670795833</v>
      </c>
      <c r="K98" s="40">
        <v>0.636511500245378</v>
      </c>
      <c r="L98" s="4">
        <v>22.58</v>
      </c>
      <c r="M98" s="40">
        <v>0.274977895667551</v>
      </c>
      <c r="N98" s="13">
        <v>33.8</v>
      </c>
      <c r="O98" s="44">
        <v>0.446215139442231</v>
      </c>
      <c r="P98" s="4">
        <v>3.73</v>
      </c>
      <c r="Q98" s="40">
        <v>0.425974025974026</v>
      </c>
      <c r="R98" s="4">
        <v>6.83680002857143</v>
      </c>
      <c r="S98" s="40">
        <v>0.389841284958429</v>
      </c>
      <c r="T98" s="10">
        <v>4.2</v>
      </c>
      <c r="U98" s="40">
        <v>0.352941176470588</v>
      </c>
      <c r="V98" s="4">
        <v>0.0835416666666667</v>
      </c>
      <c r="W98" s="54">
        <f t="shared" si="2"/>
        <v>0.023819113668</v>
      </c>
      <c r="X98" s="4">
        <v>8.0903334125</v>
      </c>
      <c r="Y98" s="40">
        <v>0.159421783081933</v>
      </c>
      <c r="Z98" s="4">
        <v>0.765000004166667</v>
      </c>
      <c r="AA98" s="40">
        <v>0.148750001041667</v>
      </c>
      <c r="AB98" s="9">
        <v>8.28941667083333</v>
      </c>
      <c r="AC98" s="57">
        <v>0.392069288857677</v>
      </c>
      <c r="AD98" s="9">
        <v>0.245458333333333</v>
      </c>
      <c r="AE98" s="57">
        <f t="shared" si="3"/>
        <v>0.361629841157</v>
      </c>
      <c r="AF98" s="4">
        <v>6.3229249625</v>
      </c>
      <c r="AG98" s="70">
        <v>0.0850743824404764</v>
      </c>
    </row>
    <row r="99" spans="1:33">
      <c r="A99" s="38">
        <v>45386</v>
      </c>
      <c r="B99" s="1">
        <v>46897</v>
      </c>
      <c r="C99" s="39">
        <v>0.453892928786359</v>
      </c>
      <c r="D99" s="1">
        <v>46554.1183437</v>
      </c>
      <c r="E99" s="40">
        <v>0.47036380780525</v>
      </c>
      <c r="F99" s="10">
        <v>125.3</v>
      </c>
      <c r="G99" s="40">
        <v>0.995792426367461</v>
      </c>
      <c r="H99" s="4">
        <v>257.029562926087</v>
      </c>
      <c r="I99" s="40">
        <v>0.699705896926678</v>
      </c>
      <c r="J99" s="4">
        <v>343.921742321739</v>
      </c>
      <c r="K99" s="40">
        <v>0.593024949070983</v>
      </c>
      <c r="L99" s="4">
        <v>23.41</v>
      </c>
      <c r="M99" s="40">
        <v>0.299440023577955</v>
      </c>
      <c r="N99" s="13">
        <v>30.5</v>
      </c>
      <c r="O99" s="44">
        <v>0.314741035856574</v>
      </c>
      <c r="P99" s="4">
        <v>4.56</v>
      </c>
      <c r="Q99" s="40">
        <v>0.641558441558441</v>
      </c>
      <c r="R99" s="4">
        <v>6.76793336666667</v>
      </c>
      <c r="S99" s="40">
        <v>0.353403897707233</v>
      </c>
      <c r="T99" s="10">
        <v>4.6</v>
      </c>
      <c r="U99" s="40">
        <v>0.470588235294118</v>
      </c>
      <c r="V99" s="4">
        <v>0.0780434782608696</v>
      </c>
      <c r="W99" s="54">
        <f t="shared" si="2"/>
        <v>0.021882942968</v>
      </c>
      <c r="X99" s="4">
        <v>3.72048698695652</v>
      </c>
      <c r="Y99" s="40">
        <v>0.00961559777019266</v>
      </c>
      <c r="Z99" s="4">
        <v>0.53756522173913</v>
      </c>
      <c r="AA99" s="40">
        <v>0.0918913054347825</v>
      </c>
      <c r="AB99" s="9">
        <v>8.53083329583333</v>
      </c>
      <c r="AC99" s="57">
        <v>0.419194752340824</v>
      </c>
      <c r="AD99" s="9">
        <v>0.154521739130434</v>
      </c>
      <c r="AE99" s="57">
        <f t="shared" si="3"/>
        <v>0.150457749175</v>
      </c>
      <c r="AF99" s="4">
        <v>6.41912173043478</v>
      </c>
      <c r="AG99" s="70">
        <v>0.142334363354036</v>
      </c>
    </row>
    <row r="100" spans="1:33">
      <c r="A100" s="38">
        <v>45387</v>
      </c>
      <c r="B100" s="1">
        <v>51364</v>
      </c>
      <c r="C100" s="39">
        <v>0.593906720160481</v>
      </c>
      <c r="D100" s="1">
        <v>50900.5950636</v>
      </c>
      <c r="E100" s="40">
        <v>0.603040142356532</v>
      </c>
      <c r="F100" s="10">
        <v>125.6</v>
      </c>
      <c r="G100" s="40">
        <v>1</v>
      </c>
      <c r="H100" s="4">
        <v>270.050004329167</v>
      </c>
      <c r="I100" s="40">
        <v>0.863094545478316</v>
      </c>
      <c r="J100" s="4">
        <v>192.0250009</v>
      </c>
      <c r="K100" s="40">
        <v>0.223383546832794</v>
      </c>
      <c r="L100" s="4">
        <v>24.62</v>
      </c>
      <c r="M100" s="40">
        <v>0.335101679929266</v>
      </c>
      <c r="N100" s="13">
        <v>31.3</v>
      </c>
      <c r="O100" s="44">
        <v>0.346613545816733</v>
      </c>
      <c r="P100" s="4">
        <v>4.04</v>
      </c>
      <c r="Q100" s="40">
        <v>0.506493506493507</v>
      </c>
      <c r="R100" s="4">
        <v>6.81873687894737</v>
      </c>
      <c r="S100" s="40">
        <v>0.380284062935117</v>
      </c>
      <c r="T100" s="10">
        <v>4.3</v>
      </c>
      <c r="U100" s="40">
        <v>0.382352941176471</v>
      </c>
      <c r="V100" s="4">
        <v>0.0802083333333333</v>
      </c>
      <c r="W100" s="54">
        <f t="shared" si="2"/>
        <v>0.022645290245</v>
      </c>
      <c r="X100" s="4">
        <v>3.4406666375</v>
      </c>
      <c r="Y100" s="40">
        <v>2.28535310250318e-5</v>
      </c>
      <c r="Z100" s="4">
        <v>0.268916666666667</v>
      </c>
      <c r="AA100" s="40">
        <v>0.0247291666666668</v>
      </c>
      <c r="AB100" s="9">
        <v>8.91608335416667</v>
      </c>
      <c r="AC100" s="57">
        <v>0.462481275749064</v>
      </c>
      <c r="AD100" s="9">
        <v>0.169725</v>
      </c>
      <c r="AE100" s="57">
        <f t="shared" si="3"/>
        <v>0.185762616604</v>
      </c>
      <c r="AF100" s="4">
        <v>6.48421665833333</v>
      </c>
      <c r="AG100" s="70">
        <v>0.18108134424603</v>
      </c>
    </row>
    <row r="101" spans="1:33">
      <c r="A101" s="38">
        <v>45388</v>
      </c>
      <c r="B101" s="1">
        <v>51972</v>
      </c>
      <c r="C101" s="39">
        <v>0.612963891675025</v>
      </c>
      <c r="D101" s="1">
        <v>51593.5482948</v>
      </c>
      <c r="E101" s="40">
        <v>0.624192560891331</v>
      </c>
      <c r="F101" s="10">
        <v>124.3</v>
      </c>
      <c r="G101" s="40">
        <v>0.981767180925666</v>
      </c>
      <c r="H101" s="4">
        <v>266.023331320833</v>
      </c>
      <c r="I101" s="40">
        <v>0.812565332172581</v>
      </c>
      <c r="J101" s="4">
        <v>234.441667554167</v>
      </c>
      <c r="K101" s="40">
        <v>0.326604695578729</v>
      </c>
      <c r="L101" s="4">
        <v>23.64</v>
      </c>
      <c r="M101" s="40">
        <v>0.30621868552903</v>
      </c>
      <c r="N101" s="13">
        <v>33.7</v>
      </c>
      <c r="O101" s="44">
        <v>0.442231075697211</v>
      </c>
      <c r="P101" s="4">
        <v>3.73</v>
      </c>
      <c r="Q101" s="40">
        <v>0.425974025974026</v>
      </c>
      <c r="R101" s="4">
        <v>6.87434992</v>
      </c>
      <c r="S101" s="40">
        <v>0.409708952380953</v>
      </c>
      <c r="T101" s="10">
        <v>4.9</v>
      </c>
      <c r="U101" s="40">
        <v>0.558823529411765</v>
      </c>
      <c r="V101" s="4">
        <v>0.0829166666666667</v>
      </c>
      <c r="W101" s="54">
        <f t="shared" si="2"/>
        <v>0.023599021776</v>
      </c>
      <c r="X101" s="4">
        <v>7.73413315833333</v>
      </c>
      <c r="Y101" s="40">
        <v>0.147210598503028</v>
      </c>
      <c r="Z101" s="4">
        <v>0.492749995833333</v>
      </c>
      <c r="AA101" s="40">
        <v>0.0806874989583332</v>
      </c>
      <c r="AB101" s="9">
        <v>8.90766648333333</v>
      </c>
      <c r="AC101" s="57">
        <v>0.461535559925093</v>
      </c>
      <c r="AD101" s="9">
        <v>0.175783333333333</v>
      </c>
      <c r="AE101" s="57">
        <f t="shared" si="3"/>
        <v>0.199831220505</v>
      </c>
      <c r="AF101" s="4">
        <v>6.49325835416667</v>
      </c>
      <c r="AG101" s="70">
        <v>0.18646330605159</v>
      </c>
    </row>
    <row r="102" spans="1:33">
      <c r="A102" s="38">
        <v>45389</v>
      </c>
      <c r="B102" s="1">
        <v>51897</v>
      </c>
      <c r="C102" s="39">
        <v>0.610613089267803</v>
      </c>
      <c r="D102" s="1">
        <v>51076.426523</v>
      </c>
      <c r="E102" s="40">
        <v>0.608407403021978</v>
      </c>
      <c r="F102" s="10">
        <v>124.1</v>
      </c>
      <c r="G102" s="40">
        <v>0.978962131837307</v>
      </c>
      <c r="H102" s="4">
        <v>253.6300023375</v>
      </c>
      <c r="I102" s="40">
        <v>0.657046082789559</v>
      </c>
      <c r="J102" s="4">
        <v>202.779168441667</v>
      </c>
      <c r="K102" s="40">
        <v>0.249553861829672</v>
      </c>
      <c r="L102" s="4">
        <v>21.59</v>
      </c>
      <c r="M102" s="40">
        <v>0.24580017683466</v>
      </c>
      <c r="N102" s="13">
        <v>32.4</v>
      </c>
      <c r="O102" s="44">
        <v>0.390438247011952</v>
      </c>
      <c r="P102" s="4">
        <v>3.86</v>
      </c>
      <c r="Q102" s="40">
        <v>0.45974025974026</v>
      </c>
      <c r="R102" s="4">
        <v>6.95805832083333</v>
      </c>
      <c r="S102" s="40">
        <v>0.453999111552027</v>
      </c>
      <c r="T102" s="10">
        <v>4.7</v>
      </c>
      <c r="U102" s="40">
        <v>0.5</v>
      </c>
      <c r="V102" s="4">
        <v>0.0879166666666667</v>
      </c>
      <c r="W102" s="54">
        <f t="shared" si="2"/>
        <v>0.02535975691</v>
      </c>
      <c r="X102" s="4">
        <v>7.59459999166667</v>
      </c>
      <c r="Y102" s="40">
        <v>0.14242715089704</v>
      </c>
      <c r="Z102" s="4">
        <v>0.60775</v>
      </c>
      <c r="AA102" s="40">
        <v>0.1094375</v>
      </c>
      <c r="AB102" s="9">
        <v>9.2276667</v>
      </c>
      <c r="AC102" s="57">
        <v>0.497490640449438</v>
      </c>
      <c r="AD102" s="9">
        <v>0.261983333333333</v>
      </c>
      <c r="AE102" s="57">
        <f t="shared" si="3"/>
        <v>0.400004038592</v>
      </c>
      <c r="AF102" s="4">
        <v>6.525750075</v>
      </c>
      <c r="AG102" s="70">
        <v>0.205803616071429</v>
      </c>
    </row>
    <row r="103" spans="1:33">
      <c r="A103" s="38">
        <v>45390</v>
      </c>
      <c r="B103" s="1">
        <v>49235</v>
      </c>
      <c r="C103" s="39">
        <v>0.527175275827482</v>
      </c>
      <c r="D103" s="1">
        <v>48886.3920486</v>
      </c>
      <c r="E103" s="40">
        <v>0.541556533840049</v>
      </c>
      <c r="F103" s="10">
        <v>123.8</v>
      </c>
      <c r="G103" s="40">
        <v>0.974754558204769</v>
      </c>
      <c r="H103" s="4">
        <v>269.193332033333</v>
      </c>
      <c r="I103" s="40">
        <v>0.852344485297189</v>
      </c>
      <c r="J103" s="4">
        <v>251.8458321875</v>
      </c>
      <c r="K103" s="40">
        <v>0.368957808355438</v>
      </c>
      <c r="L103" s="4">
        <v>27.91</v>
      </c>
      <c r="M103" s="40">
        <v>0.432066018272915</v>
      </c>
      <c r="N103" s="13">
        <v>30.6</v>
      </c>
      <c r="O103" s="44">
        <v>0.318725099601594</v>
      </c>
      <c r="P103" s="4">
        <v>4.34768406464284</v>
      </c>
      <c r="Q103" s="40">
        <v>0.586411445361777</v>
      </c>
      <c r="R103" s="4">
        <v>6.93740840416667</v>
      </c>
      <c r="S103" s="40">
        <v>0.443073229717815</v>
      </c>
      <c r="T103" s="11">
        <v>4.1</v>
      </c>
      <c r="U103" s="40">
        <v>0.323529411764706</v>
      </c>
      <c r="V103" s="4">
        <v>0.0904166666666667</v>
      </c>
      <c r="W103" s="54">
        <f t="shared" si="2"/>
        <v>0.026240124477</v>
      </c>
      <c r="X103" s="4">
        <v>18.1783328333333</v>
      </c>
      <c r="Y103" s="40">
        <v>0.505256524968574</v>
      </c>
      <c r="Z103" s="4">
        <v>1.69266665833333</v>
      </c>
      <c r="AA103" s="40">
        <v>0.380666664583333</v>
      </c>
      <c r="AB103" s="9">
        <v>11.0701667125</v>
      </c>
      <c r="AC103" s="57">
        <v>0.704513113764045</v>
      </c>
      <c r="AD103" s="9">
        <v>0.183175</v>
      </c>
      <c r="AE103" s="57">
        <f t="shared" si="3"/>
        <v>0.216996078359</v>
      </c>
      <c r="AF103" s="4">
        <v>6.51099169583333</v>
      </c>
      <c r="AG103" s="70">
        <v>0.197018866567459</v>
      </c>
    </row>
    <row r="104" spans="1:33">
      <c r="A104" s="38">
        <v>45391</v>
      </c>
      <c r="B104" s="1">
        <v>48652</v>
      </c>
      <c r="C104" s="39">
        <v>0.508901705115346</v>
      </c>
      <c r="D104" s="1">
        <v>47956.3074643</v>
      </c>
      <c r="E104" s="40">
        <v>0.513165673513431</v>
      </c>
      <c r="F104" s="10">
        <v>122.5</v>
      </c>
      <c r="G104" s="40">
        <v>0.956521739130435</v>
      </c>
      <c r="H104" s="4">
        <v>270.9766655</v>
      </c>
      <c r="I104" s="40">
        <v>0.874722869870749</v>
      </c>
      <c r="J104" s="4">
        <v>200.129166283333</v>
      </c>
      <c r="K104" s="40">
        <v>0.243105069679344</v>
      </c>
      <c r="L104" s="4">
        <v>28.63</v>
      </c>
      <c r="M104" s="40">
        <v>0.453286177424108</v>
      </c>
      <c r="N104" s="13">
        <v>32.5</v>
      </c>
      <c r="O104" s="44">
        <v>0.394422310756972</v>
      </c>
      <c r="P104" s="4">
        <v>4.7058184774792</v>
      </c>
      <c r="Q104" s="40">
        <v>0.679433370773818</v>
      </c>
      <c r="R104" s="4">
        <v>6.94850430434783</v>
      </c>
      <c r="S104" s="40">
        <v>0.448944076374514</v>
      </c>
      <c r="T104" s="10">
        <v>3.9</v>
      </c>
      <c r="U104" s="40">
        <v>0.264705882352941</v>
      </c>
      <c r="V104" s="4">
        <v>0.0916666666666667</v>
      </c>
      <c r="W104" s="54">
        <f t="shared" si="2"/>
        <v>0.026680308261</v>
      </c>
      <c r="X104" s="4">
        <v>6.3024000875</v>
      </c>
      <c r="Y104" s="40">
        <v>0.0981282169180665</v>
      </c>
      <c r="Z104" s="4">
        <v>1.72050001666667</v>
      </c>
      <c r="AA104" s="40">
        <v>0.387625004166668</v>
      </c>
      <c r="AB104" s="9">
        <v>10.0095833541667</v>
      </c>
      <c r="AC104" s="57">
        <v>0.585346444288393</v>
      </c>
      <c r="AD104" s="9">
        <v>0.168708333333333</v>
      </c>
      <c r="AE104" s="57">
        <f t="shared" si="3"/>
        <v>0.183401722964</v>
      </c>
      <c r="AF104" s="4">
        <v>6.54955</v>
      </c>
      <c r="AG104" s="70">
        <v>0.219970238095238</v>
      </c>
    </row>
    <row r="105" spans="1:33">
      <c r="A105" s="38">
        <v>45392</v>
      </c>
      <c r="B105" s="1">
        <v>48256</v>
      </c>
      <c r="C105" s="39">
        <v>0.496489468405216</v>
      </c>
      <c r="D105" s="1">
        <v>47765.2876298</v>
      </c>
      <c r="E105" s="40">
        <v>0.507334787234432</v>
      </c>
      <c r="F105" s="10">
        <v>122.36</v>
      </c>
      <c r="G105" s="40">
        <v>0.954558204768584</v>
      </c>
      <c r="H105" s="4">
        <v>252.95273105</v>
      </c>
      <c r="I105" s="40">
        <v>0.648547258752667</v>
      </c>
      <c r="J105" s="4">
        <v>193.309090354545</v>
      </c>
      <c r="K105" s="40">
        <v>0.226508384285754</v>
      </c>
      <c r="L105" s="4">
        <v>27.3</v>
      </c>
      <c r="M105" s="40">
        <v>0.414087827880931</v>
      </c>
      <c r="N105" s="14">
        <v>31.59</v>
      </c>
      <c r="O105" s="44">
        <v>0.358167330677291</v>
      </c>
      <c r="P105" s="4">
        <v>4.28398035711634</v>
      </c>
      <c r="Q105" s="40">
        <v>0.569865027822426</v>
      </c>
      <c r="R105" s="4">
        <v>6.91109999</v>
      </c>
      <c r="S105" s="40">
        <v>0.429153433862434</v>
      </c>
      <c r="T105" s="10">
        <v>4.3</v>
      </c>
      <c r="U105" s="40">
        <v>0.382352941176471</v>
      </c>
      <c r="V105" s="4">
        <v>0.0886363636363636</v>
      </c>
      <c r="W105" s="54">
        <f t="shared" si="2"/>
        <v>0.025613196058</v>
      </c>
      <c r="X105" s="4">
        <v>8.90712715909091</v>
      </c>
      <c r="Y105" s="40">
        <v>0.187422939975691</v>
      </c>
      <c r="Z105" s="4">
        <v>2.23545454090909</v>
      </c>
      <c r="AA105" s="40">
        <v>0.516363635227272</v>
      </c>
      <c r="AB105" s="9">
        <v>9.19741668333334</v>
      </c>
      <c r="AC105" s="57">
        <v>0.494091762172285</v>
      </c>
      <c r="AD105" s="9">
        <v>0.165954545454545</v>
      </c>
      <c r="AE105" s="57">
        <f t="shared" si="3"/>
        <v>0.177006903009</v>
      </c>
      <c r="AF105" s="4">
        <v>6.56110002272727</v>
      </c>
      <c r="AG105" s="70">
        <v>0.226845251623375</v>
      </c>
    </row>
    <row r="106" spans="1:33">
      <c r="A106" s="38">
        <v>45393</v>
      </c>
      <c r="B106" s="1">
        <v>48576</v>
      </c>
      <c r="C106" s="39">
        <v>0.506519558676028</v>
      </c>
      <c r="D106" s="1">
        <v>47652.8271731</v>
      </c>
      <c r="E106" s="40">
        <v>0.503901928360806</v>
      </c>
      <c r="F106" s="10">
        <v>122.6</v>
      </c>
      <c r="G106" s="40">
        <v>0.957924263674614</v>
      </c>
      <c r="H106" s="4">
        <v>252.300950552381</v>
      </c>
      <c r="I106" s="40">
        <v>0.640368309102535</v>
      </c>
      <c r="J106" s="4">
        <v>307.400000804762</v>
      </c>
      <c r="K106" s="40">
        <v>0.504149127113528</v>
      </c>
      <c r="L106" s="4">
        <v>24.93</v>
      </c>
      <c r="M106" s="40">
        <v>0.344238137341586</v>
      </c>
      <c r="N106" s="13">
        <v>33.8</v>
      </c>
      <c r="O106" s="44">
        <v>0.446215139442231</v>
      </c>
      <c r="P106" s="4">
        <v>4.18713612539446</v>
      </c>
      <c r="Q106" s="40">
        <v>0.544710681920639</v>
      </c>
      <c r="R106" s="4">
        <v>6.87326316842105</v>
      </c>
      <c r="S106" s="40">
        <v>0.409133951545529</v>
      </c>
      <c r="T106" s="10">
        <v>4.5</v>
      </c>
      <c r="U106" s="40">
        <v>0.441176470588235</v>
      </c>
      <c r="V106" s="4">
        <v>0.0866666666666667</v>
      </c>
      <c r="W106" s="54">
        <f t="shared" si="2"/>
        <v>0.024919573127</v>
      </c>
      <c r="X106" s="4">
        <v>13.6230094857143</v>
      </c>
      <c r="Y106" s="40">
        <v>0.349091857583624</v>
      </c>
      <c r="Z106" s="4">
        <v>1.77190478095238</v>
      </c>
      <c r="AA106" s="40">
        <v>0.400476195238095</v>
      </c>
      <c r="AB106" s="9">
        <v>9.56574992916667</v>
      </c>
      <c r="AC106" s="57">
        <v>0.535477520131086</v>
      </c>
      <c r="AD106" s="9">
        <v>0.267085714285714</v>
      </c>
      <c r="AE106" s="57">
        <f t="shared" si="3"/>
        <v>0.411852738989</v>
      </c>
      <c r="AF106" s="4">
        <v>6.40253336666667</v>
      </c>
      <c r="AG106" s="70">
        <v>0.13246033730159</v>
      </c>
    </row>
    <row r="107" spans="1:33">
      <c r="A107" s="38">
        <v>45394</v>
      </c>
      <c r="B107" s="1">
        <v>45268</v>
      </c>
      <c r="C107" s="39">
        <v>0.402833500501505</v>
      </c>
      <c r="D107" s="1">
        <v>44809.2939762</v>
      </c>
      <c r="E107" s="40">
        <v>0.417102990726496</v>
      </c>
      <c r="F107" s="10">
        <v>120.5</v>
      </c>
      <c r="G107" s="40">
        <v>0.928471248246844</v>
      </c>
      <c r="H107" s="4">
        <v>256.917895673684</v>
      </c>
      <c r="I107" s="40">
        <v>0.698304626348149</v>
      </c>
      <c r="J107" s="4">
        <v>207.384212294737</v>
      </c>
      <c r="K107" s="40">
        <v>0.260760256721916</v>
      </c>
      <c r="L107" s="4">
        <v>26.69</v>
      </c>
      <c r="M107" s="40">
        <v>0.396109637488948</v>
      </c>
      <c r="N107" s="13">
        <v>29.7</v>
      </c>
      <c r="O107" s="44">
        <v>0.282868525896414</v>
      </c>
      <c r="P107" s="4">
        <v>3.96880559383775</v>
      </c>
      <c r="Q107" s="40">
        <v>0.48800145294487</v>
      </c>
      <c r="R107" s="4">
        <v>6.31592502916667</v>
      </c>
      <c r="S107" s="40">
        <v>0.114246047178132</v>
      </c>
      <c r="T107" s="10">
        <v>4.1</v>
      </c>
      <c r="U107" s="40">
        <v>0.323529411764706</v>
      </c>
      <c r="V107" s="4">
        <v>0.0873684210526316</v>
      </c>
      <c r="W107" s="54">
        <f t="shared" si="2"/>
        <v>0.025166693847</v>
      </c>
      <c r="X107" s="4">
        <v>7.5208421631579</v>
      </c>
      <c r="Y107" s="40">
        <v>0.139898600039695</v>
      </c>
      <c r="Z107" s="4">
        <v>2.6891579</v>
      </c>
      <c r="AA107" s="40">
        <v>0.629789475</v>
      </c>
      <c r="AB107" s="9">
        <v>9.92275000416667</v>
      </c>
      <c r="AC107" s="57">
        <v>0.575589888108615</v>
      </c>
      <c r="AD107" s="9">
        <v>0.198357894736842</v>
      </c>
      <c r="AE107" s="57">
        <f t="shared" si="3"/>
        <v>0.252253651749</v>
      </c>
      <c r="AF107" s="4">
        <v>6.55907367894737</v>
      </c>
      <c r="AG107" s="70">
        <v>0.22563909461153</v>
      </c>
    </row>
    <row r="108" spans="1:33">
      <c r="A108" s="38">
        <v>45395</v>
      </c>
      <c r="B108" s="1">
        <v>46587</v>
      </c>
      <c r="C108" s="39">
        <v>0.44417627883651</v>
      </c>
      <c r="D108" s="1">
        <v>45977.2254542</v>
      </c>
      <c r="E108" s="40">
        <v>0.45275413474359</v>
      </c>
      <c r="F108" s="10">
        <v>121.4</v>
      </c>
      <c r="G108" s="40">
        <v>0.94109396914446</v>
      </c>
      <c r="H108" s="4">
        <v>250.422859552381</v>
      </c>
      <c r="I108" s="40">
        <v>0.616800847689559</v>
      </c>
      <c r="J108" s="4">
        <v>169.714284990476</v>
      </c>
      <c r="K108" s="40">
        <v>0.169090319495963</v>
      </c>
      <c r="L108" s="4">
        <v>26.43</v>
      </c>
      <c r="M108" s="40">
        <v>0.388446802239906</v>
      </c>
      <c r="N108" s="13">
        <v>28.4</v>
      </c>
      <c r="O108" s="44">
        <v>0.231075697211155</v>
      </c>
      <c r="P108" s="4">
        <v>3.97183385827587</v>
      </c>
      <c r="Q108" s="40">
        <v>0.48878801513659</v>
      </c>
      <c r="R108" s="4">
        <v>6.32642500833333</v>
      </c>
      <c r="S108" s="40">
        <v>0.119801591710757</v>
      </c>
      <c r="T108" s="10">
        <v>4.6</v>
      </c>
      <c r="U108" s="40">
        <v>0.470588235294118</v>
      </c>
      <c r="V108" s="4">
        <v>0.0957142857142857</v>
      </c>
      <c r="W108" s="54">
        <f t="shared" si="2"/>
        <v>0.028105665274</v>
      </c>
      <c r="X108" s="4">
        <v>8.03276188571429</v>
      </c>
      <c r="Y108" s="40">
        <v>0.157448127724179</v>
      </c>
      <c r="Z108" s="4">
        <v>2.25380954761905</v>
      </c>
      <c r="AA108" s="40">
        <v>0.520952386904763</v>
      </c>
      <c r="AB108" s="9">
        <v>9.20291660833333</v>
      </c>
      <c r="AC108" s="57">
        <v>0.494709731273408</v>
      </c>
      <c r="AD108" s="9">
        <v>0.130057142857143</v>
      </c>
      <c r="AE108" s="57">
        <f t="shared" si="3"/>
        <v>0.093646296978</v>
      </c>
      <c r="AF108" s="4">
        <v>6.4814666047619</v>
      </c>
      <c r="AG108" s="70">
        <v>0.179444407596369</v>
      </c>
    </row>
    <row r="109" spans="1:33">
      <c r="A109" s="38">
        <v>45396</v>
      </c>
      <c r="B109" s="1">
        <v>45398</v>
      </c>
      <c r="C109" s="39">
        <v>0.406908224674022</v>
      </c>
      <c r="D109" s="1">
        <v>44737.5865199</v>
      </c>
      <c r="E109" s="40">
        <v>0.414914118434066</v>
      </c>
      <c r="F109" s="10">
        <v>122.2</v>
      </c>
      <c r="G109" s="40">
        <v>0.952314165497896</v>
      </c>
      <c r="H109" s="4">
        <v>259.9833348625</v>
      </c>
      <c r="I109" s="40">
        <v>0.73677167602585</v>
      </c>
      <c r="J109" s="4">
        <v>150.358334554167</v>
      </c>
      <c r="K109" s="40">
        <v>0.121987527204553</v>
      </c>
      <c r="L109" s="4">
        <v>27.91</v>
      </c>
      <c r="M109" s="40">
        <v>0.432066018272915</v>
      </c>
      <c r="N109" s="13">
        <v>32.4</v>
      </c>
      <c r="O109" s="44">
        <v>0.390438247011952</v>
      </c>
      <c r="P109" s="4">
        <v>3.58879218718159</v>
      </c>
      <c r="Q109" s="40">
        <v>0.389296671995218</v>
      </c>
      <c r="R109" s="4">
        <v>6.2786499875</v>
      </c>
      <c r="S109" s="40">
        <v>0.0945238029100529</v>
      </c>
      <c r="T109" s="10">
        <v>4.2</v>
      </c>
      <c r="U109" s="40">
        <v>0.352941176470588</v>
      </c>
      <c r="V109" s="4">
        <v>0.09125</v>
      </c>
      <c r="W109" s="54">
        <f t="shared" si="2"/>
        <v>0.026533580333</v>
      </c>
      <c r="X109" s="4">
        <v>9.00380000833333</v>
      </c>
      <c r="Y109" s="40">
        <v>0.190737058907553</v>
      </c>
      <c r="Z109" s="4">
        <v>1.18125</v>
      </c>
      <c r="AA109" s="40">
        <v>0.2528125</v>
      </c>
      <c r="AB109" s="9">
        <v>9.77924997083334</v>
      </c>
      <c r="AC109" s="57">
        <v>0.559466288857679</v>
      </c>
      <c r="AD109" s="9">
        <v>0.125058333333333</v>
      </c>
      <c r="AE109" s="57">
        <f t="shared" si="3"/>
        <v>0.082038109165</v>
      </c>
      <c r="AF109" s="4">
        <v>6.47569998333333</v>
      </c>
      <c r="AG109" s="70">
        <v>0.176011894841268</v>
      </c>
    </row>
    <row r="110" spans="1:33">
      <c r="A110" s="38">
        <v>45397</v>
      </c>
      <c r="B110" s="1">
        <v>51365</v>
      </c>
      <c r="C110" s="39">
        <v>0.593938064192578</v>
      </c>
      <c r="D110" s="1">
        <v>51124.5310298</v>
      </c>
      <c r="E110" s="40">
        <v>0.609875794560439</v>
      </c>
      <c r="F110" s="10">
        <v>120.6</v>
      </c>
      <c r="G110" s="40">
        <v>0.929873772791024</v>
      </c>
      <c r="H110" s="4">
        <v>255.930004125</v>
      </c>
      <c r="I110" s="40">
        <v>0.685907944848789</v>
      </c>
      <c r="J110" s="4">
        <v>150.416666666667</v>
      </c>
      <c r="K110" s="40">
        <v>0.122129478662222</v>
      </c>
      <c r="L110" s="4">
        <v>28.63</v>
      </c>
      <c r="M110" s="40">
        <v>0.453286177424108</v>
      </c>
      <c r="N110" s="13">
        <v>30.8</v>
      </c>
      <c r="O110" s="44">
        <v>0.326693227091633</v>
      </c>
      <c r="P110" s="4">
        <v>3.38014836053572</v>
      </c>
      <c r="Q110" s="40">
        <v>0.335103470269018</v>
      </c>
      <c r="R110" s="4">
        <v>6.22924164583333</v>
      </c>
      <c r="S110" s="40">
        <v>0.0683818231922383</v>
      </c>
      <c r="T110" s="11">
        <v>4.8</v>
      </c>
      <c r="U110" s="40">
        <v>0.529411764705882</v>
      </c>
      <c r="V110" s="4">
        <v>0.0977083333333333</v>
      </c>
      <c r="W110" s="54">
        <f t="shared" si="2"/>
        <v>0.028807863215</v>
      </c>
      <c r="X110" s="4">
        <v>9.93113335833333</v>
      </c>
      <c r="Y110" s="40">
        <v>0.222527711975774</v>
      </c>
      <c r="Z110" s="4">
        <v>0.742833333333333</v>
      </c>
      <c r="AA110" s="40">
        <v>0.143208333333333</v>
      </c>
      <c r="AB110" s="9">
        <v>10.0030000166667</v>
      </c>
      <c r="AC110" s="57">
        <v>0.584606743445697</v>
      </c>
      <c r="AD110" s="9">
        <v>0.171533333333333</v>
      </c>
      <c r="AE110" s="57">
        <f t="shared" si="3"/>
        <v>0.189961911028</v>
      </c>
      <c r="AF110" s="4">
        <v>6.47208328333333</v>
      </c>
      <c r="AG110" s="70">
        <v>0.17385909722222</v>
      </c>
    </row>
    <row r="111" spans="1:33">
      <c r="A111" s="38">
        <v>45398</v>
      </c>
      <c r="B111" s="1">
        <v>51246</v>
      </c>
      <c r="C111" s="39">
        <v>0.590208124373119</v>
      </c>
      <c r="D111" s="1">
        <v>51122.407514</v>
      </c>
      <c r="E111" s="40">
        <v>0.609810974175824</v>
      </c>
      <c r="F111" s="10">
        <v>119.47</v>
      </c>
      <c r="G111" s="40">
        <v>0.914025245441795</v>
      </c>
      <c r="H111" s="4">
        <v>257.750000004167</v>
      </c>
      <c r="I111" s="40">
        <v>0.708746392322337</v>
      </c>
      <c r="J111" s="4">
        <v>166.216666533333</v>
      </c>
      <c r="K111" s="40">
        <v>0.160578849276843</v>
      </c>
      <c r="L111" s="4">
        <v>27.3</v>
      </c>
      <c r="M111" s="40">
        <v>0.414087827880931</v>
      </c>
      <c r="N111" s="14">
        <v>32.54</v>
      </c>
      <c r="O111" s="44">
        <v>0.39601593625498</v>
      </c>
      <c r="P111" s="4">
        <v>3.50268362274257</v>
      </c>
      <c r="Q111" s="40">
        <v>0.366930811101966</v>
      </c>
      <c r="R111" s="4">
        <v>6.25794164583333</v>
      </c>
      <c r="S111" s="40">
        <v>0.0835670083774233</v>
      </c>
      <c r="T111" s="10">
        <v>4.7</v>
      </c>
      <c r="U111" s="40">
        <v>0.5</v>
      </c>
      <c r="V111" s="4">
        <v>0.0914583333333333</v>
      </c>
      <c r="W111" s="54">
        <f t="shared" si="2"/>
        <v>0.026606944297</v>
      </c>
      <c r="X111" s="4">
        <v>10.3532000416667</v>
      </c>
      <c r="Y111" s="40">
        <v>0.236996916066736</v>
      </c>
      <c r="Z111" s="4">
        <v>1.13691665833333</v>
      </c>
      <c r="AA111" s="40">
        <v>0.241729164583333</v>
      </c>
      <c r="AB111" s="9">
        <v>9.80375007916667</v>
      </c>
      <c r="AC111" s="57">
        <v>0.562219110018727</v>
      </c>
      <c r="AD111" s="9">
        <v>0.274416666666666</v>
      </c>
      <c r="AE111" s="57">
        <f t="shared" si="3"/>
        <v>0.428876606708</v>
      </c>
      <c r="AF111" s="4">
        <v>6.47360005416667</v>
      </c>
      <c r="AG111" s="70">
        <v>0.17476193700397</v>
      </c>
    </row>
    <row r="112" spans="1:33">
      <c r="A112" s="38">
        <v>45399</v>
      </c>
      <c r="B112" s="1">
        <v>50247</v>
      </c>
      <c r="C112" s="39">
        <v>0.558895436308927</v>
      </c>
      <c r="D112" s="1">
        <v>49767</v>
      </c>
      <c r="E112" s="40">
        <v>0.568437118437118</v>
      </c>
      <c r="F112" s="10">
        <v>118.3</v>
      </c>
      <c r="G112" s="40">
        <v>0.897615708274895</v>
      </c>
      <c r="H112" s="4">
        <v>280.899996429167</v>
      </c>
      <c r="I112" s="40">
        <v>0.999247037635425</v>
      </c>
      <c r="J112" s="4">
        <v>164.524998341667</v>
      </c>
      <c r="K112" s="40">
        <v>0.156462167137145</v>
      </c>
      <c r="L112" s="4">
        <v>24.93</v>
      </c>
      <c r="M112" s="40">
        <v>0.344238137341586</v>
      </c>
      <c r="N112" s="13">
        <v>29.4</v>
      </c>
      <c r="O112" s="44">
        <v>0.270916334661354</v>
      </c>
      <c r="P112" s="4">
        <v>4.12285556000486</v>
      </c>
      <c r="Q112" s="40">
        <v>0.528014431170094</v>
      </c>
      <c r="R112" s="4">
        <v>6.35430834583333</v>
      </c>
      <c r="S112" s="40">
        <v>0.134554680335095</v>
      </c>
      <c r="T112" s="10">
        <v>4.4</v>
      </c>
      <c r="U112" s="40">
        <v>0.411764705882353</v>
      </c>
      <c r="V112" s="4">
        <v>0.0854166666666667</v>
      </c>
      <c r="W112" s="54">
        <f t="shared" si="2"/>
        <v>0.024479389343</v>
      </c>
      <c r="X112" s="4">
        <v>5.91586673333333</v>
      </c>
      <c r="Y112" s="40">
        <v>0.0848771591818077</v>
      </c>
      <c r="Z112" s="4">
        <v>0.887000008333333</v>
      </c>
      <c r="AA112" s="40">
        <v>0.179250002083333</v>
      </c>
      <c r="AB112" s="9">
        <v>9.77733329166667</v>
      </c>
      <c r="AC112" s="57">
        <v>0.55925093164794</v>
      </c>
      <c r="AD112" s="9">
        <v>0.150808333333333</v>
      </c>
      <c r="AE112" s="57">
        <f t="shared" si="3"/>
        <v>0.14183451364</v>
      </c>
      <c r="AF112" s="4">
        <v>6.42092506666667</v>
      </c>
      <c r="AG112" s="70">
        <v>0.14340777777778</v>
      </c>
    </row>
    <row r="113" spans="1:33">
      <c r="A113" s="38">
        <v>45400</v>
      </c>
      <c r="B113" s="1">
        <v>47659</v>
      </c>
      <c r="C113" s="39">
        <v>0.477777081243731</v>
      </c>
      <c r="D113" s="1">
        <v>47076.4606723</v>
      </c>
      <c r="E113" s="40">
        <v>0.486308323330281</v>
      </c>
      <c r="F113" s="10">
        <v>118.2</v>
      </c>
      <c r="G113" s="40">
        <v>0.896213183730715</v>
      </c>
      <c r="H113" s="4">
        <v>269.306671779167</v>
      </c>
      <c r="I113" s="40">
        <v>0.853766743370147</v>
      </c>
      <c r="J113" s="4">
        <v>152.791666666667</v>
      </c>
      <c r="K113" s="40">
        <v>0.127909051825535</v>
      </c>
      <c r="L113" s="4">
        <v>26.69</v>
      </c>
      <c r="M113" s="40">
        <v>0.396109637488948</v>
      </c>
      <c r="N113" s="13">
        <v>33.9</v>
      </c>
      <c r="O113" s="44">
        <v>0.450199203187251</v>
      </c>
      <c r="P113" s="4">
        <v>3.50520624973322</v>
      </c>
      <c r="Q113" s="40">
        <v>0.367586038891746</v>
      </c>
      <c r="R113" s="4">
        <v>6.32164177916667</v>
      </c>
      <c r="S113" s="40">
        <v>0.117270782627868</v>
      </c>
      <c r="T113" s="10">
        <v>4.1</v>
      </c>
      <c r="U113" s="40">
        <v>0.323529411764706</v>
      </c>
      <c r="V113" s="4">
        <v>0.0883333333333333</v>
      </c>
      <c r="W113" s="54">
        <f t="shared" si="2"/>
        <v>0.025506484838</v>
      </c>
      <c r="X113" s="4">
        <v>4.3133999875</v>
      </c>
      <c r="Y113" s="40">
        <v>0.0299417205176551</v>
      </c>
      <c r="Z113" s="4">
        <v>0.477416670833333</v>
      </c>
      <c r="AA113" s="40">
        <v>0.0768541677083333</v>
      </c>
      <c r="AB113" s="9">
        <v>9.9470001</v>
      </c>
      <c r="AC113" s="57">
        <v>0.578314617977528</v>
      </c>
      <c r="AD113" s="9">
        <v>0.148808333333333</v>
      </c>
      <c r="AE113" s="57">
        <f t="shared" si="3"/>
        <v>0.13719013271</v>
      </c>
      <c r="AF113" s="4">
        <v>6.37419992916667</v>
      </c>
      <c r="AG113" s="70">
        <v>0.115595195932542</v>
      </c>
    </row>
    <row r="114" spans="1:33">
      <c r="A114" s="38">
        <v>45401</v>
      </c>
      <c r="B114" s="1">
        <v>48578</v>
      </c>
      <c r="C114" s="39">
        <v>0.506582246740221</v>
      </c>
      <c r="D114" s="1">
        <v>48220.6312881</v>
      </c>
      <c r="E114" s="40">
        <v>0.521234166303419</v>
      </c>
      <c r="F114" s="10">
        <v>117.9</v>
      </c>
      <c r="G114" s="40">
        <v>0.892005610098177</v>
      </c>
      <c r="H114" s="4">
        <v>255.413332625</v>
      </c>
      <c r="I114" s="40">
        <v>0.679424427468942</v>
      </c>
      <c r="J114" s="4">
        <v>259.612500195833</v>
      </c>
      <c r="K114" s="40">
        <v>0.387858029824625</v>
      </c>
      <c r="L114" s="4">
        <v>28.02</v>
      </c>
      <c r="M114" s="40">
        <v>0.435307987032125</v>
      </c>
      <c r="N114" s="13">
        <v>31.2</v>
      </c>
      <c r="O114" s="44">
        <v>0.342629482071713</v>
      </c>
      <c r="P114" s="4">
        <v>3.76</v>
      </c>
      <c r="Q114" s="40">
        <v>0.433766233766234</v>
      </c>
      <c r="R114" s="4">
        <v>6.35495005</v>
      </c>
      <c r="S114" s="40">
        <v>0.134894206349207</v>
      </c>
      <c r="T114" s="11">
        <v>4.6</v>
      </c>
      <c r="U114" s="40">
        <v>0.470588235294118</v>
      </c>
      <c r="V114" s="4">
        <v>0.0872916666666667</v>
      </c>
      <c r="W114" s="54">
        <f t="shared" si="2"/>
        <v>0.025139665019</v>
      </c>
      <c r="X114" s="4">
        <v>4.79006670416667</v>
      </c>
      <c r="Y114" s="40">
        <v>0.0462827118329335</v>
      </c>
      <c r="Z114" s="4">
        <v>0.426416666666667</v>
      </c>
      <c r="AA114" s="40">
        <v>0.0641041666666667</v>
      </c>
      <c r="AB114" s="9">
        <v>11.4311667291667</v>
      </c>
      <c r="AC114" s="57">
        <v>0.745074913389517</v>
      </c>
      <c r="AD114" s="9">
        <v>0.158066666666666</v>
      </c>
      <c r="AE114" s="57">
        <f t="shared" si="3"/>
        <v>0.158689746099</v>
      </c>
      <c r="AF114" s="4">
        <v>6.53426671666667</v>
      </c>
      <c r="AG114" s="70">
        <v>0.210873045634923</v>
      </c>
    </row>
    <row r="115" spans="1:33">
      <c r="A115" s="38">
        <v>45402</v>
      </c>
      <c r="B115" s="1">
        <v>44897</v>
      </c>
      <c r="C115" s="39">
        <v>0.391204864593781</v>
      </c>
      <c r="D115" s="1">
        <v>44174.0342176</v>
      </c>
      <c r="E115" s="40">
        <v>0.397711667203907</v>
      </c>
      <c r="F115" s="10">
        <v>116.3</v>
      </c>
      <c r="G115" s="40">
        <v>0.869565217391304</v>
      </c>
      <c r="H115" s="4">
        <v>253.3699989375</v>
      </c>
      <c r="I115" s="40">
        <v>0.653783397383611</v>
      </c>
      <c r="J115" s="4">
        <v>342.879166283333</v>
      </c>
      <c r="K115" s="40">
        <v>0.590487835600548</v>
      </c>
      <c r="L115" s="4">
        <v>27.15</v>
      </c>
      <c r="M115" s="40">
        <v>0.409666961391099</v>
      </c>
      <c r="N115" s="13">
        <v>32.6</v>
      </c>
      <c r="O115" s="44">
        <v>0.398406374501992</v>
      </c>
      <c r="P115" s="4">
        <v>4.33</v>
      </c>
      <c r="Q115" s="40">
        <v>0.581818181818182</v>
      </c>
      <c r="R115" s="4">
        <v>6.40785829583333</v>
      </c>
      <c r="S115" s="40">
        <v>0.162887987213402</v>
      </c>
      <c r="T115" s="10">
        <v>4.3</v>
      </c>
      <c r="U115" s="40">
        <v>0.382352941176471</v>
      </c>
      <c r="V115" s="4">
        <v>0.0854166666666667</v>
      </c>
      <c r="W115" s="54">
        <f t="shared" si="2"/>
        <v>0.024479389343</v>
      </c>
      <c r="X115" s="4">
        <v>18.6316000583333</v>
      </c>
      <c r="Y115" s="40">
        <v>0.520795339675465</v>
      </c>
      <c r="Z115" s="4">
        <v>0.271916666666667</v>
      </c>
      <c r="AA115" s="40">
        <v>0.0254791666666667</v>
      </c>
      <c r="AB115" s="9">
        <v>11.9751666791667</v>
      </c>
      <c r="AC115" s="57">
        <v>0.806198503277157</v>
      </c>
      <c r="AD115" s="9">
        <v>0.25705</v>
      </c>
      <c r="AE115" s="57">
        <f t="shared" si="3"/>
        <v>0.388547898965</v>
      </c>
      <c r="AF115" s="4">
        <v>6.44869169166667</v>
      </c>
      <c r="AG115" s="70">
        <v>0.15993553075397</v>
      </c>
    </row>
    <row r="116" spans="1:33">
      <c r="A116" s="38">
        <v>45403</v>
      </c>
      <c r="B116" s="1">
        <v>46502</v>
      </c>
      <c r="C116" s="39">
        <v>0.441512036108325</v>
      </c>
      <c r="D116" s="1">
        <v>46047.7174375</v>
      </c>
      <c r="E116" s="40">
        <v>0.454905904685592</v>
      </c>
      <c r="F116" s="10">
        <v>116.7</v>
      </c>
      <c r="G116" s="40">
        <v>0.875175315568023</v>
      </c>
      <c r="H116" s="4">
        <v>270.783331558333</v>
      </c>
      <c r="I116" s="40">
        <v>0.872296794558075</v>
      </c>
      <c r="J116" s="4">
        <v>185.354166354167</v>
      </c>
      <c r="K116" s="40">
        <v>0.207150041014691</v>
      </c>
      <c r="L116" s="4">
        <v>24.59</v>
      </c>
      <c r="M116" s="40">
        <v>0.3342175066313</v>
      </c>
      <c r="N116" s="13">
        <v>29.5</v>
      </c>
      <c r="O116" s="44">
        <v>0.274900398406374</v>
      </c>
      <c r="P116" s="4">
        <v>4.74</v>
      </c>
      <c r="Q116" s="40">
        <v>0.688311688311688</v>
      </c>
      <c r="R116" s="4">
        <v>6.35640842083333</v>
      </c>
      <c r="S116" s="40">
        <v>0.135665831128746</v>
      </c>
      <c r="T116" s="10">
        <v>4.5</v>
      </c>
      <c r="U116" s="40">
        <v>0.441176470588235</v>
      </c>
      <c r="V116" s="4">
        <v>0.0864583333333333</v>
      </c>
      <c r="W116" s="54">
        <f t="shared" si="2"/>
        <v>0.024846209163</v>
      </c>
      <c r="X116" s="4">
        <v>9.49173345416667</v>
      </c>
      <c r="Y116" s="40">
        <v>0.207464293937836</v>
      </c>
      <c r="Z116" s="4">
        <v>0.20325</v>
      </c>
      <c r="AA116" s="40">
        <v>0.00831249999999999</v>
      </c>
      <c r="AB116" s="9">
        <v>12.5336666916667</v>
      </c>
      <c r="AC116" s="57">
        <v>0.868951313670416</v>
      </c>
      <c r="AD116" s="9">
        <v>0.137641666666666</v>
      </c>
      <c r="AE116" s="57">
        <f t="shared" si="3"/>
        <v>0.11125900585</v>
      </c>
      <c r="AF116" s="4">
        <v>6.49489164166667</v>
      </c>
      <c r="AG116" s="70">
        <v>0.187435500992066</v>
      </c>
    </row>
    <row r="117" spans="1:33">
      <c r="A117" s="38">
        <v>45404</v>
      </c>
      <c r="B117" s="1">
        <v>45687</v>
      </c>
      <c r="C117" s="39">
        <v>0.41596664994985</v>
      </c>
      <c r="D117" s="1">
        <v>45116.6354174</v>
      </c>
      <c r="E117" s="40">
        <v>0.426484597600733</v>
      </c>
      <c r="F117" s="10">
        <v>116.58</v>
      </c>
      <c r="G117" s="40">
        <v>0.873492286115007</v>
      </c>
      <c r="H117" s="4">
        <v>274.459997816667</v>
      </c>
      <c r="I117" s="40">
        <v>0.918433904086673</v>
      </c>
      <c r="J117" s="4">
        <v>194.712500891667</v>
      </c>
      <c r="K117" s="40">
        <v>0.229923590128895</v>
      </c>
      <c r="L117" s="4">
        <v>26.38</v>
      </c>
      <c r="M117" s="40">
        <v>0.386973180076628</v>
      </c>
      <c r="N117" s="14">
        <v>30.25</v>
      </c>
      <c r="O117" s="44">
        <v>0.304780876494024</v>
      </c>
      <c r="P117" s="4">
        <v>4.12</v>
      </c>
      <c r="Q117" s="40">
        <v>0.527272727272727</v>
      </c>
      <c r="R117" s="4">
        <v>6.33890835833333</v>
      </c>
      <c r="S117" s="40">
        <v>0.126406538800704</v>
      </c>
      <c r="T117" s="10">
        <v>4.9</v>
      </c>
      <c r="U117" s="40">
        <v>0.558823529411765</v>
      </c>
      <c r="V117" s="4">
        <v>0.0977083333333333</v>
      </c>
      <c r="W117" s="54">
        <f t="shared" si="2"/>
        <v>0.028807863215</v>
      </c>
      <c r="X117" s="4">
        <v>14.7047333875</v>
      </c>
      <c r="Y117" s="40">
        <v>0.386175296109016</v>
      </c>
      <c r="Z117" s="4">
        <v>0.773000004166667</v>
      </c>
      <c r="AA117" s="40">
        <v>0.150750001041667</v>
      </c>
      <c r="AB117" s="9">
        <v>13.2576667083333</v>
      </c>
      <c r="AC117" s="57">
        <v>0.950299630149809</v>
      </c>
      <c r="AD117" s="9">
        <v>0.274383333333333</v>
      </c>
      <c r="AE117" s="57">
        <f t="shared" si="3"/>
        <v>0.428799200359</v>
      </c>
      <c r="AF117" s="4">
        <v>6.4833416625</v>
      </c>
      <c r="AG117" s="70">
        <v>0.180560513392857</v>
      </c>
    </row>
    <row r="118" spans="1:33">
      <c r="A118" s="38">
        <v>45405</v>
      </c>
      <c r="B118" s="1">
        <v>46328</v>
      </c>
      <c r="C118" s="39">
        <v>0.436058174523571</v>
      </c>
      <c r="D118" s="1">
        <v>46130.8224287</v>
      </c>
      <c r="E118" s="40">
        <v>0.457442687078755</v>
      </c>
      <c r="F118" s="10">
        <v>117.9</v>
      </c>
      <c r="G118" s="40">
        <v>0.892005610098177</v>
      </c>
      <c r="H118" s="4">
        <v>267.390003195833</v>
      </c>
      <c r="I118" s="40">
        <v>0.829715186294805</v>
      </c>
      <c r="J118" s="4">
        <v>154.0000019125</v>
      </c>
      <c r="K118" s="40">
        <v>0.130849541071472</v>
      </c>
      <c r="L118" s="4">
        <v>23.777</v>
      </c>
      <c r="M118" s="40">
        <v>0.31025641025641</v>
      </c>
      <c r="N118" s="13">
        <v>31.5</v>
      </c>
      <c r="O118" s="44">
        <v>0.354581673306773</v>
      </c>
      <c r="P118" s="4">
        <v>4.29</v>
      </c>
      <c r="Q118" s="40">
        <v>0.571428571428572</v>
      </c>
      <c r="R118" s="4">
        <v>6.94850430434783</v>
      </c>
      <c r="S118" s="40">
        <v>0.448944076374514</v>
      </c>
      <c r="T118" s="10">
        <v>4.7</v>
      </c>
      <c r="U118" s="40">
        <v>0.5</v>
      </c>
      <c r="V118" s="4">
        <v>0.09125</v>
      </c>
      <c r="W118" s="54">
        <f t="shared" si="2"/>
        <v>0.026533580333</v>
      </c>
      <c r="X118" s="4">
        <v>5.43573344166667</v>
      </c>
      <c r="Y118" s="40">
        <v>0.0684173274482918</v>
      </c>
      <c r="Z118" s="4">
        <v>0.765999995833333</v>
      </c>
      <c r="AA118" s="40">
        <v>0.148999998958333</v>
      </c>
      <c r="AB118" s="9">
        <v>12.7588334166667</v>
      </c>
      <c r="AC118" s="57">
        <v>0.894250945692888</v>
      </c>
      <c r="AD118" s="9">
        <v>0.150191666666666</v>
      </c>
      <c r="AE118" s="57">
        <f t="shared" si="3"/>
        <v>0.140402496186</v>
      </c>
      <c r="AF118" s="4">
        <v>6.50066665416667</v>
      </c>
      <c r="AG118" s="70">
        <v>0.190873008432542</v>
      </c>
    </row>
    <row r="119" spans="1:33">
      <c r="A119" s="38">
        <v>45406</v>
      </c>
      <c r="B119" s="1">
        <v>45223</v>
      </c>
      <c r="C119" s="39">
        <v>0.401423019057172</v>
      </c>
      <c r="D119" s="1">
        <v>44808.8597143</v>
      </c>
      <c r="E119" s="40">
        <v>0.417089734868742</v>
      </c>
      <c r="F119" s="10">
        <v>117.2</v>
      </c>
      <c r="G119" s="40">
        <v>0.88218793828892</v>
      </c>
      <c r="H119" s="4">
        <v>255.693330120833</v>
      </c>
      <c r="I119" s="40">
        <v>0.682938011304216</v>
      </c>
      <c r="J119" s="4">
        <v>142.770833970833</v>
      </c>
      <c r="K119" s="40">
        <v>0.10352331046853</v>
      </c>
      <c r="L119" s="4">
        <v>23.49</v>
      </c>
      <c r="M119" s="40">
        <v>0.301797819039198</v>
      </c>
      <c r="N119" s="13">
        <v>33.4</v>
      </c>
      <c r="O119" s="44">
        <v>0.430278884462151</v>
      </c>
      <c r="P119" s="4">
        <v>4.39</v>
      </c>
      <c r="Q119" s="40">
        <v>0.597402597402597</v>
      </c>
      <c r="R119" s="4">
        <v>6.90516845263158</v>
      </c>
      <c r="S119" s="40">
        <v>0.426015054302423</v>
      </c>
      <c r="T119" s="10">
        <v>4.8</v>
      </c>
      <c r="U119" s="40">
        <v>0.529411764705882</v>
      </c>
      <c r="V119" s="4">
        <v>0.089375</v>
      </c>
      <c r="W119" s="54">
        <f t="shared" si="2"/>
        <v>0.025873304658</v>
      </c>
      <c r="X119" s="4">
        <v>7.01913340416667</v>
      </c>
      <c r="Y119" s="40">
        <v>0.122699122528854</v>
      </c>
      <c r="Z119" s="4">
        <v>0.853583333333333</v>
      </c>
      <c r="AA119" s="40">
        <v>0.170895833333333</v>
      </c>
      <c r="AB119" s="9">
        <v>12.4358334166667</v>
      </c>
      <c r="AC119" s="57">
        <v>0.857958810861427</v>
      </c>
      <c r="AD119" s="9">
        <v>0.151783333333333</v>
      </c>
      <c r="AE119" s="57">
        <f t="shared" si="3"/>
        <v>0.144098649343</v>
      </c>
      <c r="AF119" s="4">
        <v>6.494016725</v>
      </c>
      <c r="AG119" s="70">
        <v>0.186914717261905</v>
      </c>
    </row>
    <row r="120" spans="1:33">
      <c r="A120" s="38">
        <v>45407</v>
      </c>
      <c r="B120" s="1">
        <v>46657</v>
      </c>
      <c r="C120" s="39">
        <v>0.44637036108325</v>
      </c>
      <c r="D120" s="1">
        <v>46234.0470671</v>
      </c>
      <c r="E120" s="40">
        <v>0.46059362231685</v>
      </c>
      <c r="F120" s="10">
        <v>116.3</v>
      </c>
      <c r="G120" s="40">
        <v>0.869565217391304</v>
      </c>
      <c r="H120" s="4">
        <v>275.606671645833</v>
      </c>
      <c r="I120" s="40">
        <v>0.932823085027393</v>
      </c>
      <c r="J120" s="4">
        <v>188.399999620833</v>
      </c>
      <c r="K120" s="40">
        <v>0.214562089944353</v>
      </c>
      <c r="L120" s="4">
        <v>22.8292858</v>
      </c>
      <c r="M120" s="40">
        <v>0.282324957264957</v>
      </c>
      <c r="N120" s="13">
        <v>30.8</v>
      </c>
      <c r="O120" s="44">
        <v>0.326693227091633</v>
      </c>
      <c r="P120" s="4">
        <v>3.69</v>
      </c>
      <c r="Q120" s="40">
        <v>0.415584415584416</v>
      </c>
      <c r="R120" s="4">
        <v>6.89556002</v>
      </c>
      <c r="S120" s="40">
        <v>0.420931227513227</v>
      </c>
      <c r="T120" s="10">
        <v>5.2</v>
      </c>
      <c r="U120" s="40">
        <v>0.647058823529412</v>
      </c>
      <c r="V120" s="4">
        <v>0.09375</v>
      </c>
      <c r="W120" s="54">
        <f t="shared" si="2"/>
        <v>0.0274139479</v>
      </c>
      <c r="X120" s="4">
        <v>8.81313333333333</v>
      </c>
      <c r="Y120" s="40">
        <v>0.184200662781396</v>
      </c>
      <c r="Z120" s="4">
        <v>1.69266666666667</v>
      </c>
      <c r="AA120" s="40">
        <v>0.380666666666668</v>
      </c>
      <c r="AB120" s="4">
        <v>11.0081666708333</v>
      </c>
      <c r="AC120" s="40">
        <v>0.697546816947562</v>
      </c>
      <c r="AD120" s="9">
        <v>0.253641666666666</v>
      </c>
      <c r="AE120" s="57">
        <f t="shared" si="3"/>
        <v>0.380633099796</v>
      </c>
      <c r="AF120" s="4">
        <v>6.46817507083333</v>
      </c>
      <c r="AG120" s="70">
        <v>0.171532780257935</v>
      </c>
    </row>
    <row r="121" spans="1:33">
      <c r="A121" s="38">
        <v>45408</v>
      </c>
      <c r="B121" s="1">
        <v>47903</v>
      </c>
      <c r="C121" s="39">
        <v>0.485425025075226</v>
      </c>
      <c r="D121" s="1">
        <v>47097.7839598</v>
      </c>
      <c r="E121" s="40">
        <v>0.486959217332112</v>
      </c>
      <c r="F121" s="10">
        <v>117.8</v>
      </c>
      <c r="G121" s="40">
        <v>0.890603085553997</v>
      </c>
      <c r="H121" s="4">
        <v>262.2033322625</v>
      </c>
      <c r="I121" s="40">
        <v>0.764629592953946</v>
      </c>
      <c r="J121" s="4">
        <v>293.779168129167</v>
      </c>
      <c r="K121" s="40">
        <v>0.471002769642438</v>
      </c>
      <c r="L121" s="4">
        <v>22.58</v>
      </c>
      <c r="M121" s="40">
        <v>0.274977895667551</v>
      </c>
      <c r="N121" s="13">
        <v>28.7</v>
      </c>
      <c r="O121" s="44">
        <v>0.243027888446215</v>
      </c>
      <c r="P121" s="4">
        <v>4.57</v>
      </c>
      <c r="Q121" s="40">
        <v>0.644155844155844</v>
      </c>
      <c r="R121" s="4">
        <v>6.90199995</v>
      </c>
      <c r="S121" s="40">
        <v>0.424338597883598</v>
      </c>
      <c r="T121" s="10">
        <v>4.6</v>
      </c>
      <c r="U121" s="40">
        <v>0.470588235294118</v>
      </c>
      <c r="V121" s="4">
        <v>0.09125</v>
      </c>
      <c r="W121" s="54">
        <f t="shared" si="2"/>
        <v>0.026533580333</v>
      </c>
      <c r="X121" s="4">
        <v>7.16820002916667</v>
      </c>
      <c r="Y121" s="40">
        <v>0.12780939421209</v>
      </c>
      <c r="Z121" s="4">
        <v>1.47975</v>
      </c>
      <c r="AA121" s="40">
        <v>0.3274375</v>
      </c>
      <c r="AB121" s="4">
        <v>11.5183333458333</v>
      </c>
      <c r="AC121" s="40">
        <v>0.754868915262168</v>
      </c>
      <c r="AD121" s="9">
        <v>0.247583333333333</v>
      </c>
      <c r="AE121" s="57">
        <f t="shared" si="3"/>
        <v>0.366564495895</v>
      </c>
      <c r="AF121" s="4">
        <v>6.4844500375</v>
      </c>
      <c r="AG121" s="70">
        <v>0.181220260416667</v>
      </c>
    </row>
    <row r="122" spans="1:33">
      <c r="A122" s="38">
        <v>45409</v>
      </c>
      <c r="B122" s="1">
        <v>47253</v>
      </c>
      <c r="C122" s="39">
        <v>0.465051404212638</v>
      </c>
      <c r="D122" s="1">
        <v>46989.1964721</v>
      </c>
      <c r="E122" s="40">
        <v>0.483644580955433</v>
      </c>
      <c r="F122" s="10">
        <v>118.2</v>
      </c>
      <c r="G122" s="40">
        <v>0.896213183730715</v>
      </c>
      <c r="H122" s="4">
        <v>243.813333516667</v>
      </c>
      <c r="I122" s="40">
        <v>0.533860377922788</v>
      </c>
      <c r="J122" s="4">
        <v>511.162502291667</v>
      </c>
      <c r="K122" s="40">
        <v>1.00000608933801</v>
      </c>
      <c r="L122" s="4">
        <v>23.41</v>
      </c>
      <c r="M122" s="40">
        <v>0.299440023577955</v>
      </c>
      <c r="N122" s="13">
        <v>29.3</v>
      </c>
      <c r="O122" s="44">
        <v>0.266932270916335</v>
      </c>
      <c r="P122" s="4">
        <v>4.16</v>
      </c>
      <c r="Q122" s="40">
        <v>0.537662337662338</v>
      </c>
      <c r="R122" s="4">
        <v>6.871689985</v>
      </c>
      <c r="S122" s="40">
        <v>0.408301579365079</v>
      </c>
      <c r="T122" s="11">
        <v>4.3</v>
      </c>
      <c r="U122" s="40">
        <v>0.382352941176471</v>
      </c>
      <c r="V122" s="4">
        <v>0.0983333333333334</v>
      </c>
      <c r="W122" s="54">
        <f t="shared" si="2"/>
        <v>0.029027955106</v>
      </c>
      <c r="X122" s="4">
        <v>8.28013334166666</v>
      </c>
      <c r="Y122" s="40">
        <v>0.165928465603931</v>
      </c>
      <c r="Z122" s="4">
        <v>1.03266667916667</v>
      </c>
      <c r="AA122" s="40">
        <v>0.215666669791668</v>
      </c>
      <c r="AB122" s="4">
        <v>11.2415000208333</v>
      </c>
      <c r="AC122" s="40">
        <v>0.72376404728464</v>
      </c>
      <c r="AD122" s="9">
        <v>0.25785</v>
      </c>
      <c r="AE122" s="57">
        <f t="shared" si="3"/>
        <v>0.390405651337</v>
      </c>
      <c r="AF122" s="4">
        <v>6.4862583375</v>
      </c>
      <c r="AG122" s="70">
        <v>0.182296629464286</v>
      </c>
    </row>
    <row r="123" spans="1:33">
      <c r="A123" s="38">
        <v>45410</v>
      </c>
      <c r="B123" s="1">
        <v>48106</v>
      </c>
      <c r="C123" s="39">
        <v>0.491787863590772</v>
      </c>
      <c r="D123" s="1">
        <v>47915.8588601</v>
      </c>
      <c r="E123" s="40">
        <v>0.511930978635531</v>
      </c>
      <c r="F123" s="10">
        <v>118.67</v>
      </c>
      <c r="G123" s="40">
        <v>0.902805049088359</v>
      </c>
      <c r="H123" s="4">
        <v>262.513334275</v>
      </c>
      <c r="I123" s="40">
        <v>0.768519692244949</v>
      </c>
      <c r="J123" s="4">
        <v>185.100003245833</v>
      </c>
      <c r="K123" s="40">
        <v>0.206531533949415</v>
      </c>
      <c r="L123" s="4">
        <v>24.62</v>
      </c>
      <c r="M123" s="40">
        <v>0.335101679929266</v>
      </c>
      <c r="N123" s="14">
        <v>29.46</v>
      </c>
      <c r="O123" s="44">
        <v>0.273306772908366</v>
      </c>
      <c r="P123" s="4">
        <v>3.76</v>
      </c>
      <c r="Q123" s="40">
        <v>0.433766233766234</v>
      </c>
      <c r="R123" s="4">
        <v>6.83433327142857</v>
      </c>
      <c r="S123" s="40">
        <v>0.388536122448979</v>
      </c>
      <c r="T123" s="10">
        <v>5.1</v>
      </c>
      <c r="U123" s="40">
        <v>0.617647058823529</v>
      </c>
      <c r="V123" s="4">
        <v>0.0895833333333333</v>
      </c>
      <c r="W123" s="54">
        <f t="shared" si="2"/>
        <v>0.025946668622</v>
      </c>
      <c r="X123" s="4">
        <v>4.2804666375</v>
      </c>
      <c r="Y123" s="40">
        <v>0.0288127061193007</v>
      </c>
      <c r="Z123" s="4">
        <v>2.03966665833333</v>
      </c>
      <c r="AA123" s="40">
        <v>0.467416664583333</v>
      </c>
      <c r="AB123" s="9">
        <v>8.9633333375</v>
      </c>
      <c r="AC123" s="57">
        <v>0.467790262640449</v>
      </c>
      <c r="AD123" s="9">
        <v>0.265941666666666</v>
      </c>
      <c r="AE123" s="57">
        <f t="shared" si="3"/>
        <v>0.409196042516</v>
      </c>
      <c r="AF123" s="4">
        <v>6.44670830416667</v>
      </c>
      <c r="AG123" s="70">
        <v>0.158754942956351</v>
      </c>
    </row>
    <row r="124" spans="1:33">
      <c r="A124" s="38">
        <v>45411</v>
      </c>
      <c r="B124" s="1">
        <v>47356</v>
      </c>
      <c r="C124" s="39">
        <v>0.468279839518556</v>
      </c>
      <c r="D124" s="1">
        <v>47079.861876</v>
      </c>
      <c r="E124" s="40">
        <v>0.486412145177045</v>
      </c>
      <c r="F124" s="10">
        <v>115.3</v>
      </c>
      <c r="G124" s="40">
        <v>0.855539971949509</v>
      </c>
      <c r="H124" s="4">
        <v>266.926664983333</v>
      </c>
      <c r="I124" s="40">
        <v>0.823900928389171</v>
      </c>
      <c r="J124" s="4">
        <v>227.625001908333</v>
      </c>
      <c r="K124" s="40">
        <v>0.310016309124019</v>
      </c>
      <c r="L124" s="4">
        <v>23.64</v>
      </c>
      <c r="M124" s="40">
        <v>0.30621868552903</v>
      </c>
      <c r="N124" s="13">
        <v>33.1</v>
      </c>
      <c r="O124" s="44">
        <v>0.418326693227092</v>
      </c>
      <c r="P124" s="4">
        <v>4.33</v>
      </c>
      <c r="Q124" s="40">
        <v>0.581818181818182</v>
      </c>
      <c r="R124" s="4">
        <v>6.91109999</v>
      </c>
      <c r="S124" s="40">
        <v>0.429153433862434</v>
      </c>
      <c r="T124" s="10">
        <v>4.6</v>
      </c>
      <c r="U124" s="40">
        <v>0.470588235294118</v>
      </c>
      <c r="V124" s="4">
        <v>0.0975</v>
      </c>
      <c r="W124" s="54">
        <f t="shared" si="2"/>
        <v>0.028734499251</v>
      </c>
      <c r="X124" s="4">
        <v>4.6999332625</v>
      </c>
      <c r="Y124" s="40">
        <v>0.0431927755399383</v>
      </c>
      <c r="Z124" s="4">
        <v>1.36241665833333</v>
      </c>
      <c r="AA124" s="40">
        <v>0.298104164583332</v>
      </c>
      <c r="AB124" s="9">
        <v>11.6534166625</v>
      </c>
      <c r="AC124" s="57">
        <v>0.770046816011236</v>
      </c>
      <c r="AD124" s="9">
        <v>0.18</v>
      </c>
      <c r="AE124" s="57">
        <f t="shared" si="3"/>
        <v>0.209623123632</v>
      </c>
      <c r="AF124" s="4">
        <v>6.3821332625</v>
      </c>
      <c r="AG124" s="70">
        <v>0.120317418154762</v>
      </c>
    </row>
    <row r="125" spans="1:33">
      <c r="A125" s="38">
        <v>45412</v>
      </c>
      <c r="B125" s="1">
        <v>50249</v>
      </c>
      <c r="C125" s="39">
        <v>0.558958124373119</v>
      </c>
      <c r="D125" s="1">
        <v>49794.9983538</v>
      </c>
      <c r="E125" s="40">
        <v>0.569291769041514</v>
      </c>
      <c r="F125" s="1">
        <v>113.9</v>
      </c>
      <c r="G125" s="40">
        <v>0.835904628330996</v>
      </c>
      <c r="H125" s="4">
        <v>261.113337204167</v>
      </c>
      <c r="I125" s="40">
        <v>0.750951652706325</v>
      </c>
      <c r="J125" s="4">
        <v>145.704166408333</v>
      </c>
      <c r="K125" s="40">
        <v>0.110661588125308</v>
      </c>
      <c r="L125" s="4">
        <v>28.63</v>
      </c>
      <c r="M125" s="40">
        <v>0.453286177424108</v>
      </c>
      <c r="N125" s="13">
        <v>31.9</v>
      </c>
      <c r="O125" s="44">
        <v>0.370517928286852</v>
      </c>
      <c r="P125" s="4">
        <v>4.57</v>
      </c>
      <c r="Q125" s="40">
        <v>0.644155844155844</v>
      </c>
      <c r="R125" s="4">
        <v>6.95805832083333</v>
      </c>
      <c r="S125" s="40">
        <v>0.453999111552027</v>
      </c>
      <c r="T125" s="13">
        <v>4.4</v>
      </c>
      <c r="U125" s="40">
        <v>0.411764705882353</v>
      </c>
      <c r="V125" s="4">
        <v>0.0841666666666667</v>
      </c>
      <c r="W125" s="54">
        <f t="shared" si="2"/>
        <v>0.02403920556</v>
      </c>
      <c r="X125" s="4">
        <v>5.72780002916667</v>
      </c>
      <c r="Y125" s="40">
        <v>0.0784298947263171</v>
      </c>
      <c r="Z125" s="4">
        <v>0.6994166625</v>
      </c>
      <c r="AA125" s="40">
        <v>0.132354165625</v>
      </c>
      <c r="AB125" s="9">
        <v>12.3827500541666</v>
      </c>
      <c r="AC125" s="57">
        <v>0.851994388108607</v>
      </c>
      <c r="AD125" s="9">
        <v>0.129666666666667</v>
      </c>
      <c r="AE125" s="57">
        <f t="shared" si="3"/>
        <v>0.092739536891</v>
      </c>
      <c r="AF125" s="4">
        <v>6.35996667083333</v>
      </c>
      <c r="AG125" s="70">
        <v>0.107123018353173</v>
      </c>
    </row>
    <row r="126" spans="1:33">
      <c r="A126" s="38">
        <v>45413</v>
      </c>
      <c r="B126" s="1">
        <v>49873</v>
      </c>
      <c r="C126" s="39">
        <v>0.547172768304915</v>
      </c>
      <c r="D126" s="1">
        <v>49408</v>
      </c>
      <c r="E126" s="40">
        <v>0.557478632478632</v>
      </c>
      <c r="F126" s="10">
        <v>112.5</v>
      </c>
      <c r="G126" s="40">
        <v>0.816269284712483</v>
      </c>
      <c r="H126" s="4">
        <v>258.176667533333</v>
      </c>
      <c r="I126" s="40">
        <v>0.714100483540381</v>
      </c>
      <c r="J126" s="4">
        <v>231.216666858333</v>
      </c>
      <c r="K126" s="40">
        <v>0.318756641905758</v>
      </c>
      <c r="L126" s="4">
        <v>27.2935416916666</v>
      </c>
      <c r="M126" s="40">
        <v>0.413897485754984</v>
      </c>
      <c r="N126" s="13">
        <v>30.6</v>
      </c>
      <c r="O126" s="44">
        <v>0.318725099601594</v>
      </c>
      <c r="P126" s="4">
        <v>3.56</v>
      </c>
      <c r="Q126" s="40">
        <v>0.381818181818182</v>
      </c>
      <c r="R126" s="4">
        <v>6.81873687894737</v>
      </c>
      <c r="S126" s="40">
        <v>0.380284062935117</v>
      </c>
      <c r="T126" s="11">
        <v>4.8</v>
      </c>
      <c r="U126" s="40">
        <v>0.529411764705882</v>
      </c>
      <c r="V126" s="4">
        <v>0.189791666666666</v>
      </c>
      <c r="W126" s="54">
        <f t="shared" si="2"/>
        <v>0.061234735268</v>
      </c>
      <c r="X126" s="4">
        <v>11.9955999541666</v>
      </c>
      <c r="Y126" s="40">
        <v>0.293301335418807</v>
      </c>
      <c r="Z126" s="4">
        <v>1.645</v>
      </c>
      <c r="AA126" s="40">
        <v>0.36875</v>
      </c>
      <c r="AB126" s="9">
        <v>9.68224998333333</v>
      </c>
      <c r="AC126" s="57">
        <v>0.548567413857677</v>
      </c>
      <c r="AD126" s="9">
        <v>0.139791666666667</v>
      </c>
      <c r="AE126" s="57">
        <f t="shared" si="3"/>
        <v>0.11625171535</v>
      </c>
      <c r="AF126" s="4">
        <v>6.3681332875</v>
      </c>
      <c r="AG126" s="70">
        <v>0.111984099702381</v>
      </c>
    </row>
    <row r="127" spans="1:33">
      <c r="A127" s="38">
        <v>45414</v>
      </c>
      <c r="B127" s="1">
        <v>43021</v>
      </c>
      <c r="C127" s="39">
        <v>0.332403460381143</v>
      </c>
      <c r="D127" s="1">
        <v>42642</v>
      </c>
      <c r="E127" s="40">
        <v>0.350946275946276</v>
      </c>
      <c r="F127" s="10">
        <v>112.1</v>
      </c>
      <c r="G127" s="40">
        <v>0.810659186535764</v>
      </c>
      <c r="H127" s="4">
        <v>253.993335725</v>
      </c>
      <c r="I127" s="40">
        <v>0.661605417555528</v>
      </c>
      <c r="J127" s="4">
        <v>222.929166166667</v>
      </c>
      <c r="K127" s="40">
        <v>0.298588971763237</v>
      </c>
      <c r="L127" s="4">
        <v>27.1041666541666</v>
      </c>
      <c r="M127" s="40">
        <v>0.408316140706354</v>
      </c>
      <c r="N127" s="13">
        <v>31.5</v>
      </c>
      <c r="O127" s="44">
        <v>0.354581673306773</v>
      </c>
      <c r="P127" s="4">
        <v>3.95</v>
      </c>
      <c r="Q127" s="40">
        <v>0.483116883116883</v>
      </c>
      <c r="R127" s="4">
        <v>6.87434992</v>
      </c>
      <c r="S127" s="40">
        <v>0.409708952380953</v>
      </c>
      <c r="T127" s="10">
        <v>4.7</v>
      </c>
      <c r="U127" s="40">
        <v>0.5</v>
      </c>
      <c r="V127" s="4">
        <v>0.261875</v>
      </c>
      <c r="W127" s="54">
        <f t="shared" si="2"/>
        <v>0.086618666785</v>
      </c>
      <c r="X127" s="4">
        <v>13.0457333916666</v>
      </c>
      <c r="Y127" s="40">
        <v>0.329301796080446</v>
      </c>
      <c r="Z127" s="4">
        <v>0.615916666666667</v>
      </c>
      <c r="AA127" s="40">
        <v>0.111479166666667</v>
      </c>
      <c r="AB127" s="9">
        <v>7.46249999583333</v>
      </c>
      <c r="AC127" s="57">
        <v>0.299157302902621</v>
      </c>
      <c r="AD127" s="9">
        <v>0.322291666666667</v>
      </c>
      <c r="AE127" s="57">
        <f t="shared" si="3"/>
        <v>0.540051475222</v>
      </c>
      <c r="AF127" s="4">
        <v>6.4060500125</v>
      </c>
      <c r="AG127" s="70">
        <v>0.134553578869048</v>
      </c>
    </row>
    <row r="128" spans="1:33">
      <c r="A128" s="38">
        <v>45415</v>
      </c>
      <c r="B128" s="1">
        <v>42597</v>
      </c>
      <c r="C128" s="39">
        <v>0.319113590772317</v>
      </c>
      <c r="D128" s="1">
        <v>42178</v>
      </c>
      <c r="E128" s="40">
        <v>0.336782661782662</v>
      </c>
      <c r="F128" s="10">
        <v>112.5</v>
      </c>
      <c r="G128" s="40">
        <v>0.816269284712483</v>
      </c>
      <c r="H128" s="4">
        <v>257.436669658333</v>
      </c>
      <c r="I128" s="40">
        <v>0.70481452702137</v>
      </c>
      <c r="J128" s="4">
        <v>203.0208333375</v>
      </c>
      <c r="K128" s="40">
        <v>0.250141954438712</v>
      </c>
      <c r="L128" s="4">
        <v>31.3666660833333</v>
      </c>
      <c r="M128" s="40">
        <v>0.533942413301895</v>
      </c>
      <c r="N128" s="13">
        <v>33.7</v>
      </c>
      <c r="O128" s="44">
        <v>0.442231075697211</v>
      </c>
      <c r="P128" s="4">
        <v>3.91</v>
      </c>
      <c r="Q128" s="40">
        <v>0.472727272727273</v>
      </c>
      <c r="R128" s="4">
        <v>6.95805832083333</v>
      </c>
      <c r="S128" s="40">
        <v>0.453999111552027</v>
      </c>
      <c r="T128" s="10">
        <v>4.9</v>
      </c>
      <c r="U128" s="40">
        <v>0.558823529411765</v>
      </c>
      <c r="V128" s="4">
        <v>0.389791666666666</v>
      </c>
      <c r="W128" s="54">
        <f t="shared" si="2"/>
        <v>0.131664140633</v>
      </c>
      <c r="X128" s="4">
        <v>16.3990667833333</v>
      </c>
      <c r="Y128" s="40">
        <v>0.444260088561306</v>
      </c>
      <c r="Z128" s="4">
        <v>0.612166666666667</v>
      </c>
      <c r="AA128" s="40">
        <v>0.110541666666667</v>
      </c>
      <c r="AB128" s="9">
        <v>11.3150000458333</v>
      </c>
      <c r="AC128" s="57">
        <v>0.732022477059921</v>
      </c>
      <c r="AD128" s="9">
        <v>0.26235</v>
      </c>
      <c r="AE128" s="57">
        <f t="shared" si="3"/>
        <v>0.400855508429</v>
      </c>
      <c r="AF128" s="4">
        <v>6.388550025</v>
      </c>
      <c r="AG128" s="70">
        <v>0.124136919642857</v>
      </c>
    </row>
    <row r="129" spans="1:33">
      <c r="A129" s="38">
        <v>45416</v>
      </c>
      <c r="B129" s="1">
        <v>44679</v>
      </c>
      <c r="C129" s="39">
        <v>0.38437186559679</v>
      </c>
      <c r="D129" s="1">
        <v>44281</v>
      </c>
      <c r="E129" s="40">
        <v>0.400976800976801</v>
      </c>
      <c r="F129" s="10">
        <v>112.8</v>
      </c>
      <c r="G129" s="40">
        <v>0.820476858345021</v>
      </c>
      <c r="H129" s="4">
        <v>269.68000285</v>
      </c>
      <c r="I129" s="40">
        <v>0.858451535324382</v>
      </c>
      <c r="J129" s="4">
        <v>152.783334733333</v>
      </c>
      <c r="K129" s="40">
        <v>0.127888776028358</v>
      </c>
      <c r="L129" s="4">
        <v>27.2212499458333</v>
      </c>
      <c r="M129" s="40">
        <v>0.411766871377345</v>
      </c>
      <c r="N129" s="13">
        <v>35.9</v>
      </c>
      <c r="O129" s="44">
        <v>0.529880478087649</v>
      </c>
      <c r="P129" s="4">
        <v>4.06</v>
      </c>
      <c r="Q129" s="40">
        <v>0.511688311688312</v>
      </c>
      <c r="R129" s="4">
        <v>6.93740840416667</v>
      </c>
      <c r="S129" s="40">
        <v>0.443073229717815</v>
      </c>
      <c r="T129" s="10">
        <v>5.2</v>
      </c>
      <c r="U129" s="40">
        <v>0.647058823529412</v>
      </c>
      <c r="V129" s="4">
        <v>0.590416666666666</v>
      </c>
      <c r="W129" s="54">
        <f t="shared" si="2"/>
        <v>0.202313637889</v>
      </c>
      <c r="X129" s="4">
        <v>15.7537999583333</v>
      </c>
      <c r="Y129" s="40">
        <v>0.422139182664837</v>
      </c>
      <c r="Z129" s="4">
        <v>0.738083333333333</v>
      </c>
      <c r="AA129" s="40">
        <v>0.142020833333333</v>
      </c>
      <c r="AB129" s="9">
        <v>9.33316665833333</v>
      </c>
      <c r="AC129" s="57">
        <v>0.50934456835206</v>
      </c>
      <c r="AD129" s="9">
        <v>0.27155</v>
      </c>
      <c r="AE129" s="57">
        <f t="shared" si="3"/>
        <v>0.422219660708</v>
      </c>
      <c r="AF129" s="4">
        <v>6.390299975</v>
      </c>
      <c r="AG129" s="70">
        <v>0.125178556547619</v>
      </c>
    </row>
    <row r="130" spans="1:33">
      <c r="A130" s="38">
        <v>45417</v>
      </c>
      <c r="B130" s="1">
        <v>50246</v>
      </c>
      <c r="C130" s="39">
        <v>0.558864092276831</v>
      </c>
      <c r="D130" s="1">
        <v>49820</v>
      </c>
      <c r="E130" s="40">
        <v>0.570054945054945</v>
      </c>
      <c r="F130" s="10">
        <v>111.4</v>
      </c>
      <c r="G130" s="40">
        <v>0.800841514726508</v>
      </c>
      <c r="H130" s="4">
        <v>272.8833306625</v>
      </c>
      <c r="I130" s="40">
        <v>0.89864889776007</v>
      </c>
      <c r="J130" s="4">
        <v>150.9291661625</v>
      </c>
      <c r="K130" s="40">
        <v>0.12337664848636</v>
      </c>
      <c r="L130" s="4">
        <v>35.6114584291666</v>
      </c>
      <c r="M130" s="40">
        <v>0.659046814888494</v>
      </c>
      <c r="N130" s="13">
        <v>37.7</v>
      </c>
      <c r="O130" s="44">
        <v>0.601593625498008</v>
      </c>
      <c r="P130" s="4">
        <v>3.64</v>
      </c>
      <c r="Q130" s="40">
        <v>0.402597402597403</v>
      </c>
      <c r="R130" s="4">
        <v>6.94850430434783</v>
      </c>
      <c r="S130" s="40">
        <v>0.448944076374514</v>
      </c>
      <c r="T130" s="10">
        <v>4.3</v>
      </c>
      <c r="U130" s="40">
        <v>0.382352941176471</v>
      </c>
      <c r="V130" s="4">
        <v>0.485</v>
      </c>
      <c r="W130" s="54">
        <f t="shared" si="2"/>
        <v>0.165191472145</v>
      </c>
      <c r="X130" s="4">
        <v>12.8440666833333</v>
      </c>
      <c r="Y130" s="40">
        <v>0.322388299051536</v>
      </c>
      <c r="Z130" s="4">
        <v>1.20766666666666</v>
      </c>
      <c r="AA130" s="40">
        <v>0.259416666666665</v>
      </c>
      <c r="AB130" s="9">
        <v>10.0439999875</v>
      </c>
      <c r="AC130" s="57">
        <v>0.589213481741573</v>
      </c>
      <c r="AD130" s="9">
        <v>0.165416666666666</v>
      </c>
      <c r="AE130" s="57">
        <f t="shared" si="3"/>
        <v>0.175757846017</v>
      </c>
      <c r="AF130" s="4">
        <v>6.3410083625</v>
      </c>
      <c r="AG130" s="70">
        <v>0.0958383110119051</v>
      </c>
    </row>
    <row r="131" spans="1:33">
      <c r="A131" s="38">
        <v>45418</v>
      </c>
      <c r="B131" s="1">
        <v>37214</v>
      </c>
      <c r="C131" s="39">
        <v>0.150388665997994</v>
      </c>
      <c r="D131" s="1">
        <v>36723</v>
      </c>
      <c r="E131" s="40">
        <v>0.17026862026862</v>
      </c>
      <c r="F131" s="10">
        <v>112.4</v>
      </c>
      <c r="G131" s="40">
        <v>0.814866760168303</v>
      </c>
      <c r="H131" s="4">
        <v>255.190001804167</v>
      </c>
      <c r="I131" s="40">
        <v>0.676621932540682</v>
      </c>
      <c r="J131" s="4">
        <v>279.375003183333</v>
      </c>
      <c r="K131" s="40">
        <v>0.435950169574704</v>
      </c>
      <c r="L131" s="4">
        <v>36.2643750333333</v>
      </c>
      <c r="M131" s="40">
        <v>0.67828986246193</v>
      </c>
      <c r="N131" s="13">
        <v>38.4</v>
      </c>
      <c r="O131" s="44">
        <v>0.629482071713147</v>
      </c>
      <c r="P131" s="4">
        <v>3.73</v>
      </c>
      <c r="Q131" s="40">
        <v>0.425974025974026</v>
      </c>
      <c r="R131" s="4">
        <v>6.91109999</v>
      </c>
      <c r="S131" s="40">
        <v>0.429153433862434</v>
      </c>
      <c r="T131" s="10">
        <v>5</v>
      </c>
      <c r="U131" s="40">
        <v>0.588235294117647</v>
      </c>
      <c r="V131" s="4">
        <v>0.688541666666666</v>
      </c>
      <c r="W131" s="54">
        <f t="shared" si="2"/>
        <v>0.236868064896</v>
      </c>
      <c r="X131" s="4">
        <v>11.6951333875</v>
      </c>
      <c r="Y131" s="40">
        <v>0.283000801765513</v>
      </c>
      <c r="Z131" s="4">
        <v>0.454666670833333</v>
      </c>
      <c r="AA131" s="40">
        <v>0.0711666677083332</v>
      </c>
      <c r="AB131" s="9">
        <v>8.398583325</v>
      </c>
      <c r="AC131" s="57">
        <v>0.40433520505618</v>
      </c>
      <c r="AD131" s="9">
        <v>0.200591666666667</v>
      </c>
      <c r="AE131" s="57">
        <f t="shared" si="3"/>
        <v>0.257440895625</v>
      </c>
      <c r="AF131" s="4">
        <v>6.4370249375</v>
      </c>
      <c r="AG131" s="70">
        <v>0.152991034226191</v>
      </c>
    </row>
    <row r="132" spans="1:33">
      <c r="A132" s="38">
        <v>45419</v>
      </c>
      <c r="B132" s="1">
        <v>37948</v>
      </c>
      <c r="C132" s="39">
        <v>0.17339518555667</v>
      </c>
      <c r="D132" s="1">
        <v>37457</v>
      </c>
      <c r="E132" s="40">
        <v>0.192673992673993</v>
      </c>
      <c r="F132" s="10">
        <v>110.3</v>
      </c>
      <c r="G132" s="40">
        <v>0.785413744740533</v>
      </c>
      <c r="H132" s="4">
        <v>252.343332925</v>
      </c>
      <c r="I132" s="40">
        <v>0.640900149642364</v>
      </c>
      <c r="J132" s="4">
        <v>249.2083326875</v>
      </c>
      <c r="K132" s="40">
        <v>0.362539441480301</v>
      </c>
      <c r="L132" s="4">
        <v>35.4299999583333</v>
      </c>
      <c r="M132" s="40">
        <v>0.653698790401807</v>
      </c>
      <c r="N132" s="13">
        <v>36.6</v>
      </c>
      <c r="O132" s="44">
        <v>0.557768924302789</v>
      </c>
      <c r="P132" s="4">
        <v>3.86</v>
      </c>
      <c r="Q132" s="40">
        <v>0.45974025974026</v>
      </c>
      <c r="R132" s="4">
        <v>6.87326316842105</v>
      </c>
      <c r="S132" s="40">
        <v>0.409133951545529</v>
      </c>
      <c r="T132" s="10">
        <v>5.1</v>
      </c>
      <c r="U132" s="40">
        <v>0.617647058823529</v>
      </c>
      <c r="V132" s="4">
        <v>0.792291666666666</v>
      </c>
      <c r="W132" s="54">
        <f t="shared" si="2"/>
        <v>0.273403318929</v>
      </c>
      <c r="X132" s="4">
        <v>9.5572000625</v>
      </c>
      <c r="Y132" s="40">
        <v>0.2097086068735</v>
      </c>
      <c r="Z132" s="4">
        <v>0.321416666666667</v>
      </c>
      <c r="AA132" s="40">
        <v>0.0378541666666668</v>
      </c>
      <c r="AB132" s="9">
        <v>8.96233331666667</v>
      </c>
      <c r="AC132" s="57">
        <v>0.467677900749064</v>
      </c>
      <c r="AD132" s="9">
        <v>0.188341666666666</v>
      </c>
      <c r="AE132" s="57">
        <f t="shared" si="3"/>
        <v>0.228994062428</v>
      </c>
      <c r="AF132" s="4">
        <v>6.40365835833333</v>
      </c>
      <c r="AG132" s="70">
        <v>0.133129975198411</v>
      </c>
    </row>
    <row r="133" spans="1:33">
      <c r="A133" s="38">
        <v>45420</v>
      </c>
      <c r="B133" s="1">
        <v>36847</v>
      </c>
      <c r="C133" s="39">
        <v>0.138885406218656</v>
      </c>
      <c r="D133" s="1">
        <v>36513</v>
      </c>
      <c r="E133" s="40">
        <v>0.163858363858364</v>
      </c>
      <c r="F133" s="10">
        <v>112.1</v>
      </c>
      <c r="G133" s="40">
        <v>0.810659186535764</v>
      </c>
      <c r="H133" s="4">
        <v>246.463330591667</v>
      </c>
      <c r="I133" s="40">
        <v>0.567114199920529</v>
      </c>
      <c r="J133" s="4">
        <v>181.0541680625</v>
      </c>
      <c r="K133" s="40">
        <v>0.196685975865719</v>
      </c>
      <c r="L133" s="4">
        <v>25.1397915791666</v>
      </c>
      <c r="M133" s="40">
        <v>0.350421207756163</v>
      </c>
      <c r="N133" s="13">
        <v>35.2</v>
      </c>
      <c r="O133" s="44">
        <v>0.50199203187251</v>
      </c>
      <c r="P133" s="4">
        <v>4.34768406464284</v>
      </c>
      <c r="Q133" s="40">
        <v>0.586411445361777</v>
      </c>
      <c r="R133" s="4">
        <v>6.61592502916667</v>
      </c>
      <c r="S133" s="40">
        <v>0.272976205908291</v>
      </c>
      <c r="T133" s="11">
        <v>4.8</v>
      </c>
      <c r="U133" s="40">
        <v>0.529411764705882</v>
      </c>
      <c r="V133" s="4">
        <v>0.895625</v>
      </c>
      <c r="W133" s="54">
        <f t="shared" si="2"/>
        <v>0.309791845034</v>
      </c>
      <c r="X133" s="4">
        <v>9.40913332916666</v>
      </c>
      <c r="Y133" s="40">
        <v>0.204632613272769</v>
      </c>
      <c r="Z133" s="4">
        <v>2.223</v>
      </c>
      <c r="AA133" s="40">
        <v>0.51325</v>
      </c>
      <c r="AB133" s="9">
        <v>11.43574995</v>
      </c>
      <c r="AC133" s="57">
        <v>0.745589882022472</v>
      </c>
      <c r="AD133" s="9">
        <v>0.277375</v>
      </c>
      <c r="AE133" s="57">
        <f t="shared" si="3"/>
        <v>0.435746420167</v>
      </c>
      <c r="AF133" s="4">
        <v>6.43119165</v>
      </c>
      <c r="AG133" s="70">
        <v>0.149518839285714</v>
      </c>
    </row>
    <row r="134" spans="1:33">
      <c r="A134" s="38">
        <v>45421</v>
      </c>
      <c r="B134" s="1">
        <v>35606</v>
      </c>
      <c r="C134" s="39">
        <v>0.0999874623871615</v>
      </c>
      <c r="D134" s="1">
        <v>34573</v>
      </c>
      <c r="E134" s="40">
        <v>0.104639804639805</v>
      </c>
      <c r="F134" s="10">
        <v>109.4</v>
      </c>
      <c r="G134" s="40">
        <v>0.772791023842917</v>
      </c>
      <c r="H134" s="4">
        <v>250.923336666667</v>
      </c>
      <c r="I134" s="40">
        <v>0.623081147780989</v>
      </c>
      <c r="J134" s="4">
        <v>154.420834545833</v>
      </c>
      <c r="K134" s="40">
        <v>0.131873639174149</v>
      </c>
      <c r="L134" s="4">
        <v>35.372083325</v>
      </c>
      <c r="M134" s="40">
        <v>0.651991845711759</v>
      </c>
      <c r="N134" s="13">
        <v>34.7</v>
      </c>
      <c r="O134" s="44">
        <v>0.48207171314741</v>
      </c>
      <c r="P134" s="4">
        <v>4.4058184774792</v>
      </c>
      <c r="Q134" s="40">
        <v>0.60151129285174</v>
      </c>
      <c r="R134" s="4">
        <v>6.92642500833333</v>
      </c>
      <c r="S134" s="40">
        <v>0.437261909171074</v>
      </c>
      <c r="T134" s="10">
        <v>4.6</v>
      </c>
      <c r="U134" s="40">
        <v>0.470588235294118</v>
      </c>
      <c r="V134" s="4">
        <v>0.586041666666666</v>
      </c>
      <c r="W134" s="54">
        <f t="shared" ref="W134:W197" si="4">ROUND((V134-MIN($V$5:$V$370))/(MAX($V$5:$V$370)-MIN($V$5:$V$2370)),12)</f>
        <v>0.200772994647</v>
      </c>
      <c r="X134" s="4">
        <v>12.1904667208333</v>
      </c>
      <c r="Y134" s="40">
        <v>0.299981718232201</v>
      </c>
      <c r="Z134" s="4">
        <v>1.19791666666666</v>
      </c>
      <c r="AA134" s="40">
        <v>0.256979166666665</v>
      </c>
      <c r="AB134" s="9">
        <v>11.8052500375</v>
      </c>
      <c r="AC134" s="57">
        <v>0.787106745786517</v>
      </c>
      <c r="AD134" s="9">
        <v>0.283433333333333</v>
      </c>
      <c r="AE134" s="57">
        <f t="shared" ref="AE134:AE197" si="5">ROUND((AD134-MIN($AD$5:$AD$370))/(MAX($AD$5:$AD$370)-MIN($AD$5:$AD$2370)),12)</f>
        <v>0.449815024067</v>
      </c>
      <c r="AF134" s="4">
        <v>6.45586660416667</v>
      </c>
      <c r="AG134" s="70">
        <v>0.16420631200397</v>
      </c>
    </row>
    <row r="135" spans="1:33">
      <c r="A135" s="38">
        <v>45422</v>
      </c>
      <c r="B135" s="1">
        <v>42658</v>
      </c>
      <c r="C135" s="39">
        <v>0.321025576730191</v>
      </c>
      <c r="D135" s="1">
        <v>42265</v>
      </c>
      <c r="E135" s="40">
        <v>0.339438339438339</v>
      </c>
      <c r="F135" s="10">
        <v>108.7</v>
      </c>
      <c r="G135" s="40">
        <v>0.762973352033661</v>
      </c>
      <c r="H135" s="4">
        <v>257.636668516667</v>
      </c>
      <c r="I135" s="40">
        <v>0.707324237880123</v>
      </c>
      <c r="J135" s="4">
        <v>231.600001658333</v>
      </c>
      <c r="K135" s="40">
        <v>0.31968948886266</v>
      </c>
      <c r="L135" s="4">
        <v>33.7531249875</v>
      </c>
      <c r="M135" s="40">
        <v>0.604277187960507</v>
      </c>
      <c r="N135" s="13">
        <v>31.8</v>
      </c>
      <c r="O135" s="44">
        <v>0.366533864541833</v>
      </c>
      <c r="P135" s="4">
        <v>4.28398035711634</v>
      </c>
      <c r="Q135" s="40">
        <v>0.569865027822426</v>
      </c>
      <c r="R135" s="4">
        <v>6.8786499875</v>
      </c>
      <c r="S135" s="40">
        <v>0.411984120370371</v>
      </c>
      <c r="T135" s="10">
        <v>4.7</v>
      </c>
      <c r="U135" s="40">
        <v>0.5</v>
      </c>
      <c r="V135" s="4">
        <v>0.696458333333333</v>
      </c>
      <c r="W135" s="54">
        <f t="shared" si="4"/>
        <v>0.239655895525</v>
      </c>
      <c r="X135" s="4">
        <v>11.0032666833333</v>
      </c>
      <c r="Y135" s="40">
        <v>0.259282368300764</v>
      </c>
      <c r="Z135" s="4">
        <v>0.301916666666667</v>
      </c>
      <c r="AA135" s="40">
        <v>0.0329791666666667</v>
      </c>
      <c r="AB135" s="9">
        <v>11.9549167083333</v>
      </c>
      <c r="AC135" s="57">
        <v>0.803923225655427</v>
      </c>
      <c r="AD135" s="9">
        <v>0.186466666666666</v>
      </c>
      <c r="AE135" s="57">
        <f t="shared" si="5"/>
        <v>0.224639955306</v>
      </c>
      <c r="AF135" s="4">
        <v>6.41579159166666</v>
      </c>
      <c r="AG135" s="70">
        <v>0.140352137896822</v>
      </c>
    </row>
    <row r="136" spans="1:33">
      <c r="A136" s="38">
        <v>45423</v>
      </c>
      <c r="B136" s="1">
        <v>55421</v>
      </c>
      <c r="C136" s="39">
        <v>0.721069458375125</v>
      </c>
      <c r="D136" s="1">
        <v>55036</v>
      </c>
      <c r="E136" s="40">
        <v>0.729273504273504</v>
      </c>
      <c r="F136" s="10">
        <v>109.8</v>
      </c>
      <c r="G136" s="40">
        <v>0.778401122019635</v>
      </c>
      <c r="H136" s="4">
        <v>251.373332979167</v>
      </c>
      <c r="I136" s="40">
        <v>0.628727983174388</v>
      </c>
      <c r="J136" s="4">
        <v>223.795832316667</v>
      </c>
      <c r="K136" s="40">
        <v>0.300698007730433</v>
      </c>
      <c r="L136" s="4">
        <v>24.6927084541666</v>
      </c>
      <c r="M136" s="40">
        <v>0.337244575719617</v>
      </c>
      <c r="N136" s="13">
        <v>28.6</v>
      </c>
      <c r="O136" s="44">
        <v>0.239043824701195</v>
      </c>
      <c r="P136" s="4">
        <v>4.18713612539446</v>
      </c>
      <c r="Q136" s="40">
        <v>0.544710681920639</v>
      </c>
      <c r="R136" s="4">
        <v>6.82924164583333</v>
      </c>
      <c r="S136" s="40">
        <v>0.385842140652556</v>
      </c>
      <c r="T136" s="10">
        <v>4.5</v>
      </c>
      <c r="U136" s="40">
        <v>0.441176470588235</v>
      </c>
      <c r="V136" s="4">
        <v>0.492083333333333</v>
      </c>
      <c r="W136" s="54">
        <f t="shared" si="4"/>
        <v>0.167685846918</v>
      </c>
      <c r="X136" s="4">
        <v>9.3449999875</v>
      </c>
      <c r="Y136" s="40">
        <v>0.202434007113473</v>
      </c>
      <c r="Z136" s="4">
        <v>1.22408333333333</v>
      </c>
      <c r="AA136" s="40">
        <v>0.263520833333333</v>
      </c>
      <c r="AB136" s="9">
        <v>8.18591660833333</v>
      </c>
      <c r="AC136" s="57">
        <v>0.380440068352059</v>
      </c>
      <c r="AD136" s="9">
        <v>0.289658333333333</v>
      </c>
      <c r="AE136" s="57">
        <f t="shared" si="5"/>
        <v>0.464270659712</v>
      </c>
      <c r="AF136" s="4">
        <v>6.33552500833333</v>
      </c>
      <c r="AG136" s="70">
        <v>0.0925744097222205</v>
      </c>
    </row>
    <row r="137" spans="1:33">
      <c r="A137" s="38">
        <v>45424</v>
      </c>
      <c r="B137" s="1">
        <v>52603</v>
      </c>
      <c r="C137" s="39">
        <v>0.632741975927783</v>
      </c>
      <c r="D137" s="1">
        <v>52109</v>
      </c>
      <c r="E137" s="40">
        <v>0.63992673992674</v>
      </c>
      <c r="F137" s="10">
        <v>108.4</v>
      </c>
      <c r="G137" s="40">
        <v>0.758765778401122</v>
      </c>
      <c r="H137" s="4">
        <v>257.1766688</v>
      </c>
      <c r="I137" s="40">
        <v>0.701551873509851</v>
      </c>
      <c r="J137" s="4">
        <v>232.604167291667</v>
      </c>
      <c r="K137" s="40">
        <v>0.322133130439897</v>
      </c>
      <c r="L137" s="4">
        <v>24.1456249666666</v>
      </c>
      <c r="M137" s="40">
        <v>0.321120688672756</v>
      </c>
      <c r="N137" s="13">
        <v>29.7</v>
      </c>
      <c r="O137" s="44">
        <v>0.282868525896414</v>
      </c>
      <c r="P137" s="4">
        <v>3.76880559383775</v>
      </c>
      <c r="Q137" s="40">
        <v>0.436053400996818</v>
      </c>
      <c r="R137" s="4">
        <v>6.85794164583333</v>
      </c>
      <c r="S137" s="40">
        <v>0.401027325837741</v>
      </c>
      <c r="T137" s="10">
        <v>4.6</v>
      </c>
      <c r="U137" s="40">
        <v>0.470588235294118</v>
      </c>
      <c r="V137" s="4">
        <v>0.388333333333333</v>
      </c>
      <c r="W137" s="54">
        <f t="shared" si="4"/>
        <v>0.131150592885</v>
      </c>
      <c r="X137" s="4">
        <v>12.0703999791666</v>
      </c>
      <c r="Y137" s="40">
        <v>0.295865614644038</v>
      </c>
      <c r="Z137" s="4">
        <v>1.2445</v>
      </c>
      <c r="AA137" s="40">
        <v>0.268625</v>
      </c>
      <c r="AB137" s="9">
        <v>9.53999995833333</v>
      </c>
      <c r="AC137" s="57">
        <v>0.532584264981273</v>
      </c>
      <c r="AD137" s="9">
        <v>0.373358333333333</v>
      </c>
      <c r="AE137" s="57">
        <f t="shared" si="5"/>
        <v>0.658638001637</v>
      </c>
      <c r="AF137" s="4">
        <v>6.3366917</v>
      </c>
      <c r="AG137" s="70">
        <v>0.0932688690476194</v>
      </c>
    </row>
    <row r="138" spans="1:33">
      <c r="A138" s="38">
        <v>45425</v>
      </c>
      <c r="B138" s="1">
        <v>44271</v>
      </c>
      <c r="C138" s="39">
        <v>0.371583500501505</v>
      </c>
      <c r="D138" s="1">
        <v>44204</v>
      </c>
      <c r="E138" s="40">
        <v>0.398626373626374</v>
      </c>
      <c r="F138" s="10">
        <v>106.7</v>
      </c>
      <c r="G138" s="40">
        <v>0.73492286115007</v>
      </c>
      <c r="H138" s="4">
        <v>267.623334883333</v>
      </c>
      <c r="I138" s="40">
        <v>0.832643178357799</v>
      </c>
      <c r="J138" s="4">
        <v>254.3583348625</v>
      </c>
      <c r="K138" s="40">
        <v>0.375071994895724</v>
      </c>
      <c r="L138" s="4">
        <v>25.2356249541666</v>
      </c>
      <c r="M138" s="40">
        <v>0.353245651463796</v>
      </c>
      <c r="N138" s="13">
        <v>30.3</v>
      </c>
      <c r="O138" s="44">
        <v>0.306772908366534</v>
      </c>
      <c r="P138" s="4">
        <v>3.97183385827587</v>
      </c>
      <c r="Q138" s="40">
        <v>0.48878801513659</v>
      </c>
      <c r="R138" s="4">
        <v>6.75430834583333</v>
      </c>
      <c r="S138" s="40">
        <v>0.346194891975307</v>
      </c>
      <c r="T138" s="10">
        <v>4.8</v>
      </c>
      <c r="U138" s="40">
        <v>0.529411764705882</v>
      </c>
      <c r="V138" s="4">
        <v>0.489375</v>
      </c>
      <c r="W138" s="54">
        <f t="shared" si="4"/>
        <v>0.166732115387</v>
      </c>
      <c r="X138" s="4">
        <v>25.7062000333333</v>
      </c>
      <c r="Y138" s="40">
        <v>0.76332533539024</v>
      </c>
      <c r="Z138" s="4">
        <v>0.941250025</v>
      </c>
      <c r="AA138" s="40">
        <v>0.19281250625</v>
      </c>
      <c r="AB138" s="9">
        <v>8.92658333333333</v>
      </c>
      <c r="AC138" s="57">
        <v>0.463661048689138</v>
      </c>
      <c r="AD138" s="9">
        <v>0.1911</v>
      </c>
      <c r="AE138" s="57">
        <f t="shared" si="5"/>
        <v>0.235399437794</v>
      </c>
      <c r="AF138" s="4">
        <v>6.42197492083333</v>
      </c>
      <c r="AG138" s="70">
        <v>0.14403269097222</v>
      </c>
    </row>
    <row r="139" spans="1:33">
      <c r="A139" s="38">
        <v>45426</v>
      </c>
      <c r="B139" s="1">
        <v>45108</v>
      </c>
      <c r="C139" s="39">
        <v>0.397818455366098</v>
      </c>
      <c r="D139" s="1">
        <v>44672</v>
      </c>
      <c r="E139" s="40">
        <v>0.412912087912088</v>
      </c>
      <c r="F139" s="10">
        <v>105.1</v>
      </c>
      <c r="G139" s="40">
        <v>0.712482468443198</v>
      </c>
      <c r="H139" s="4">
        <v>255.456673304167</v>
      </c>
      <c r="I139" s="40">
        <v>0.679968293439164</v>
      </c>
      <c r="J139" s="4">
        <v>218.8374988125</v>
      </c>
      <c r="K139" s="40">
        <v>0.288631880886039</v>
      </c>
      <c r="L139" s="4">
        <v>33.46416665</v>
      </c>
      <c r="M139" s="40">
        <v>0.595760879752432</v>
      </c>
      <c r="N139" s="13">
        <v>33.2</v>
      </c>
      <c r="O139" s="44">
        <v>0.422310756972112</v>
      </c>
      <c r="P139" s="4">
        <v>3.58879218718159</v>
      </c>
      <c r="Q139" s="40">
        <v>0.389296671995218</v>
      </c>
      <c r="R139" s="4">
        <v>6.82164177916667</v>
      </c>
      <c r="S139" s="40">
        <v>0.381821047178133</v>
      </c>
      <c r="T139" s="10">
        <v>5</v>
      </c>
      <c r="U139" s="40">
        <v>0.588235294117647</v>
      </c>
      <c r="V139" s="4">
        <v>0.402916666666667</v>
      </c>
      <c r="W139" s="54">
        <f t="shared" si="4"/>
        <v>0.13628607036</v>
      </c>
      <c r="X139" s="4">
        <v>17.9863333666666</v>
      </c>
      <c r="Y139" s="40">
        <v>0.498674438349901</v>
      </c>
      <c r="Z139" s="4">
        <v>1.03900000416667</v>
      </c>
      <c r="AA139" s="40">
        <v>0.217250001041668</v>
      </c>
      <c r="AB139" s="9">
        <v>9.0258333125</v>
      </c>
      <c r="AC139" s="57">
        <v>0.474812731741573</v>
      </c>
      <c r="AD139" s="9">
        <v>0.195516666666666</v>
      </c>
      <c r="AE139" s="57">
        <f t="shared" si="5"/>
        <v>0.245655779015</v>
      </c>
      <c r="AF139" s="4">
        <v>6.47569995</v>
      </c>
      <c r="AG139" s="70">
        <v>0.176011875</v>
      </c>
    </row>
    <row r="140" spans="1:33">
      <c r="A140" s="38">
        <v>45427</v>
      </c>
      <c r="B140" s="1">
        <v>46358</v>
      </c>
      <c r="C140" s="39">
        <v>0.436998495486459</v>
      </c>
      <c r="D140" s="1">
        <v>46089</v>
      </c>
      <c r="E140" s="40">
        <v>0.456166056166056</v>
      </c>
      <c r="F140" s="10">
        <v>102.3</v>
      </c>
      <c r="G140" s="40">
        <v>0.673211781206171</v>
      </c>
      <c r="H140" s="4">
        <v>280.796667741667</v>
      </c>
      <c r="I140" s="40">
        <v>0.997950404588619</v>
      </c>
      <c r="J140" s="4">
        <v>149.858332008333</v>
      </c>
      <c r="K140" s="40">
        <v>0.120770768764347</v>
      </c>
      <c r="L140" s="4">
        <v>31.8060416916666</v>
      </c>
      <c r="M140" s="40">
        <v>0.546891885990763</v>
      </c>
      <c r="N140" s="13">
        <v>31.7</v>
      </c>
      <c r="O140" s="44">
        <v>0.362549800796813</v>
      </c>
      <c r="P140" s="4">
        <v>3.38014836053572</v>
      </c>
      <c r="Q140" s="40">
        <v>0.335103470269018</v>
      </c>
      <c r="R140" s="4">
        <v>6.85495005</v>
      </c>
      <c r="S140" s="40">
        <v>0.399444470899471</v>
      </c>
      <c r="T140" s="11">
        <v>4.5</v>
      </c>
      <c r="U140" s="40">
        <v>0.441176470588235</v>
      </c>
      <c r="V140" s="4">
        <v>0.396666666666666</v>
      </c>
      <c r="W140" s="54">
        <f t="shared" si="4"/>
        <v>0.134085151442</v>
      </c>
      <c r="X140" s="4">
        <v>11.5892667041666</v>
      </c>
      <c r="Y140" s="40">
        <v>0.279371501685519</v>
      </c>
      <c r="Z140" s="4">
        <v>2.05391666666667</v>
      </c>
      <c r="AA140" s="40">
        <v>0.470979166666668</v>
      </c>
      <c r="AB140" s="9">
        <v>8.00816664166667</v>
      </c>
      <c r="AC140" s="57">
        <v>0.360468161985019</v>
      </c>
      <c r="AD140" s="9">
        <v>0.21055</v>
      </c>
      <c r="AE140" s="57">
        <f t="shared" si="5"/>
        <v>0.28056604234</v>
      </c>
      <c r="AF140" s="4">
        <v>6.48678339583333</v>
      </c>
      <c r="AG140" s="70">
        <v>0.182609164186506</v>
      </c>
    </row>
    <row r="141" spans="1:33">
      <c r="A141" s="38">
        <v>45428</v>
      </c>
      <c r="B141" s="1">
        <v>45203</v>
      </c>
      <c r="C141" s="39">
        <v>0.400796138415246</v>
      </c>
      <c r="D141" s="1">
        <v>44701</v>
      </c>
      <c r="E141" s="40">
        <v>0.413797313797314</v>
      </c>
      <c r="F141" s="10">
        <v>101.3</v>
      </c>
      <c r="G141" s="40">
        <v>0.659186535764376</v>
      </c>
      <c r="H141" s="4">
        <v>267.3166681875</v>
      </c>
      <c r="I141" s="40">
        <v>0.828794932707993</v>
      </c>
      <c r="J141" s="4">
        <v>197.9416681875</v>
      </c>
      <c r="K141" s="40">
        <v>0.237781783241671</v>
      </c>
      <c r="L141" s="4">
        <v>33.8385416458333</v>
      </c>
      <c r="M141" s="40">
        <v>0.606794625577168</v>
      </c>
      <c r="N141" s="13">
        <v>34.3</v>
      </c>
      <c r="O141" s="44">
        <v>0.46613545816733</v>
      </c>
      <c r="P141" s="4">
        <v>3.50268362274257</v>
      </c>
      <c r="Q141" s="40">
        <v>0.366930811101966</v>
      </c>
      <c r="R141" s="4">
        <v>6.40785829583333</v>
      </c>
      <c r="S141" s="40">
        <v>0.162887987213402</v>
      </c>
      <c r="T141" s="10">
        <v>4.3</v>
      </c>
      <c r="U141" s="40">
        <v>0.382352941176471</v>
      </c>
      <c r="V141" s="4">
        <v>0.376041666666666</v>
      </c>
      <c r="W141" s="54">
        <f t="shared" si="4"/>
        <v>0.126822119014</v>
      </c>
      <c r="X141" s="4">
        <v>13.5476667166666</v>
      </c>
      <c r="Y141" s="40">
        <v>0.34650897211747</v>
      </c>
      <c r="Z141" s="4">
        <v>1.3859166625</v>
      </c>
      <c r="AA141" s="40">
        <v>0.303979165625</v>
      </c>
      <c r="AB141" s="9">
        <v>8.21500000416667</v>
      </c>
      <c r="AC141" s="57">
        <v>0.383707865636705</v>
      </c>
      <c r="AD141" s="9">
        <v>0.2245</v>
      </c>
      <c r="AE141" s="57">
        <f t="shared" si="5"/>
        <v>0.312960599327</v>
      </c>
      <c r="AF141" s="4">
        <v>6.58974170416667</v>
      </c>
      <c r="AG141" s="70">
        <v>0.24389387152778</v>
      </c>
    </row>
    <row r="142" spans="1:33">
      <c r="A142" s="38">
        <v>45429</v>
      </c>
      <c r="B142" s="1">
        <v>40871</v>
      </c>
      <c r="C142" s="39">
        <v>0.265013791374122</v>
      </c>
      <c r="D142" s="1">
        <v>40495</v>
      </c>
      <c r="E142" s="40">
        <v>0.285409035409035</v>
      </c>
      <c r="F142" s="10">
        <v>100.2</v>
      </c>
      <c r="G142" s="40">
        <v>0.643758765778401</v>
      </c>
      <c r="H142" s="4">
        <v>252.463334408333</v>
      </c>
      <c r="I142" s="40">
        <v>0.64240600336721</v>
      </c>
      <c r="J142" s="4">
        <v>144.145833020833</v>
      </c>
      <c r="K142" s="40">
        <v>0.106869376830197</v>
      </c>
      <c r="L142" s="4">
        <v>25.6114583916666</v>
      </c>
      <c r="M142" s="40">
        <v>0.36432238112781</v>
      </c>
      <c r="N142" s="13">
        <v>32.9</v>
      </c>
      <c r="O142" s="44">
        <v>0.410358565737052</v>
      </c>
      <c r="P142" s="4">
        <v>4.12285556000486</v>
      </c>
      <c r="Q142" s="40">
        <v>0.528014431170094</v>
      </c>
      <c r="R142" s="4">
        <v>6.75640842083333</v>
      </c>
      <c r="S142" s="40">
        <v>0.347306042768958</v>
      </c>
      <c r="T142" s="10">
        <v>4.8</v>
      </c>
      <c r="U142" s="40">
        <v>0.529411764705882</v>
      </c>
      <c r="V142" s="4">
        <v>0.596458333333333</v>
      </c>
      <c r="W142" s="54">
        <f t="shared" si="4"/>
        <v>0.204441192843</v>
      </c>
      <c r="X142" s="4">
        <v>14.5372666291666</v>
      </c>
      <c r="Y142" s="40">
        <v>0.380434234801735</v>
      </c>
      <c r="Z142" s="4">
        <v>0.91425</v>
      </c>
      <c r="AA142" s="40">
        <v>0.1860625</v>
      </c>
      <c r="AB142" s="9">
        <v>9.11966666666667</v>
      </c>
      <c r="AC142" s="57">
        <v>0.485355805243446</v>
      </c>
      <c r="AD142" s="9">
        <v>0.188433333333333</v>
      </c>
      <c r="AE142" s="57">
        <f t="shared" si="5"/>
        <v>0.229206929888</v>
      </c>
      <c r="AF142" s="4">
        <v>6.27870832083333</v>
      </c>
      <c r="AG142" s="70">
        <v>0.0587549528769821</v>
      </c>
    </row>
    <row r="143" spans="1:33">
      <c r="A143" s="38">
        <v>45430</v>
      </c>
      <c r="B143" s="1">
        <v>40697</v>
      </c>
      <c r="C143" s="39">
        <v>0.259559929789368</v>
      </c>
      <c r="D143" s="1">
        <v>40562</v>
      </c>
      <c r="E143" s="40">
        <v>0.287454212454212</v>
      </c>
      <c r="F143" s="10">
        <v>100.8</v>
      </c>
      <c r="G143" s="40">
        <v>0.652173913043478</v>
      </c>
      <c r="H143" s="4">
        <v>257.42333475</v>
      </c>
      <c r="I143" s="40">
        <v>0.704647192244949</v>
      </c>
      <c r="J143" s="4">
        <v>171.779167179166</v>
      </c>
      <c r="K143" s="40">
        <v>0.174115219573081</v>
      </c>
      <c r="L143" s="4">
        <v>25.6716665833333</v>
      </c>
      <c r="M143" s="40">
        <v>0.366096863640828</v>
      </c>
      <c r="N143" s="13">
        <v>30.8</v>
      </c>
      <c r="O143" s="44">
        <v>0.326693227091633</v>
      </c>
      <c r="P143" s="4">
        <v>3.50520624973322</v>
      </c>
      <c r="Q143" s="40">
        <v>0.367586038891746</v>
      </c>
      <c r="R143" s="4">
        <v>6.81873687894737</v>
      </c>
      <c r="S143" s="40">
        <v>0.380284062935117</v>
      </c>
      <c r="T143" s="10">
        <v>4.1</v>
      </c>
      <c r="U143" s="40">
        <v>0.323529411764706</v>
      </c>
      <c r="V143" s="4">
        <v>0.700416666666667</v>
      </c>
      <c r="W143" s="54">
        <f t="shared" si="4"/>
        <v>0.241049810839</v>
      </c>
      <c r="X143" s="4">
        <v>12.1357333291666</v>
      </c>
      <c r="Y143" s="40">
        <v>0.298105359244655</v>
      </c>
      <c r="Z143" s="4">
        <v>1.22375</v>
      </c>
      <c r="AA143" s="40">
        <v>0.2634375</v>
      </c>
      <c r="AB143" s="9">
        <v>7.68283333333333</v>
      </c>
      <c r="AC143" s="57">
        <v>0.323913857677902</v>
      </c>
      <c r="AD143" s="9">
        <v>0.203583333333333</v>
      </c>
      <c r="AE143" s="57">
        <f t="shared" si="5"/>
        <v>0.264388115433</v>
      </c>
      <c r="AF143" s="4">
        <v>6.36451663333333</v>
      </c>
      <c r="AG143" s="70">
        <v>0.109831329365077</v>
      </c>
    </row>
    <row r="144" spans="1:33">
      <c r="A144" s="38">
        <v>45431</v>
      </c>
      <c r="B144" s="1">
        <v>42301</v>
      </c>
      <c r="C144" s="39">
        <v>0.309835757271815</v>
      </c>
      <c r="D144" s="1">
        <v>41961</v>
      </c>
      <c r="E144" s="40">
        <v>0.33015873015873</v>
      </c>
      <c r="F144" s="10">
        <v>99.6</v>
      </c>
      <c r="G144" s="40">
        <v>0.635343618513324</v>
      </c>
      <c r="H144" s="4">
        <v>257.2666676875</v>
      </c>
      <c r="I144" s="40">
        <v>0.702681235882796</v>
      </c>
      <c r="J144" s="4">
        <v>182.945833841666</v>
      </c>
      <c r="K144" s="40">
        <v>0.201289353032551</v>
      </c>
      <c r="L144" s="4">
        <v>26.4268748875</v>
      </c>
      <c r="M144" s="40">
        <v>0.388354697539051</v>
      </c>
      <c r="N144" s="13">
        <v>31.2</v>
      </c>
      <c r="O144" s="44">
        <v>0.342629482071713</v>
      </c>
      <c r="P144" s="4">
        <v>3.76</v>
      </c>
      <c r="Q144" s="40">
        <v>0.433766233766234</v>
      </c>
      <c r="R144" s="4">
        <v>6.87434992</v>
      </c>
      <c r="S144" s="40">
        <v>0.409708952380953</v>
      </c>
      <c r="T144" s="11">
        <v>4.6</v>
      </c>
      <c r="U144" s="40">
        <v>0.470588235294118</v>
      </c>
      <c r="V144" s="4">
        <v>0.558333333333333</v>
      </c>
      <c r="W144" s="54">
        <f t="shared" si="4"/>
        <v>0.191015587445</v>
      </c>
      <c r="X144" s="4">
        <v>11.8528666541666</v>
      </c>
      <c r="Y144" s="40">
        <v>0.288408181493541</v>
      </c>
      <c r="Z144" s="4">
        <v>0.449000004166667</v>
      </c>
      <c r="AA144" s="40">
        <v>0.0697500010416668</v>
      </c>
      <c r="AB144" s="9">
        <v>8.12625002916667</v>
      </c>
      <c r="AC144" s="57">
        <v>0.373735958333334</v>
      </c>
      <c r="AD144" s="9">
        <v>0.224225</v>
      </c>
      <c r="AE144" s="57">
        <f t="shared" si="5"/>
        <v>0.312321996949</v>
      </c>
      <c r="AF144" s="4">
        <v>6.34129997083333</v>
      </c>
      <c r="AG144" s="70">
        <v>0.0960118874007921</v>
      </c>
    </row>
    <row r="145" spans="1:33">
      <c r="A145" s="38">
        <v>45432</v>
      </c>
      <c r="B145" s="1">
        <v>45203</v>
      </c>
      <c r="C145" s="39">
        <v>0.400796138415246</v>
      </c>
      <c r="D145" s="1">
        <v>44776</v>
      </c>
      <c r="E145" s="40">
        <v>0.416086691086691</v>
      </c>
      <c r="F145" s="10">
        <v>98.4</v>
      </c>
      <c r="G145" s="40">
        <v>0.61851332398317</v>
      </c>
      <c r="H145" s="4">
        <v>265.71333185</v>
      </c>
      <c r="I145" s="40">
        <v>0.808675264776007</v>
      </c>
      <c r="J145" s="4">
        <v>200.845834095833</v>
      </c>
      <c r="K145" s="40">
        <v>0.24484908401877</v>
      </c>
      <c r="L145" s="4">
        <v>24.5977083041666</v>
      </c>
      <c r="M145" s="40">
        <v>0.334444689188523</v>
      </c>
      <c r="N145" s="13">
        <v>28.4</v>
      </c>
      <c r="O145" s="44">
        <v>0.231075697211155</v>
      </c>
      <c r="P145" s="4">
        <v>4.73</v>
      </c>
      <c r="Q145" s="40">
        <v>0.685714285714286</v>
      </c>
      <c r="R145" s="4">
        <v>6.95805832083333</v>
      </c>
      <c r="S145" s="40">
        <v>0.453999111552027</v>
      </c>
      <c r="T145" s="10">
        <v>4.4</v>
      </c>
      <c r="U145" s="40">
        <v>0.411764705882353</v>
      </c>
      <c r="V145" s="4">
        <v>0.638958333333333</v>
      </c>
      <c r="W145" s="54">
        <f t="shared" si="4"/>
        <v>0.219407441483</v>
      </c>
      <c r="X145" s="4">
        <v>10.8021332458333</v>
      </c>
      <c r="Y145" s="40">
        <v>0.25238715275397</v>
      </c>
      <c r="Z145" s="4">
        <v>1.41000000416666</v>
      </c>
      <c r="AA145" s="40">
        <v>0.310000001041665</v>
      </c>
      <c r="AB145" s="9">
        <v>8.90275004166667</v>
      </c>
      <c r="AC145" s="57">
        <v>0.460983150749064</v>
      </c>
      <c r="AD145" s="9">
        <v>0.153341666666667</v>
      </c>
      <c r="AE145" s="57">
        <f t="shared" si="5"/>
        <v>0.147717396151</v>
      </c>
      <c r="AF145" s="4">
        <v>6.365858325</v>
      </c>
      <c r="AG145" s="70">
        <v>0.110629955357143</v>
      </c>
    </row>
    <row r="146" spans="1:33">
      <c r="A146" s="38">
        <v>45433</v>
      </c>
      <c r="B146" s="1">
        <v>44103</v>
      </c>
      <c r="C146" s="39">
        <v>0.366317703109328</v>
      </c>
      <c r="D146" s="1">
        <v>43805</v>
      </c>
      <c r="E146" s="40">
        <v>0.386446886446886</v>
      </c>
      <c r="F146" s="10">
        <v>98.5</v>
      </c>
      <c r="G146" s="40">
        <v>0.619915848527349</v>
      </c>
      <c r="H146" s="4">
        <v>257.623336804167</v>
      </c>
      <c r="I146" s="40">
        <v>0.707156943207015</v>
      </c>
      <c r="J146" s="4">
        <v>172.912501179166</v>
      </c>
      <c r="K146" s="40">
        <v>0.176873192950541</v>
      </c>
      <c r="L146" s="4">
        <v>25.4139583333333</v>
      </c>
      <c r="M146" s="40">
        <v>0.35850157186364</v>
      </c>
      <c r="N146" s="13">
        <v>27.8</v>
      </c>
      <c r="O146" s="44">
        <v>0.207171314741036</v>
      </c>
      <c r="P146" s="4">
        <v>4.74</v>
      </c>
      <c r="Q146" s="40">
        <v>0.688311688311688</v>
      </c>
      <c r="R146" s="4">
        <v>6.93740840416667</v>
      </c>
      <c r="S146" s="40">
        <v>0.443073229717815</v>
      </c>
      <c r="T146" s="10">
        <v>4.2</v>
      </c>
      <c r="U146" s="40">
        <v>0.352941176470588</v>
      </c>
      <c r="V146" s="4">
        <v>0.497083333333333</v>
      </c>
      <c r="W146" s="54">
        <f t="shared" si="4"/>
        <v>0.169446582052</v>
      </c>
      <c r="X146" s="4">
        <v>25.0172000791667</v>
      </c>
      <c r="Y146" s="40">
        <v>0.739705179265228</v>
      </c>
      <c r="Z146" s="4">
        <v>0.4165</v>
      </c>
      <c r="AA146" s="40">
        <v>0.061625</v>
      </c>
      <c r="AB146" s="9">
        <v>9.56116667083333</v>
      </c>
      <c r="AC146" s="57">
        <v>0.534962547284644</v>
      </c>
      <c r="AD146" s="9">
        <v>0.165841666666667</v>
      </c>
      <c r="AE146" s="57">
        <f t="shared" si="5"/>
        <v>0.176744776965</v>
      </c>
      <c r="AF146" s="4">
        <v>6.40185000416667</v>
      </c>
      <c r="AG146" s="70">
        <v>0.132053573908732</v>
      </c>
    </row>
    <row r="147" spans="1:33">
      <c r="A147" s="38">
        <v>45434</v>
      </c>
      <c r="B147" s="1">
        <v>42601</v>
      </c>
      <c r="C147" s="39">
        <v>0.319238966900702</v>
      </c>
      <c r="D147" s="1">
        <v>42509</v>
      </c>
      <c r="E147" s="40">
        <v>0.346886446886447</v>
      </c>
      <c r="F147" s="10">
        <v>97.8</v>
      </c>
      <c r="G147" s="40">
        <v>0.610098176718093</v>
      </c>
      <c r="H147" s="4">
        <v>258.546670283333</v>
      </c>
      <c r="I147" s="40">
        <v>0.718743509641523</v>
      </c>
      <c r="J147" s="4">
        <v>269.8583331125</v>
      </c>
      <c r="K147" s="40">
        <v>0.412791310229236</v>
      </c>
      <c r="L147" s="4">
        <v>24.3635416625</v>
      </c>
      <c r="M147" s="40">
        <v>0.327543226127321</v>
      </c>
      <c r="N147" s="13">
        <v>29.2</v>
      </c>
      <c r="O147" s="44">
        <v>0.262948207171315</v>
      </c>
      <c r="P147" s="4">
        <v>4.72</v>
      </c>
      <c r="Q147" s="40">
        <v>0.683116883116883</v>
      </c>
      <c r="R147" s="4">
        <v>6.94850430434783</v>
      </c>
      <c r="S147" s="40">
        <v>0.448944076374514</v>
      </c>
      <c r="T147" s="10">
        <v>4.3</v>
      </c>
      <c r="U147" s="40">
        <v>0.382352941176471</v>
      </c>
      <c r="V147" s="4">
        <v>0.339479166666666</v>
      </c>
      <c r="W147" s="54">
        <f t="shared" si="4"/>
        <v>0.113946743345</v>
      </c>
      <c r="X147" s="4">
        <v>15.8678000083333</v>
      </c>
      <c r="Y147" s="40">
        <v>0.426047309164666</v>
      </c>
      <c r="Z147" s="4">
        <v>0.739333341666667</v>
      </c>
      <c r="AA147" s="40">
        <v>0.142333335416667</v>
      </c>
      <c r="AB147" s="9">
        <v>8.46358339166667</v>
      </c>
      <c r="AC147" s="57">
        <v>0.411638583333334</v>
      </c>
      <c r="AD147" s="9">
        <v>0.244808333333333</v>
      </c>
      <c r="AE147" s="57">
        <f t="shared" si="5"/>
        <v>0.360120417355</v>
      </c>
      <c r="AF147" s="4">
        <v>6.39257490833333</v>
      </c>
      <c r="AG147" s="70">
        <v>0.126532683531744</v>
      </c>
    </row>
    <row r="148" spans="1:33">
      <c r="A148" s="38">
        <v>45435</v>
      </c>
      <c r="B148" s="1">
        <v>42305</v>
      </c>
      <c r="C148" s="39">
        <v>0.309961133400201</v>
      </c>
      <c r="D148" s="1">
        <v>41852</v>
      </c>
      <c r="E148" s="40">
        <v>0.326831501831502</v>
      </c>
      <c r="F148" s="10">
        <v>97.2</v>
      </c>
      <c r="G148" s="40">
        <v>0.601683029453016</v>
      </c>
      <c r="H148" s="4">
        <v>272.91000175</v>
      </c>
      <c r="I148" s="40">
        <v>0.898983583260133</v>
      </c>
      <c r="J148" s="4">
        <v>177.479167145833</v>
      </c>
      <c r="K148" s="40">
        <v>0.187986195083915</v>
      </c>
      <c r="L148" s="4">
        <v>33.3174999833333</v>
      </c>
      <c r="M148" s="40">
        <v>0.59143825474015</v>
      </c>
      <c r="N148" s="13">
        <v>28.3</v>
      </c>
      <c r="O148" s="44">
        <v>0.227091633466135</v>
      </c>
      <c r="P148" s="4">
        <v>4.29</v>
      </c>
      <c r="Q148" s="40">
        <v>0.571428571428572</v>
      </c>
      <c r="R148" s="4">
        <v>6.91109999</v>
      </c>
      <c r="S148" s="40">
        <v>0.429153433862434</v>
      </c>
      <c r="T148" s="10">
        <v>4.5</v>
      </c>
      <c r="U148" s="40">
        <v>0.441176470588235</v>
      </c>
      <c r="V148" s="4">
        <v>0.798958333333333</v>
      </c>
      <c r="W148" s="54">
        <f t="shared" si="4"/>
        <v>0.275750965774</v>
      </c>
      <c r="X148" s="4">
        <v>13.0566667083333</v>
      </c>
      <c r="Y148" s="40">
        <v>0.32967660981602</v>
      </c>
      <c r="Z148" s="4">
        <v>0.7155833375</v>
      </c>
      <c r="AA148" s="40">
        <v>0.136395834375</v>
      </c>
      <c r="AB148" s="9">
        <v>7.90141665</v>
      </c>
      <c r="AC148" s="57">
        <v>0.348473780898876</v>
      </c>
      <c r="AD148" s="9">
        <v>0.180816666666667</v>
      </c>
      <c r="AE148" s="57">
        <f t="shared" si="5"/>
        <v>0.211519579179</v>
      </c>
      <c r="AF148" s="4">
        <v>6.42454166666667</v>
      </c>
      <c r="AG148" s="70">
        <v>0.145560515873018</v>
      </c>
    </row>
    <row r="149" spans="1:33">
      <c r="A149" s="38">
        <v>45436</v>
      </c>
      <c r="B149" s="1">
        <v>44672</v>
      </c>
      <c r="C149" s="39">
        <v>0.384152457372116</v>
      </c>
      <c r="D149" s="1">
        <v>44454</v>
      </c>
      <c r="E149" s="40">
        <v>0.406257631257631</v>
      </c>
      <c r="F149" s="10">
        <v>98.4</v>
      </c>
      <c r="G149" s="40">
        <v>0.61851332398317</v>
      </c>
      <c r="H149" s="4">
        <v>262.200000775</v>
      </c>
      <c r="I149" s="40">
        <v>0.764587787363533</v>
      </c>
      <c r="J149" s="4">
        <v>190.379167879166</v>
      </c>
      <c r="K149" s="40">
        <v>0.219378404787107</v>
      </c>
      <c r="L149" s="4">
        <v>24.0831250041666</v>
      </c>
      <c r="M149" s="40">
        <v>0.319278662073876</v>
      </c>
      <c r="N149" s="13">
        <v>27.4</v>
      </c>
      <c r="O149" s="44">
        <v>0.191235059760956</v>
      </c>
      <c r="P149" s="4">
        <v>4.39</v>
      </c>
      <c r="Q149" s="40">
        <v>0.597402597402597</v>
      </c>
      <c r="R149" s="4">
        <v>6.87326316842105</v>
      </c>
      <c r="S149" s="40">
        <v>0.409133951545529</v>
      </c>
      <c r="T149" s="10">
        <v>4.9</v>
      </c>
      <c r="U149" s="40">
        <v>0.558823529411765</v>
      </c>
      <c r="V149" s="4">
        <v>0.804166666666667</v>
      </c>
      <c r="W149" s="54">
        <f t="shared" si="4"/>
        <v>0.277585064872</v>
      </c>
      <c r="X149" s="4">
        <v>14.47400005</v>
      </c>
      <c r="Y149" s="40">
        <v>0.378265342817964</v>
      </c>
      <c r="Z149" s="4">
        <v>1.01399999166667</v>
      </c>
      <c r="AA149" s="40">
        <v>0.210999997916667</v>
      </c>
      <c r="AB149" s="9">
        <v>8.361666675</v>
      </c>
      <c r="AC149" s="57">
        <v>0.400187266853933</v>
      </c>
      <c r="AD149" s="9">
        <v>0.244883333333333</v>
      </c>
      <c r="AE149" s="57">
        <f t="shared" si="5"/>
        <v>0.36029458164</v>
      </c>
      <c r="AF149" s="4">
        <v>6.4288583</v>
      </c>
      <c r="AG149" s="70">
        <v>0.148129940476191</v>
      </c>
    </row>
    <row r="150" spans="1:33">
      <c r="A150" s="38">
        <v>45437</v>
      </c>
      <c r="B150" s="1">
        <v>42917</v>
      </c>
      <c r="C150" s="39">
        <v>0.329143681043129</v>
      </c>
      <c r="D150" s="1">
        <v>42728</v>
      </c>
      <c r="E150" s="40">
        <v>0.353571428571429</v>
      </c>
      <c r="F150" s="10">
        <v>96.5</v>
      </c>
      <c r="G150" s="40">
        <v>0.591865357643759</v>
      </c>
      <c r="H150" s="4">
        <v>259.790003458333</v>
      </c>
      <c r="I150" s="40">
        <v>0.734345632555314</v>
      </c>
      <c r="J150" s="4">
        <v>192.975001495833</v>
      </c>
      <c r="K150" s="40">
        <v>0.225695377548081</v>
      </c>
      <c r="L150" s="4">
        <v>35.2560417291666</v>
      </c>
      <c r="M150" s="40">
        <v>0.648571816362116</v>
      </c>
      <c r="N150" s="13">
        <v>26.5</v>
      </c>
      <c r="O150" s="44">
        <v>0.155378486055777</v>
      </c>
      <c r="P150" s="4">
        <v>3.89</v>
      </c>
      <c r="Q150" s="40">
        <v>0.467532467532468</v>
      </c>
      <c r="R150" s="4">
        <v>6.61592502916667</v>
      </c>
      <c r="S150" s="40">
        <v>0.272976205908291</v>
      </c>
      <c r="T150" s="10">
        <v>4.2</v>
      </c>
      <c r="U150" s="40">
        <v>0.352941176470588</v>
      </c>
      <c r="V150" s="4">
        <v>0.4975</v>
      </c>
      <c r="W150" s="54">
        <f t="shared" si="4"/>
        <v>0.16959330998</v>
      </c>
      <c r="X150" s="4">
        <v>13.2123999958333</v>
      </c>
      <c r="Y150" s="40">
        <v>0.335015426665523</v>
      </c>
      <c r="Z150" s="4">
        <v>1.1488333125</v>
      </c>
      <c r="AA150" s="40">
        <v>0.244708328125</v>
      </c>
      <c r="AB150" s="9">
        <v>7.920500025</v>
      </c>
      <c r="AC150" s="57">
        <v>0.350617980337079</v>
      </c>
      <c r="AD150" s="9">
        <v>0.203833333333333</v>
      </c>
      <c r="AE150" s="57">
        <f t="shared" si="5"/>
        <v>0.264968663049</v>
      </c>
      <c r="AF150" s="4">
        <v>6.45755834166667</v>
      </c>
      <c r="AG150" s="70">
        <v>0.165213298611113</v>
      </c>
    </row>
    <row r="151" spans="1:33">
      <c r="A151" s="38">
        <v>45438</v>
      </c>
      <c r="B151" s="1">
        <v>45612</v>
      </c>
      <c r="C151" s="39">
        <v>0.413615847542628</v>
      </c>
      <c r="D151" s="1">
        <v>45241</v>
      </c>
      <c r="E151" s="40">
        <v>0.43028083028083</v>
      </c>
      <c r="F151" s="10">
        <v>96.3</v>
      </c>
      <c r="G151" s="40">
        <v>0.5890603085554</v>
      </c>
      <c r="H151" s="4">
        <v>255.4800052625</v>
      </c>
      <c r="I151" s="40">
        <v>0.680261077456393</v>
      </c>
      <c r="J151" s="4">
        <v>262.424999866666</v>
      </c>
      <c r="K151" s="40">
        <v>0.394702260401202</v>
      </c>
      <c r="L151" s="4">
        <v>24.3460416833333</v>
      </c>
      <c r="M151" s="40">
        <v>0.327027458984182</v>
      </c>
      <c r="N151" s="13">
        <v>26.9</v>
      </c>
      <c r="O151" s="44">
        <v>0.171314741035856</v>
      </c>
      <c r="P151" s="4">
        <v>4.57</v>
      </c>
      <c r="Q151" s="40">
        <v>0.644155844155844</v>
      </c>
      <c r="R151" s="4">
        <v>6.72642500833333</v>
      </c>
      <c r="S151" s="40">
        <v>0.331441803350969</v>
      </c>
      <c r="T151" s="10">
        <v>4.4</v>
      </c>
      <c r="U151" s="40">
        <v>0.411764705882353</v>
      </c>
      <c r="V151" s="4">
        <v>0.797083333333333</v>
      </c>
      <c r="W151" s="54">
        <f t="shared" si="4"/>
        <v>0.275090690099</v>
      </c>
      <c r="X151" s="4">
        <v>9.60353337916666</v>
      </c>
      <c r="Y151" s="40">
        <v>0.211296996200434</v>
      </c>
      <c r="Z151" s="4">
        <v>1.1603333125</v>
      </c>
      <c r="AA151" s="40">
        <v>0.247583328125</v>
      </c>
      <c r="AB151" s="4">
        <v>8.64258334583333</v>
      </c>
      <c r="AC151" s="40">
        <v>0.431750937734082</v>
      </c>
      <c r="AD151" s="4">
        <v>0.183891666666667</v>
      </c>
      <c r="AE151" s="57">
        <f t="shared" si="5"/>
        <v>0.218660314859</v>
      </c>
      <c r="AF151" s="4">
        <v>6.4612917</v>
      </c>
      <c r="AG151" s="70">
        <v>0.167435535714286</v>
      </c>
    </row>
    <row r="152" spans="1:33">
      <c r="A152" s="38">
        <v>45439</v>
      </c>
      <c r="B152" s="1">
        <v>56203</v>
      </c>
      <c r="C152" s="39">
        <v>0.745580491474423</v>
      </c>
      <c r="D152" s="1">
        <v>55990</v>
      </c>
      <c r="E152" s="40">
        <v>0.758394383394383</v>
      </c>
      <c r="F152" s="10">
        <v>96.7</v>
      </c>
      <c r="G152" s="40">
        <v>0.594670406732118</v>
      </c>
      <c r="H152" s="4">
        <v>252.823333733333</v>
      </c>
      <c r="I152" s="40">
        <v>0.646923500230054</v>
      </c>
      <c r="J152" s="4">
        <v>217.649997083333</v>
      </c>
      <c r="K152" s="40">
        <v>0.285742090096447</v>
      </c>
      <c r="L152" s="4">
        <v>32.2893750125</v>
      </c>
      <c r="M152" s="40">
        <v>0.561136899867374</v>
      </c>
      <c r="N152" s="13">
        <v>28.4</v>
      </c>
      <c r="O152" s="44">
        <v>0.231075697211155</v>
      </c>
      <c r="P152" s="4">
        <v>4.16</v>
      </c>
      <c r="Q152" s="40">
        <v>0.537662337662338</v>
      </c>
      <c r="R152" s="4">
        <v>6.6786499875</v>
      </c>
      <c r="S152" s="40">
        <v>0.306164014550265</v>
      </c>
      <c r="T152" s="11">
        <v>4.8</v>
      </c>
      <c r="U152" s="40">
        <v>0.529411764705882</v>
      </c>
      <c r="V152" s="4">
        <v>0.4875</v>
      </c>
      <c r="W152" s="54">
        <f t="shared" si="4"/>
        <v>0.166071839712</v>
      </c>
      <c r="X152" s="4">
        <v>12.6784666791667</v>
      </c>
      <c r="Y152" s="40">
        <v>0.316711233430466</v>
      </c>
      <c r="Z152" s="4">
        <v>1.59716667083333</v>
      </c>
      <c r="AA152" s="40">
        <v>0.356791667708333</v>
      </c>
      <c r="AB152" s="4">
        <v>9.60025005</v>
      </c>
      <c r="AC152" s="40">
        <v>0.539353938202247</v>
      </c>
      <c r="AD152" s="4">
        <v>0.181458333333333</v>
      </c>
      <c r="AE152" s="57">
        <f t="shared" si="5"/>
        <v>0.213009651394</v>
      </c>
      <c r="AF152" s="4">
        <v>6.343575025</v>
      </c>
      <c r="AG152" s="70">
        <v>0.0973660863095239</v>
      </c>
    </row>
    <row r="153" spans="1:33">
      <c r="A153" s="38">
        <v>45440</v>
      </c>
      <c r="B153" s="1">
        <v>44715</v>
      </c>
      <c r="C153" s="39">
        <v>0.385500250752257</v>
      </c>
      <c r="D153" s="1">
        <v>44245</v>
      </c>
      <c r="E153" s="40">
        <v>0.3998778998779</v>
      </c>
      <c r="F153" s="10">
        <v>96.4</v>
      </c>
      <c r="G153" s="40">
        <v>0.590462833099579</v>
      </c>
      <c r="H153" s="4">
        <v>254.293335595833</v>
      </c>
      <c r="I153" s="40">
        <v>0.665370003712298</v>
      </c>
      <c r="J153" s="4">
        <v>218.887499566667</v>
      </c>
      <c r="K153" s="40">
        <v>0.288753557945799</v>
      </c>
      <c r="L153" s="4">
        <v>32.4541666833333</v>
      </c>
      <c r="M153" s="40">
        <v>0.565993713036643</v>
      </c>
      <c r="N153" s="13">
        <v>26.9</v>
      </c>
      <c r="O153" s="44">
        <v>0.171314741035856</v>
      </c>
      <c r="P153" s="4">
        <v>3.76</v>
      </c>
      <c r="Q153" s="40">
        <v>0.433766233766234</v>
      </c>
      <c r="R153" s="4">
        <v>6.42924164583333</v>
      </c>
      <c r="S153" s="40">
        <v>0.174201929012344</v>
      </c>
      <c r="T153" s="10">
        <v>5.1</v>
      </c>
      <c r="U153" s="40">
        <v>0.617647058823529</v>
      </c>
      <c r="V153" s="4">
        <v>0.598333333333333</v>
      </c>
      <c r="W153" s="54">
        <f t="shared" si="4"/>
        <v>0.205101468518</v>
      </c>
      <c r="X153" s="4">
        <v>9.133800025</v>
      </c>
      <c r="Y153" s="40">
        <v>0.195193693006514</v>
      </c>
      <c r="Z153" s="4">
        <v>0.851166666666667</v>
      </c>
      <c r="AA153" s="40">
        <v>0.170291666666667</v>
      </c>
      <c r="AB153" s="4">
        <v>8.93475002916667</v>
      </c>
      <c r="AC153" s="40">
        <v>0.464578654962547</v>
      </c>
      <c r="AD153" s="4">
        <v>0.225508333333333</v>
      </c>
      <c r="AE153" s="57">
        <f t="shared" si="5"/>
        <v>0.315302141379</v>
      </c>
      <c r="AF153" s="4">
        <v>6.38160835</v>
      </c>
      <c r="AG153" s="70">
        <v>0.120004970238095</v>
      </c>
    </row>
    <row r="154" spans="1:33">
      <c r="A154" s="38">
        <v>45441</v>
      </c>
      <c r="B154" s="1">
        <v>51874</v>
      </c>
      <c r="C154" s="39">
        <v>0.609892176529589</v>
      </c>
      <c r="D154" s="1">
        <v>51575</v>
      </c>
      <c r="E154" s="40">
        <v>0.623626373626374</v>
      </c>
      <c r="F154" s="10">
        <v>95.7</v>
      </c>
      <c r="G154" s="40">
        <v>0.580645161290323</v>
      </c>
      <c r="H154" s="4">
        <v>272.816666916667</v>
      </c>
      <c r="I154" s="40">
        <v>0.897812359350821</v>
      </c>
      <c r="J154" s="4">
        <v>226.08750025</v>
      </c>
      <c r="K154" s="40">
        <v>0.306274791935366</v>
      </c>
      <c r="L154" s="4">
        <v>24.9666666666666</v>
      </c>
      <c r="M154" s="40">
        <v>0.345318793594654</v>
      </c>
      <c r="N154" s="13">
        <v>27</v>
      </c>
      <c r="O154" s="44">
        <v>0.175298804780876</v>
      </c>
      <c r="P154" s="4">
        <v>4.33</v>
      </c>
      <c r="Q154" s="40">
        <v>0.581818181818182</v>
      </c>
      <c r="R154" s="4">
        <v>6.55794164583333</v>
      </c>
      <c r="S154" s="40">
        <v>0.242297167107582</v>
      </c>
      <c r="T154" s="10">
        <v>4.7</v>
      </c>
      <c r="U154" s="40">
        <v>0.5</v>
      </c>
      <c r="V154" s="4">
        <v>0.499375</v>
      </c>
      <c r="W154" s="54">
        <f t="shared" si="4"/>
        <v>0.170253585655</v>
      </c>
      <c r="X154" s="4">
        <v>14.5188</v>
      </c>
      <c r="Y154" s="40">
        <v>0.379801165581076</v>
      </c>
      <c r="Z154" s="4">
        <v>0.787166675</v>
      </c>
      <c r="AA154" s="40">
        <v>0.15429166875</v>
      </c>
      <c r="AB154" s="4">
        <v>7.6617500125</v>
      </c>
      <c r="AC154" s="40">
        <v>0.321544945224719</v>
      </c>
      <c r="AD154" s="4">
        <v>0.21425</v>
      </c>
      <c r="AE154" s="57">
        <f t="shared" si="5"/>
        <v>0.28915814706</v>
      </c>
      <c r="AF154" s="4">
        <v>6.43947495833334</v>
      </c>
      <c r="AG154" s="70">
        <v>0.154449379960322</v>
      </c>
    </row>
    <row r="155" spans="1:33">
      <c r="A155" s="38">
        <v>45442</v>
      </c>
      <c r="B155" s="1">
        <v>57604</v>
      </c>
      <c r="C155" s="39">
        <v>0.789493480441324</v>
      </c>
      <c r="D155" s="1">
        <v>57509</v>
      </c>
      <c r="E155" s="40">
        <v>0.804761904761905</v>
      </c>
      <c r="F155" s="1">
        <v>94.8</v>
      </c>
      <c r="G155" s="40">
        <v>0.568022440392707</v>
      </c>
      <c r="H155" s="4">
        <v>274.7300033625</v>
      </c>
      <c r="I155" s="40">
        <v>0.921822102679131</v>
      </c>
      <c r="J155" s="4">
        <v>162.0541706</v>
      </c>
      <c r="K155" s="40">
        <v>0.150449396734237</v>
      </c>
      <c r="L155" s="4">
        <v>32.0095833541666</v>
      </c>
      <c r="M155" s="40">
        <v>0.55289075609097</v>
      </c>
      <c r="N155" s="13">
        <v>25.8</v>
      </c>
      <c r="O155" s="44">
        <v>0.127490039840637</v>
      </c>
      <c r="P155" s="4">
        <v>4.57</v>
      </c>
      <c r="Q155" s="40">
        <v>0.644155844155844</v>
      </c>
      <c r="R155" s="4">
        <v>6.65430834583333</v>
      </c>
      <c r="S155" s="40">
        <v>0.293284839065254</v>
      </c>
      <c r="T155" s="13">
        <v>4.3</v>
      </c>
      <c r="U155" s="40">
        <v>0.382352941176471</v>
      </c>
      <c r="V155" s="4">
        <v>0.384583333333333</v>
      </c>
      <c r="W155" s="54">
        <f t="shared" si="4"/>
        <v>0.129830041534</v>
      </c>
      <c r="X155" s="4">
        <v>16.5572000208333</v>
      </c>
      <c r="Y155" s="40">
        <v>0.449681180007998</v>
      </c>
      <c r="Z155" s="4">
        <v>1.07058334583333</v>
      </c>
      <c r="AA155" s="40">
        <v>0.225145836458332</v>
      </c>
      <c r="AB155" s="4">
        <v>8.01041665833333</v>
      </c>
      <c r="AC155" s="40">
        <v>0.360720972846442</v>
      </c>
      <c r="AD155" s="4">
        <v>0.159816666666667</v>
      </c>
      <c r="AE155" s="57">
        <f t="shared" si="5"/>
        <v>0.162753579413</v>
      </c>
      <c r="AF155" s="4">
        <v>6.3986999625</v>
      </c>
      <c r="AG155" s="70">
        <v>0.130178549107143</v>
      </c>
    </row>
    <row r="156" spans="1:33">
      <c r="A156" s="38">
        <v>45443</v>
      </c>
      <c r="B156" s="1">
        <v>51023</v>
      </c>
      <c r="C156" s="39">
        <v>0.583218405215647</v>
      </c>
      <c r="D156" s="1">
        <v>50911</v>
      </c>
      <c r="E156" s="40">
        <v>0.603357753357753</v>
      </c>
      <c r="F156" s="1">
        <v>95.3</v>
      </c>
      <c r="G156" s="40">
        <v>0.575035063113605</v>
      </c>
      <c r="H156" s="4">
        <v>263.119998933333</v>
      </c>
      <c r="I156" s="40">
        <v>0.776132500104568</v>
      </c>
      <c r="J156" s="4">
        <v>208.324999491667</v>
      </c>
      <c r="K156" s="40">
        <v>0.263049666589606</v>
      </c>
      <c r="L156" s="4">
        <v>25.4006250666666</v>
      </c>
      <c r="M156" s="40">
        <v>0.358108607918261</v>
      </c>
      <c r="N156" s="13">
        <v>27.2</v>
      </c>
      <c r="O156" s="44">
        <v>0.183266932270916</v>
      </c>
      <c r="P156" s="11">
        <v>4.65</v>
      </c>
      <c r="Q156" s="40">
        <v>0.664935064935065</v>
      </c>
      <c r="R156" s="4">
        <v>6.52164177916667</v>
      </c>
      <c r="S156" s="40">
        <v>0.223090888447974</v>
      </c>
      <c r="T156" s="13">
        <v>4.2</v>
      </c>
      <c r="U156" s="40">
        <v>0.352941176470588</v>
      </c>
      <c r="V156" s="4">
        <v>0.89</v>
      </c>
      <c r="W156" s="54">
        <f t="shared" si="4"/>
        <v>0.307811018008</v>
      </c>
      <c r="X156" s="4">
        <v>9.11300008333333</v>
      </c>
      <c r="Y156" s="40">
        <v>0.194480633641869</v>
      </c>
      <c r="Z156" s="4">
        <v>1.7125000125</v>
      </c>
      <c r="AA156" s="40">
        <v>0.385625003125</v>
      </c>
      <c r="AB156" s="4">
        <v>9.26775</v>
      </c>
      <c r="AC156" s="40">
        <v>0.501994382022472</v>
      </c>
      <c r="AD156" s="4">
        <v>0.15405</v>
      </c>
      <c r="AE156" s="57">
        <f t="shared" si="5"/>
        <v>0.149362281064</v>
      </c>
      <c r="AF156" s="4">
        <v>6.30198334583333</v>
      </c>
      <c r="AG156" s="70">
        <v>0.0726091344246013</v>
      </c>
    </row>
    <row r="157" spans="1:33">
      <c r="A157" s="38">
        <v>45444</v>
      </c>
      <c r="B157" s="1">
        <v>51264</v>
      </c>
      <c r="C157" s="39">
        <v>0.590772316950853</v>
      </c>
      <c r="D157" s="1">
        <v>51105</v>
      </c>
      <c r="E157" s="40">
        <v>0.609279609279609</v>
      </c>
      <c r="F157" s="10">
        <v>107.2</v>
      </c>
      <c r="G157" s="40">
        <v>0.741935483870968</v>
      </c>
      <c r="H157" s="4">
        <v>269.2299989</v>
      </c>
      <c r="I157" s="40">
        <v>0.852804604090852</v>
      </c>
      <c r="J157" s="4">
        <v>153.041666666667</v>
      </c>
      <c r="K157" s="40">
        <v>0.128517427947989</v>
      </c>
      <c r="L157" s="4">
        <v>24.18624995</v>
      </c>
      <c r="M157" s="40">
        <v>0.322318006189213</v>
      </c>
      <c r="N157" s="13">
        <v>29.8</v>
      </c>
      <c r="O157" s="44">
        <v>0.286852589641434</v>
      </c>
      <c r="P157" s="4">
        <v>4.38</v>
      </c>
      <c r="Q157" s="40">
        <v>0.594805194805195</v>
      </c>
      <c r="R157" s="4">
        <v>7.96</v>
      </c>
      <c r="S157" s="40">
        <v>0.984126984126984</v>
      </c>
      <c r="T157" s="11">
        <v>4.7</v>
      </c>
      <c r="U157" s="40">
        <v>0.5</v>
      </c>
      <c r="V157" s="4">
        <v>1.68041665833333</v>
      </c>
      <c r="W157" s="54">
        <f t="shared" si="4"/>
        <v>0.586153894192</v>
      </c>
      <c r="X157" s="4">
        <v>7.1708</v>
      </c>
      <c r="Y157" s="40">
        <v>0.127898525882756</v>
      </c>
      <c r="Z157" s="4">
        <v>1.01433332083333</v>
      </c>
      <c r="AA157" s="40">
        <v>0.211083330208333</v>
      </c>
      <c r="AB157" s="9">
        <v>8.98674995416667</v>
      </c>
      <c r="AC157" s="57">
        <v>0.470421343164794</v>
      </c>
      <c r="AD157" s="9">
        <v>0.166775</v>
      </c>
      <c r="AE157" s="57">
        <f t="shared" si="5"/>
        <v>0.178912154732</v>
      </c>
      <c r="AF157" s="4">
        <v>6.79665012916667</v>
      </c>
      <c r="AG157" s="70">
        <v>0.367053648313494</v>
      </c>
    </row>
    <row r="158" spans="1:33">
      <c r="A158" s="38">
        <v>45445</v>
      </c>
      <c r="B158" s="1">
        <v>52019</v>
      </c>
      <c r="C158" s="39">
        <v>0.614437061183551</v>
      </c>
      <c r="D158" s="1">
        <v>51509</v>
      </c>
      <c r="E158" s="40">
        <v>0.621611721611722</v>
      </c>
      <c r="F158" s="10">
        <v>106.3</v>
      </c>
      <c r="G158" s="40">
        <v>0.729312762973352</v>
      </c>
      <c r="H158" s="4">
        <v>261.723333354167</v>
      </c>
      <c r="I158" s="40">
        <v>0.758606266208646</v>
      </c>
      <c r="J158" s="4">
        <v>144.091667816667</v>
      </c>
      <c r="K158" s="40">
        <v>0.106737565562668</v>
      </c>
      <c r="L158" s="4">
        <v>29.736875075</v>
      </c>
      <c r="M158" s="40">
        <v>0.485908490274094</v>
      </c>
      <c r="N158" s="13">
        <v>31.3</v>
      </c>
      <c r="O158" s="44">
        <v>0.346613545816733</v>
      </c>
      <c r="P158" s="4">
        <v>3.28</v>
      </c>
      <c r="Q158" s="40">
        <v>0.309090909090909</v>
      </c>
      <c r="R158" s="4">
        <v>7.94</v>
      </c>
      <c r="S158" s="40">
        <v>0.973544973544974</v>
      </c>
      <c r="T158" s="10">
        <v>6.1</v>
      </c>
      <c r="U158" s="40">
        <v>0.911764705882353</v>
      </c>
      <c r="V158" s="4">
        <v>1.4616666625</v>
      </c>
      <c r="W158" s="54">
        <f t="shared" si="4"/>
        <v>0.509121733541</v>
      </c>
      <c r="X158" s="4">
        <v>16.4948000541666</v>
      </c>
      <c r="Y158" s="40">
        <v>0.447541997057477</v>
      </c>
      <c r="Z158" s="4">
        <v>1.94841669166667</v>
      </c>
      <c r="AA158" s="40">
        <v>0.444604172916668</v>
      </c>
      <c r="AB158" s="9">
        <v>6.22199994583333</v>
      </c>
      <c r="AC158" s="57">
        <v>0.159775274812734</v>
      </c>
      <c r="AD158" s="9">
        <v>0.3284</v>
      </c>
      <c r="AE158" s="57">
        <f t="shared" si="5"/>
        <v>0.554236188646</v>
      </c>
      <c r="AF158" s="4">
        <v>6.515366625</v>
      </c>
      <c r="AG158" s="70">
        <v>0.199622991071429</v>
      </c>
    </row>
    <row r="159" spans="1:33">
      <c r="A159" s="38">
        <v>45446</v>
      </c>
      <c r="B159" s="1">
        <v>53894</v>
      </c>
      <c r="C159" s="39">
        <v>0.673207121364092</v>
      </c>
      <c r="D159" s="1">
        <v>53468</v>
      </c>
      <c r="E159" s="40">
        <v>0.681410256410256</v>
      </c>
      <c r="F159" s="10">
        <v>106.9</v>
      </c>
      <c r="G159" s="40">
        <v>0.737727910238429</v>
      </c>
      <c r="H159" s="4">
        <v>277.503332775</v>
      </c>
      <c r="I159" s="40">
        <v>0.956623576044673</v>
      </c>
      <c r="J159" s="4">
        <v>182.954165625</v>
      </c>
      <c r="K159" s="40">
        <v>0.201309628464702</v>
      </c>
      <c r="L159" s="4">
        <v>26.4568750791666</v>
      </c>
      <c r="M159" s="40">
        <v>0.3892388764859</v>
      </c>
      <c r="N159" s="13">
        <v>30.6</v>
      </c>
      <c r="O159" s="44">
        <v>0.318725099601594</v>
      </c>
      <c r="P159" s="4">
        <v>4.01</v>
      </c>
      <c r="Q159" s="40">
        <v>0.498701298701299</v>
      </c>
      <c r="R159" s="4">
        <v>7.86</v>
      </c>
      <c r="S159" s="40">
        <v>0.931216931216932</v>
      </c>
      <c r="T159" s="10">
        <v>5.8</v>
      </c>
      <c r="U159" s="40">
        <v>0.823529411764706</v>
      </c>
      <c r="V159" s="4">
        <v>1.3056250125</v>
      </c>
      <c r="W159" s="54">
        <f t="shared" si="4"/>
        <v>0.454172130433</v>
      </c>
      <c r="X159" s="4">
        <v>8.22813320416667</v>
      </c>
      <c r="Y159" s="40">
        <v>0.164145807479145</v>
      </c>
      <c r="Z159" s="4">
        <v>1.5690833375</v>
      </c>
      <c r="AA159" s="40">
        <v>0.349770834375</v>
      </c>
      <c r="AB159" s="9">
        <v>11.1022499416666</v>
      </c>
      <c r="AC159" s="57">
        <v>0.708117970973775</v>
      </c>
      <c r="AD159" s="9">
        <v>0.281208333333333</v>
      </c>
      <c r="AE159" s="57">
        <f t="shared" si="5"/>
        <v>0.444648150283</v>
      </c>
      <c r="AF159" s="4">
        <v>6.4657833625</v>
      </c>
      <c r="AG159" s="70">
        <v>0.170109144345238</v>
      </c>
    </row>
    <row r="160" spans="1:33">
      <c r="A160" s="38">
        <v>45447</v>
      </c>
      <c r="B160" s="1">
        <v>51849</v>
      </c>
      <c r="C160" s="39">
        <v>0.609108575727182</v>
      </c>
      <c r="D160" s="1">
        <v>51508</v>
      </c>
      <c r="E160" s="40">
        <v>0.621581196581197</v>
      </c>
      <c r="F160" s="10">
        <v>108.4</v>
      </c>
      <c r="G160" s="40">
        <v>0.758765778401122</v>
      </c>
      <c r="H160" s="4">
        <v>272.9999961875</v>
      </c>
      <c r="I160" s="40">
        <v>0.900112889791693</v>
      </c>
      <c r="J160" s="4">
        <v>153.808332445833</v>
      </c>
      <c r="K160" s="40">
        <v>0.130383112563777</v>
      </c>
      <c r="L160" s="4">
        <v>29.183541725</v>
      </c>
      <c r="M160" s="40">
        <v>0.469600404509284</v>
      </c>
      <c r="N160" s="13">
        <v>31.4</v>
      </c>
      <c r="O160" s="44">
        <v>0.350597609561753</v>
      </c>
      <c r="P160" s="4">
        <v>5.05</v>
      </c>
      <c r="Q160" s="40">
        <v>0.768831168831169</v>
      </c>
      <c r="R160" s="4">
        <v>7.78</v>
      </c>
      <c r="S160" s="40">
        <v>0.888888888888889</v>
      </c>
      <c r="T160" s="10">
        <v>5.5</v>
      </c>
      <c r="U160" s="40">
        <v>0.735294117647059</v>
      </c>
      <c r="V160" s="4">
        <v>1.37250000416667</v>
      </c>
      <c r="W160" s="54">
        <f t="shared" si="4"/>
        <v>0.477721959918</v>
      </c>
      <c r="X160" s="4">
        <v>6.44799995</v>
      </c>
      <c r="Y160" s="40">
        <v>0.103119641755228</v>
      </c>
      <c r="Z160" s="4">
        <v>1.54874998333333</v>
      </c>
      <c r="AA160" s="40">
        <v>0.344687495833333</v>
      </c>
      <c r="AB160" s="9">
        <v>6.72108333333333</v>
      </c>
      <c r="AC160" s="57">
        <v>0.215852059925093</v>
      </c>
      <c r="AD160" s="9">
        <v>0.259175</v>
      </c>
      <c r="AE160" s="57">
        <f t="shared" si="5"/>
        <v>0.393482553703</v>
      </c>
      <c r="AF160" s="4">
        <v>6.458491625</v>
      </c>
      <c r="AG160" s="70">
        <v>0.165768824404762</v>
      </c>
    </row>
    <row r="161" spans="1:33">
      <c r="A161" s="38">
        <v>45448</v>
      </c>
      <c r="B161" s="1">
        <v>46203</v>
      </c>
      <c r="C161" s="39">
        <v>0.432140170511535</v>
      </c>
      <c r="D161" s="1">
        <v>45977</v>
      </c>
      <c r="E161" s="40">
        <v>0.452747252747253</v>
      </c>
      <c r="F161" s="10">
        <v>105.7</v>
      </c>
      <c r="G161" s="40">
        <v>0.720897615708275</v>
      </c>
      <c r="H161" s="4">
        <v>274.479999541667</v>
      </c>
      <c r="I161" s="40">
        <v>0.918684898251562</v>
      </c>
      <c r="J161" s="4">
        <v>191.3708330875</v>
      </c>
      <c r="K161" s="40">
        <v>0.221791626523982</v>
      </c>
      <c r="L161" s="4">
        <v>33.89229165</v>
      </c>
      <c r="M161" s="40">
        <v>0.608378769525494</v>
      </c>
      <c r="N161" s="13">
        <v>33.8</v>
      </c>
      <c r="O161" s="44">
        <v>0.446215139442231</v>
      </c>
      <c r="P161" s="4">
        <v>4.58</v>
      </c>
      <c r="Q161" s="40">
        <v>0.646753246753247</v>
      </c>
      <c r="R161" s="4">
        <v>7.76</v>
      </c>
      <c r="S161" s="40">
        <v>0.878306878306878</v>
      </c>
      <c r="T161" s="10">
        <v>5</v>
      </c>
      <c r="U161" s="40">
        <v>0.588235294117647</v>
      </c>
      <c r="V161" s="4">
        <v>1.3927083375</v>
      </c>
      <c r="W161" s="54">
        <f t="shared" si="4"/>
        <v>0.484838264418</v>
      </c>
      <c r="X161" s="4">
        <v>8.1076666625</v>
      </c>
      <c r="Y161" s="40">
        <v>0.160015998028797</v>
      </c>
      <c r="Z161" s="4">
        <v>1.816833325</v>
      </c>
      <c r="AA161" s="40">
        <v>0.41170833125</v>
      </c>
      <c r="AB161" s="9">
        <v>9.28758324583333</v>
      </c>
      <c r="AC161" s="57">
        <v>0.504222836610487</v>
      </c>
      <c r="AD161" s="9">
        <v>0.2541</v>
      </c>
      <c r="AE161" s="57">
        <f t="shared" si="5"/>
        <v>0.381697437093</v>
      </c>
      <c r="AF161" s="4">
        <v>6.50159999166667</v>
      </c>
      <c r="AG161" s="70">
        <v>0.191428566468256</v>
      </c>
    </row>
    <row r="162" spans="1:33">
      <c r="A162" s="38">
        <v>45449</v>
      </c>
      <c r="B162" s="1">
        <v>47514</v>
      </c>
      <c r="C162" s="39">
        <v>0.473232196589769</v>
      </c>
      <c r="D162" s="1">
        <v>47100</v>
      </c>
      <c r="E162" s="40">
        <v>0.487026862026862</v>
      </c>
      <c r="F162" s="10">
        <v>105.4</v>
      </c>
      <c r="G162" s="40">
        <v>0.716690042075736</v>
      </c>
      <c r="H162" s="4">
        <v>263.363328925</v>
      </c>
      <c r="I162" s="40">
        <v>0.779185957146443</v>
      </c>
      <c r="J162" s="4">
        <v>295.479163808333</v>
      </c>
      <c r="K162" s="40">
        <v>0.475139716760356</v>
      </c>
      <c r="L162" s="4">
        <v>25.2587500208333</v>
      </c>
      <c r="M162" s="40">
        <v>0.353927203679142</v>
      </c>
      <c r="N162" s="13">
        <v>31.6</v>
      </c>
      <c r="O162" s="44">
        <v>0.358565737051793</v>
      </c>
      <c r="P162" s="4">
        <v>3.79267672323982</v>
      </c>
      <c r="Q162" s="40">
        <v>0.442253694348005</v>
      </c>
      <c r="R162" s="4">
        <v>7.81</v>
      </c>
      <c r="S162" s="40">
        <v>0.904761904761905</v>
      </c>
      <c r="T162" s="10">
        <v>5.7</v>
      </c>
      <c r="U162" s="40">
        <v>0.794117647058824</v>
      </c>
      <c r="V162" s="4">
        <v>0.77125004166667</v>
      </c>
      <c r="W162" s="54">
        <f t="shared" si="4"/>
        <v>0.265993573246</v>
      </c>
      <c r="X162" s="4">
        <v>12.2349334666666</v>
      </c>
      <c r="Y162" s="40">
        <v>0.301506118157923</v>
      </c>
      <c r="Z162" s="4">
        <v>2.07024997083333</v>
      </c>
      <c r="AA162" s="40">
        <v>0.475062492708333</v>
      </c>
      <c r="AB162" s="9">
        <v>9.81499989583333</v>
      </c>
      <c r="AC162" s="57">
        <v>0.563483134363295</v>
      </c>
      <c r="AD162" s="9">
        <v>0.269583333333333</v>
      </c>
      <c r="AE162" s="57">
        <f t="shared" si="5"/>
        <v>0.417652686127</v>
      </c>
      <c r="AF162" s="4">
        <v>6.54745000833333</v>
      </c>
      <c r="AG162" s="70">
        <v>0.218720243055554</v>
      </c>
    </row>
    <row r="163" spans="1:33">
      <c r="A163" s="38">
        <v>45450</v>
      </c>
      <c r="B163" s="1">
        <v>43268</v>
      </c>
      <c r="C163" s="39">
        <v>0.340145436308927</v>
      </c>
      <c r="D163" s="1">
        <v>42950</v>
      </c>
      <c r="E163" s="40">
        <v>0.360347985347985</v>
      </c>
      <c r="F163" s="10">
        <v>105.2</v>
      </c>
      <c r="G163" s="40">
        <v>0.713884992987377</v>
      </c>
      <c r="H163" s="4">
        <v>272.0566666875</v>
      </c>
      <c r="I163" s="40">
        <v>0.88827540077174</v>
      </c>
      <c r="J163" s="4">
        <v>180.941666920833</v>
      </c>
      <c r="K163" s="40">
        <v>0.196412203832363</v>
      </c>
      <c r="L163" s="4">
        <v>32.042291675</v>
      </c>
      <c r="M163" s="40">
        <v>0.553854750221043</v>
      </c>
      <c r="N163" s="14">
        <v>32.54</v>
      </c>
      <c r="O163" s="44">
        <v>0.39601593625498</v>
      </c>
      <c r="P163" s="4">
        <v>5.0711384227456</v>
      </c>
      <c r="Q163" s="40">
        <v>0.77432166824561</v>
      </c>
      <c r="R163" s="4">
        <v>7.85</v>
      </c>
      <c r="S163" s="40">
        <v>0.925925925925926</v>
      </c>
      <c r="T163" s="10">
        <v>5.6</v>
      </c>
      <c r="U163" s="40">
        <v>0.764705882352941</v>
      </c>
      <c r="V163" s="4">
        <v>1.60083335416667</v>
      </c>
      <c r="W163" s="54">
        <f t="shared" si="4"/>
        <v>0.558128870245</v>
      </c>
      <c r="X163" s="4">
        <v>31.4617336416667</v>
      </c>
      <c r="Y163" s="40">
        <v>0.960635366529541</v>
      </c>
      <c r="Z163" s="4">
        <v>1.46125000416667</v>
      </c>
      <c r="AA163" s="40">
        <v>0.322812501041668</v>
      </c>
      <c r="AB163" s="9">
        <v>9.96008324583333</v>
      </c>
      <c r="AC163" s="57">
        <v>0.579784634363295</v>
      </c>
      <c r="AD163" s="9">
        <v>0.376866666666667</v>
      </c>
      <c r="AE163" s="57">
        <f t="shared" si="5"/>
        <v>0.666785019852</v>
      </c>
      <c r="AF163" s="4">
        <v>7.26069164166667</v>
      </c>
      <c r="AG163" s="70">
        <v>0.643268834325399</v>
      </c>
    </row>
    <row r="164" spans="1:33">
      <c r="A164" s="38">
        <v>45451</v>
      </c>
      <c r="B164" s="1">
        <v>41052</v>
      </c>
      <c r="C164" s="39">
        <v>0.270687061183551</v>
      </c>
      <c r="D164" s="1">
        <v>40897</v>
      </c>
      <c r="E164" s="40">
        <v>0.297680097680098</v>
      </c>
      <c r="F164" s="10">
        <v>108.7</v>
      </c>
      <c r="G164" s="40">
        <v>0.762973352033661</v>
      </c>
      <c r="H164" s="4">
        <v>280.96000035</v>
      </c>
      <c r="I164" s="40">
        <v>1.00000000439202</v>
      </c>
      <c r="J164" s="4">
        <v>184.141666245833</v>
      </c>
      <c r="K164" s="40">
        <v>0.204199416557158</v>
      </c>
      <c r="L164" s="4">
        <v>29.222708375</v>
      </c>
      <c r="M164" s="40">
        <v>0.47075474137931</v>
      </c>
      <c r="N164" s="13">
        <v>33.7</v>
      </c>
      <c r="O164" s="44">
        <v>0.442231075697211</v>
      </c>
      <c r="P164" s="4">
        <v>3.78376007042431</v>
      </c>
      <c r="Q164" s="40">
        <v>0.439937680629691</v>
      </c>
      <c r="R164" s="4">
        <v>7.92</v>
      </c>
      <c r="S164" s="40">
        <v>0.962962962962963</v>
      </c>
      <c r="T164" s="11">
        <v>5.3</v>
      </c>
      <c r="U164" s="40">
        <v>0.676470588235294</v>
      </c>
      <c r="V164" s="4">
        <v>1.621875025</v>
      </c>
      <c r="W164" s="54">
        <f t="shared" si="4"/>
        <v>0.565538632068</v>
      </c>
      <c r="X164" s="4">
        <v>20.3926667458333</v>
      </c>
      <c r="Y164" s="40">
        <v>0.581167869243514</v>
      </c>
      <c r="Z164" s="4">
        <v>3.15166665</v>
      </c>
      <c r="AA164" s="40">
        <v>0.7454166625</v>
      </c>
      <c r="AB164" s="9">
        <v>10.4777500208333</v>
      </c>
      <c r="AC164" s="57">
        <v>0.637949440543067</v>
      </c>
      <c r="AD164" s="9">
        <v>0.365891666666667</v>
      </c>
      <c r="AE164" s="57">
        <f t="shared" si="5"/>
        <v>0.641298979498</v>
      </c>
      <c r="AF164" s="4">
        <v>7.30753339583333</v>
      </c>
      <c r="AG164" s="70">
        <v>0.671150830853173</v>
      </c>
    </row>
    <row r="165" spans="1:33">
      <c r="A165" s="38">
        <v>45452</v>
      </c>
      <c r="B165" s="1">
        <v>40754</v>
      </c>
      <c r="C165" s="39">
        <v>0.261346539618857</v>
      </c>
      <c r="D165" s="1">
        <v>40432</v>
      </c>
      <c r="E165" s="40">
        <v>0.283485958485958</v>
      </c>
      <c r="F165" s="10">
        <v>106.4</v>
      </c>
      <c r="G165" s="40">
        <v>0.730715287517532</v>
      </c>
      <c r="H165" s="4">
        <v>273.3200028625</v>
      </c>
      <c r="I165" s="40">
        <v>0.904128533849919</v>
      </c>
      <c r="J165" s="4">
        <v>198.362501154166</v>
      </c>
      <c r="K165" s="40">
        <v>0.238805882155516</v>
      </c>
      <c r="L165" s="4">
        <v>28.8764583541666</v>
      </c>
      <c r="M165" s="40">
        <v>0.460549907284604</v>
      </c>
      <c r="N165" s="13">
        <v>28.5</v>
      </c>
      <c r="O165" s="44">
        <v>0.235059760956175</v>
      </c>
      <c r="P165" s="4">
        <v>3.37095814103881</v>
      </c>
      <c r="Q165" s="40">
        <v>0.332716400269821</v>
      </c>
      <c r="R165" s="4">
        <v>7.28</v>
      </c>
      <c r="S165" s="40">
        <v>0.624338624338625</v>
      </c>
      <c r="T165" s="10">
        <v>5.7</v>
      </c>
      <c r="U165" s="40">
        <v>0.794117647058824</v>
      </c>
      <c r="V165" s="4">
        <v>1.24125012083333</v>
      </c>
      <c r="W165" s="54">
        <f t="shared" si="4"/>
        <v>0.431502703731</v>
      </c>
      <c r="X165" s="4">
        <v>3.652999975</v>
      </c>
      <c r="Y165" s="40">
        <v>0.0073020217689407</v>
      </c>
      <c r="Z165" s="4">
        <v>3.35591666666667</v>
      </c>
      <c r="AA165" s="40">
        <v>0.796479166666668</v>
      </c>
      <c r="AB165" s="9">
        <v>9.30558331666667</v>
      </c>
      <c r="AC165" s="57">
        <v>0.506245316479401</v>
      </c>
      <c r="AD165" s="9">
        <v>0.37725</v>
      </c>
      <c r="AE165" s="57">
        <f t="shared" si="5"/>
        <v>0.667675192864</v>
      </c>
      <c r="AF165" s="4">
        <v>7.05407498333333</v>
      </c>
      <c r="AG165" s="70">
        <v>0.520282728174602</v>
      </c>
    </row>
    <row r="166" spans="1:33">
      <c r="A166" s="38">
        <v>45453</v>
      </c>
      <c r="B166" s="1">
        <v>40356</v>
      </c>
      <c r="C166" s="39">
        <v>0.248871614844534</v>
      </c>
      <c r="D166" s="1">
        <v>39677</v>
      </c>
      <c r="E166" s="40">
        <v>0.26043956043956</v>
      </c>
      <c r="F166" s="10">
        <v>105.6</v>
      </c>
      <c r="G166" s="40">
        <v>0.719495091164095</v>
      </c>
      <c r="H166" s="4">
        <v>258.17667135</v>
      </c>
      <c r="I166" s="40">
        <v>0.714100531434308</v>
      </c>
      <c r="J166" s="4">
        <v>176.579165458333</v>
      </c>
      <c r="K166" s="40">
        <v>0.185796036936541</v>
      </c>
      <c r="L166" s="4">
        <v>27.5729166916666</v>
      </c>
      <c r="M166" s="40">
        <v>0.422131349592296</v>
      </c>
      <c r="N166" s="13">
        <v>29.7</v>
      </c>
      <c r="O166" s="44">
        <v>0.282868525896414</v>
      </c>
      <c r="P166" s="4">
        <v>4.87345147507938</v>
      </c>
      <c r="Q166" s="40">
        <v>0.722974409111527</v>
      </c>
      <c r="R166" s="4">
        <v>7.84</v>
      </c>
      <c r="S166" s="40">
        <v>0.920634920634921</v>
      </c>
      <c r="T166" s="10">
        <v>5.9</v>
      </c>
      <c r="U166" s="40">
        <v>0.852941176470588</v>
      </c>
      <c r="V166" s="4">
        <v>1.65791668333333</v>
      </c>
      <c r="W166" s="54">
        <f t="shared" si="4"/>
        <v>0.578230594892</v>
      </c>
      <c r="X166" s="4">
        <v>5.58046667083333</v>
      </c>
      <c r="Y166" s="40">
        <v>0.0733790425379955</v>
      </c>
      <c r="Z166" s="4">
        <v>2.82099998333333</v>
      </c>
      <c r="AA166" s="40">
        <v>0.662749995833332</v>
      </c>
      <c r="AB166" s="9">
        <v>7.9285832875</v>
      </c>
      <c r="AC166" s="57">
        <v>0.351526212078652</v>
      </c>
      <c r="AD166" s="9">
        <v>0.379816666666667</v>
      </c>
      <c r="AE166" s="57">
        <f t="shared" si="5"/>
        <v>0.673635481724</v>
      </c>
      <c r="AF166" s="4">
        <v>7.10954994166667</v>
      </c>
      <c r="AG166" s="70">
        <v>0.553303536706352</v>
      </c>
    </row>
    <row r="167" spans="1:33">
      <c r="A167" s="38">
        <v>45454</v>
      </c>
      <c r="B167" s="1">
        <v>42546</v>
      </c>
      <c r="C167" s="39">
        <v>0.317515045135406</v>
      </c>
      <c r="D167" s="1">
        <v>42117</v>
      </c>
      <c r="E167" s="40">
        <v>0.334920634920635</v>
      </c>
      <c r="F167" s="10">
        <v>107.2</v>
      </c>
      <c r="G167" s="40">
        <v>0.741935483870968</v>
      </c>
      <c r="H167" s="4">
        <v>257.546669</v>
      </c>
      <c r="I167" s="40">
        <v>0.706194867611996</v>
      </c>
      <c r="J167" s="4">
        <v>138.091666854167</v>
      </c>
      <c r="K167" s="40">
        <v>0.0921365362815248</v>
      </c>
      <c r="L167" s="4">
        <v>24.2216666083333</v>
      </c>
      <c r="M167" s="40">
        <v>0.323361821642597</v>
      </c>
      <c r="N167" s="13">
        <v>28.4</v>
      </c>
      <c r="O167" s="44">
        <v>0.231075697211155</v>
      </c>
      <c r="P167" s="4">
        <v>4.42214381027783</v>
      </c>
      <c r="Q167" s="40">
        <v>0.605751639033203</v>
      </c>
      <c r="R167" s="4">
        <v>7.98</v>
      </c>
      <c r="S167" s="40">
        <v>0.994708994708995</v>
      </c>
      <c r="T167" s="10">
        <v>6</v>
      </c>
      <c r="U167" s="40">
        <v>0.882352941176471</v>
      </c>
      <c r="V167" s="4">
        <v>1.06062497083333</v>
      </c>
      <c r="W167" s="54">
        <f t="shared" si="4"/>
        <v>0.367896094189</v>
      </c>
      <c r="X167" s="4">
        <v>12.4089335041667</v>
      </c>
      <c r="Y167" s="40">
        <v>0.3074711520112</v>
      </c>
      <c r="Z167" s="4">
        <v>2.902083275</v>
      </c>
      <c r="AA167" s="40">
        <v>0.68302081875</v>
      </c>
      <c r="AB167" s="9">
        <v>12.7734166583333</v>
      </c>
      <c r="AC167" s="57">
        <v>0.895889512172281</v>
      </c>
      <c r="AD167" s="9">
        <v>0.3081666625</v>
      </c>
      <c r="AE167" s="57">
        <f t="shared" si="5"/>
        <v>0.507250525227</v>
      </c>
      <c r="AF167" s="4">
        <v>7.20107497916667</v>
      </c>
      <c r="AG167" s="70">
        <v>0.607782725694446</v>
      </c>
    </row>
    <row r="168" spans="1:33">
      <c r="A168" s="38">
        <v>45455</v>
      </c>
      <c r="B168" s="1">
        <v>42659</v>
      </c>
      <c r="C168" s="39">
        <v>0.321056920762287</v>
      </c>
      <c r="D168" s="1">
        <v>42240</v>
      </c>
      <c r="E168" s="40">
        <v>0.338675213675214</v>
      </c>
      <c r="F168" s="10">
        <v>106.2</v>
      </c>
      <c r="G168" s="40">
        <v>0.727910238429173</v>
      </c>
      <c r="H168" s="4">
        <v>254.760004675</v>
      </c>
      <c r="I168" s="40">
        <v>0.671226059417744</v>
      </c>
      <c r="J168" s="4">
        <v>172.737500516667</v>
      </c>
      <c r="K168" s="40">
        <v>0.176447328052629</v>
      </c>
      <c r="L168" s="4">
        <v>26.1408333833333</v>
      </c>
      <c r="M168" s="40">
        <v>0.379924355535906</v>
      </c>
      <c r="N168" s="14">
        <v>29.54</v>
      </c>
      <c r="O168" s="44">
        <v>0.276494023904382</v>
      </c>
      <c r="P168" s="4">
        <v>3.55709354069537</v>
      </c>
      <c r="Q168" s="40">
        <v>0.381063257323473</v>
      </c>
      <c r="R168" s="4">
        <v>7.73</v>
      </c>
      <c r="S168" s="40">
        <v>0.862433862433863</v>
      </c>
      <c r="T168" s="10">
        <v>6.2</v>
      </c>
      <c r="U168" s="40">
        <v>0.941176470588235</v>
      </c>
      <c r="V168" s="4">
        <v>1.65375000416667</v>
      </c>
      <c r="W168" s="54">
        <f t="shared" si="4"/>
        <v>0.576763311212</v>
      </c>
      <c r="X168" s="4">
        <v>26.3579334625</v>
      </c>
      <c r="Y168" s="40">
        <v>0.785667928093932</v>
      </c>
      <c r="Z168" s="4">
        <v>1.375249975</v>
      </c>
      <c r="AA168" s="40">
        <v>0.30131249375</v>
      </c>
      <c r="AB168" s="9">
        <v>12.7512499208333</v>
      </c>
      <c r="AC168" s="57">
        <v>0.89339886750936</v>
      </c>
      <c r="AD168" s="9">
        <v>0.204733333333333</v>
      </c>
      <c r="AE168" s="57">
        <f t="shared" si="5"/>
        <v>0.267058634468</v>
      </c>
      <c r="AF168" s="4">
        <v>7.278366625</v>
      </c>
      <c r="AG168" s="70">
        <v>0.653789657738096</v>
      </c>
    </row>
    <row r="169" spans="1:33">
      <c r="A169" s="38">
        <v>45456</v>
      </c>
      <c r="B169" s="1">
        <v>37816</v>
      </c>
      <c r="C169" s="39">
        <v>0.16925777331996</v>
      </c>
      <c r="D169" s="1">
        <v>37169</v>
      </c>
      <c r="E169" s="40">
        <v>0.183882783882784</v>
      </c>
      <c r="F169" s="10">
        <v>105.5</v>
      </c>
      <c r="G169" s="40">
        <v>0.718092566619916</v>
      </c>
      <c r="H169" s="4">
        <v>261.2333367625</v>
      </c>
      <c r="I169" s="40">
        <v>0.752457482275066</v>
      </c>
      <c r="J169" s="4">
        <v>184.991667745833</v>
      </c>
      <c r="K169" s="40">
        <v>0.206267899023758</v>
      </c>
      <c r="L169" s="4">
        <v>32.991666675</v>
      </c>
      <c r="M169" s="40">
        <v>0.581835151046272</v>
      </c>
      <c r="N169" s="13">
        <v>30.2</v>
      </c>
      <c r="O169" s="44">
        <v>0.302788844621514</v>
      </c>
      <c r="P169" s="4">
        <v>5.89469640803306</v>
      </c>
      <c r="Q169" s="40">
        <v>0.98823283325534</v>
      </c>
      <c r="R169" s="4">
        <v>7.79</v>
      </c>
      <c r="S169" s="40">
        <v>0.894179894179894</v>
      </c>
      <c r="T169" s="10">
        <v>6.3</v>
      </c>
      <c r="U169" s="40">
        <v>0.970588235294118</v>
      </c>
      <c r="V169" s="4">
        <v>1.56145835833333</v>
      </c>
      <c r="W169" s="54">
        <f t="shared" si="4"/>
        <v>0.544263082531</v>
      </c>
      <c r="X169" s="4">
        <v>25.7737997166667</v>
      </c>
      <c r="Y169" s="40">
        <v>0.76564277396869</v>
      </c>
      <c r="Z169" s="4">
        <v>3.18008333333333</v>
      </c>
      <c r="AA169" s="40">
        <v>0.752520833333333</v>
      </c>
      <c r="AB169" s="9">
        <v>12.893083325</v>
      </c>
      <c r="AC169" s="57">
        <v>0.90933520505618</v>
      </c>
      <c r="AD169" s="9">
        <v>0.36325</v>
      </c>
      <c r="AE169" s="57">
        <f t="shared" si="5"/>
        <v>0.635164526353</v>
      </c>
      <c r="AF169" s="4">
        <v>7.22674164583334</v>
      </c>
      <c r="AG169" s="70">
        <v>0.623060503472227</v>
      </c>
    </row>
    <row r="170" spans="1:33">
      <c r="A170" s="38">
        <v>45457</v>
      </c>
      <c r="B170" s="1">
        <v>39547</v>
      </c>
      <c r="C170" s="39">
        <v>0.223514292878636</v>
      </c>
      <c r="D170" s="1">
        <v>39039</v>
      </c>
      <c r="E170" s="40">
        <v>0.240964590964591</v>
      </c>
      <c r="F170" s="10">
        <v>107.3</v>
      </c>
      <c r="G170" s="40">
        <v>0.743338008415147</v>
      </c>
      <c r="H170" s="4">
        <v>251.586668654167</v>
      </c>
      <c r="I170" s="40">
        <v>0.631405052756519</v>
      </c>
      <c r="J170" s="4">
        <v>140.6666671375</v>
      </c>
      <c r="K170" s="40">
        <v>0.0984028110322926</v>
      </c>
      <c r="L170" s="4">
        <v>22.2254166625</v>
      </c>
      <c r="M170" s="40">
        <v>0.264527458370174</v>
      </c>
      <c r="N170" s="13">
        <v>29.7</v>
      </c>
      <c r="O170" s="44">
        <v>0.282868525896414</v>
      </c>
      <c r="P170" s="4">
        <v>4.40102734012212</v>
      </c>
      <c r="Q170" s="40">
        <v>0.600266841590161</v>
      </c>
      <c r="R170" s="4">
        <v>7.81</v>
      </c>
      <c r="S170" s="40">
        <v>0.904761904761905</v>
      </c>
      <c r="T170" s="10">
        <v>5.8</v>
      </c>
      <c r="U170" s="40">
        <v>0.823529411764706</v>
      </c>
      <c r="V170" s="4">
        <v>1.66270835</v>
      </c>
      <c r="W170" s="54">
        <f t="shared" si="4"/>
        <v>0.579917966062</v>
      </c>
      <c r="X170" s="4">
        <v>17.1136000666666</v>
      </c>
      <c r="Y170" s="40">
        <v>0.46875557307736</v>
      </c>
      <c r="Z170" s="4">
        <v>2.64300001666667</v>
      </c>
      <c r="AA170" s="40">
        <v>0.618250004166668</v>
      </c>
      <c r="AB170" s="9">
        <v>11.2284166416667</v>
      </c>
      <c r="AC170" s="57">
        <v>0.722294004681652</v>
      </c>
      <c r="AD170" s="9">
        <v>0.337733333333333</v>
      </c>
      <c r="AE170" s="57">
        <f t="shared" si="5"/>
        <v>0.57590996632</v>
      </c>
      <c r="AF170" s="4">
        <v>7.22674160833333</v>
      </c>
      <c r="AG170" s="70">
        <v>0.623060481150792</v>
      </c>
    </row>
    <row r="171" spans="1:33">
      <c r="A171" s="38">
        <v>45458</v>
      </c>
      <c r="B171" s="1">
        <v>40658</v>
      </c>
      <c r="C171" s="39">
        <v>0.258337512537613</v>
      </c>
      <c r="D171" s="1">
        <v>40145</v>
      </c>
      <c r="E171" s="40">
        <v>0.274725274725275</v>
      </c>
      <c r="F171" s="10">
        <v>104.8</v>
      </c>
      <c r="G171" s="40">
        <v>0.708274894810659</v>
      </c>
      <c r="H171" s="4">
        <v>265.539999629167</v>
      </c>
      <c r="I171" s="40">
        <v>0.806500183575945</v>
      </c>
      <c r="J171" s="4">
        <v>189.8458334625</v>
      </c>
      <c r="K171" s="40">
        <v>0.218080533089577</v>
      </c>
      <c r="L171" s="4">
        <v>32.0191666458333</v>
      </c>
      <c r="M171" s="40">
        <v>0.553173199110914</v>
      </c>
      <c r="N171" s="13">
        <v>28.6</v>
      </c>
      <c r="O171" s="44">
        <v>0.239043824701195</v>
      </c>
      <c r="P171" s="4">
        <v>5.93723505150405</v>
      </c>
      <c r="Q171" s="40">
        <v>0.999281831559494</v>
      </c>
      <c r="R171" s="4">
        <v>7.76</v>
      </c>
      <c r="S171" s="40">
        <v>0.878306878306878</v>
      </c>
      <c r="T171" s="11">
        <v>5.9</v>
      </c>
      <c r="U171" s="40">
        <v>0.852941176470588</v>
      </c>
      <c r="V171" s="4">
        <v>1.58479168333333</v>
      </c>
      <c r="W171" s="54">
        <f t="shared" si="4"/>
        <v>0.552479843555</v>
      </c>
      <c r="X171" s="4">
        <v>17.7202667625</v>
      </c>
      <c r="Y171" s="40">
        <v>0.489553197206034</v>
      </c>
      <c r="Z171" s="4">
        <v>1.06558334166667</v>
      </c>
      <c r="AA171" s="40">
        <v>0.223895835416667</v>
      </c>
      <c r="AB171" s="9">
        <v>9.8319167375</v>
      </c>
      <c r="AC171" s="57">
        <v>0.565383903089888</v>
      </c>
      <c r="AD171" s="9">
        <v>0.291025</v>
      </c>
      <c r="AE171" s="57">
        <f t="shared" si="5"/>
        <v>0.467444320015</v>
      </c>
      <c r="AF171" s="4">
        <v>7.2171166375</v>
      </c>
      <c r="AG171" s="70">
        <v>0.617331331845238</v>
      </c>
    </row>
    <row r="172" spans="1:33">
      <c r="A172" s="38">
        <v>45459</v>
      </c>
      <c r="B172" s="1">
        <v>43689</v>
      </c>
      <c r="C172" s="39">
        <v>0.353341273821464</v>
      </c>
      <c r="D172" s="1">
        <v>43258</v>
      </c>
      <c r="E172" s="40">
        <v>0.369749694749695</v>
      </c>
      <c r="F172" s="10">
        <v>103.6</v>
      </c>
      <c r="G172" s="40">
        <v>0.691444600280505</v>
      </c>
      <c r="H172" s="4">
        <v>254.2900002875</v>
      </c>
      <c r="I172" s="40">
        <v>0.665328150175681</v>
      </c>
      <c r="J172" s="4">
        <v>138.083332379166</v>
      </c>
      <c r="K172" s="40">
        <v>0.0921162542991896</v>
      </c>
      <c r="L172" s="4">
        <v>31.61729165</v>
      </c>
      <c r="M172" s="40">
        <v>0.541328961096375</v>
      </c>
      <c r="N172" s="13">
        <v>30.5</v>
      </c>
      <c r="O172" s="44">
        <v>0.314741035856574</v>
      </c>
      <c r="P172" s="4">
        <v>4.65037408236009</v>
      </c>
      <c r="Q172" s="40">
        <v>0.665032229184439</v>
      </c>
      <c r="R172" s="4">
        <v>7.85</v>
      </c>
      <c r="S172" s="40">
        <v>0.925925925925926</v>
      </c>
      <c r="T172" s="10">
        <v>5.5</v>
      </c>
      <c r="U172" s="40">
        <v>0.735294117647059</v>
      </c>
      <c r="V172" s="4">
        <v>0.94125</v>
      </c>
      <c r="W172" s="54">
        <f t="shared" si="4"/>
        <v>0.325858553133</v>
      </c>
      <c r="X172" s="4">
        <v>7.40220009583333</v>
      </c>
      <c r="Y172" s="40">
        <v>0.135831336847217</v>
      </c>
      <c r="Z172" s="4">
        <v>0.68425</v>
      </c>
      <c r="AA172" s="40">
        <v>0.1285625</v>
      </c>
      <c r="AB172" s="9">
        <v>11.036416725</v>
      </c>
      <c r="AC172" s="57">
        <v>0.700720980337079</v>
      </c>
      <c r="AD172" s="9">
        <v>0.243216666666667</v>
      </c>
      <c r="AE172" s="57">
        <f t="shared" si="5"/>
        <v>0.356424264198</v>
      </c>
      <c r="AF172" s="4">
        <v>6.5164332375</v>
      </c>
      <c r="AG172" s="70">
        <v>0.200257879464286</v>
      </c>
    </row>
    <row r="173" spans="1:33">
      <c r="A173" s="38">
        <v>45460</v>
      </c>
      <c r="B173" s="1">
        <v>43987</v>
      </c>
      <c r="C173" s="39">
        <v>0.362681795386158</v>
      </c>
      <c r="D173" s="1">
        <v>43436</v>
      </c>
      <c r="E173" s="40">
        <v>0.37518315018315</v>
      </c>
      <c r="F173" s="10">
        <v>104.3</v>
      </c>
      <c r="G173" s="40">
        <v>0.701262272089762</v>
      </c>
      <c r="H173" s="4">
        <v>259.946666720833</v>
      </c>
      <c r="I173" s="40">
        <v>0.736311541232689</v>
      </c>
      <c r="J173" s="4">
        <v>164.1999995</v>
      </c>
      <c r="K173" s="40">
        <v>0.155671280996763</v>
      </c>
      <c r="L173" s="4">
        <v>29.5429166791666</v>
      </c>
      <c r="M173" s="40">
        <v>0.480192062457017</v>
      </c>
      <c r="N173" s="13">
        <v>31.6</v>
      </c>
      <c r="O173" s="44">
        <v>0.358565737051793</v>
      </c>
      <c r="P173" s="4">
        <v>3.76713159843109</v>
      </c>
      <c r="Q173" s="40">
        <v>0.435618596995088</v>
      </c>
      <c r="R173" s="4">
        <v>7.65</v>
      </c>
      <c r="S173" s="40">
        <v>0.820105820105821</v>
      </c>
      <c r="T173" s="10">
        <v>5.7</v>
      </c>
      <c r="U173" s="40">
        <v>0.794117647058824</v>
      </c>
      <c r="V173" s="4">
        <v>1.59812499583333</v>
      </c>
      <c r="W173" s="54">
        <f t="shared" si="4"/>
        <v>0.55717512991</v>
      </c>
      <c r="X173" s="4">
        <v>19.1637333</v>
      </c>
      <c r="Y173" s="40">
        <v>0.539037823105931</v>
      </c>
      <c r="Z173" s="4">
        <v>1.113916675</v>
      </c>
      <c r="AA173" s="40">
        <v>0.23597916875</v>
      </c>
      <c r="AB173" s="9">
        <v>10.0102499541667</v>
      </c>
      <c r="AC173" s="57">
        <v>0.585421343164798</v>
      </c>
      <c r="AD173" s="9">
        <v>0.242783333333333</v>
      </c>
      <c r="AE173" s="57">
        <f t="shared" si="5"/>
        <v>0.355417981663</v>
      </c>
      <c r="AF173" s="4">
        <v>7.86579992916667</v>
      </c>
      <c r="AG173" s="70">
        <v>1.00345233878968</v>
      </c>
    </row>
    <row r="174" spans="1:33">
      <c r="A174" s="38">
        <v>45461</v>
      </c>
      <c r="B174" s="1">
        <v>44659</v>
      </c>
      <c r="C174" s="39">
        <v>0.383744984954865</v>
      </c>
      <c r="D174" s="1">
        <v>44011</v>
      </c>
      <c r="E174" s="40">
        <v>0.392735042735043</v>
      </c>
      <c r="F174" s="10">
        <v>105.5</v>
      </c>
      <c r="G174" s="40">
        <v>0.718092566619916</v>
      </c>
      <c r="H174" s="4">
        <v>260.3866678875</v>
      </c>
      <c r="I174" s="40">
        <v>0.74183295127996</v>
      </c>
      <c r="J174" s="4">
        <v>176.7666676875</v>
      </c>
      <c r="K174" s="40">
        <v>0.18625232445307</v>
      </c>
      <c r="L174" s="4">
        <v>27.580625</v>
      </c>
      <c r="M174" s="40">
        <v>0.422358532272325</v>
      </c>
      <c r="N174" s="13">
        <v>32.7</v>
      </c>
      <c r="O174" s="44">
        <v>0.402390438247012</v>
      </c>
      <c r="P174" s="6">
        <v>4.37</v>
      </c>
      <c r="Q174" s="40">
        <v>0.592207792207792</v>
      </c>
      <c r="R174" s="4">
        <v>7.85</v>
      </c>
      <c r="S174" s="40">
        <v>0.925925925925926</v>
      </c>
      <c r="T174" s="10">
        <v>5.8</v>
      </c>
      <c r="U174" s="40">
        <v>0.823529411764706</v>
      </c>
      <c r="V174" s="4">
        <v>1.498541675</v>
      </c>
      <c r="W174" s="54">
        <f t="shared" si="4"/>
        <v>0.522107159557</v>
      </c>
      <c r="X174" s="4">
        <v>8.87726668333333</v>
      </c>
      <c r="Y174" s="40">
        <v>0.186399269226374</v>
      </c>
      <c r="Z174" s="4">
        <v>0.6765</v>
      </c>
      <c r="AA174" s="40">
        <v>0.126625</v>
      </c>
      <c r="AB174" s="9">
        <v>11.9419999041667</v>
      </c>
      <c r="AC174" s="57">
        <v>0.802471899344573</v>
      </c>
      <c r="AD174" s="9">
        <v>0.239908333333333</v>
      </c>
      <c r="AE174" s="57">
        <f t="shared" si="5"/>
        <v>0.348741684076</v>
      </c>
      <c r="AF174" s="4">
        <v>6.9268667125</v>
      </c>
      <c r="AG174" s="70">
        <v>0.444563519345238</v>
      </c>
    </row>
    <row r="175" spans="1:33">
      <c r="A175" s="38">
        <v>45462</v>
      </c>
      <c r="B175" s="1">
        <v>52179</v>
      </c>
      <c r="C175" s="39">
        <v>0.619452106318957</v>
      </c>
      <c r="D175" s="1">
        <v>51938</v>
      </c>
      <c r="E175" s="40">
        <v>0.63470695970696</v>
      </c>
      <c r="F175" s="10">
        <v>106.1</v>
      </c>
      <c r="G175" s="40">
        <v>0.726507713884993</v>
      </c>
      <c r="H175" s="4">
        <v>268.510005954167</v>
      </c>
      <c r="I175" s="40">
        <v>0.843769681944623</v>
      </c>
      <c r="J175" s="4">
        <v>165.1375017125</v>
      </c>
      <c r="K175" s="40">
        <v>0.157952696840094</v>
      </c>
      <c r="L175" s="4">
        <v>27.8316666625</v>
      </c>
      <c r="M175" s="40">
        <v>0.429757343427645</v>
      </c>
      <c r="N175" s="13">
        <v>30.9</v>
      </c>
      <c r="O175" s="44">
        <v>0.330677290836653</v>
      </c>
      <c r="P175" s="6">
        <v>3.74</v>
      </c>
      <c r="Q175" s="40">
        <v>0.428571428571429</v>
      </c>
      <c r="R175" s="4">
        <v>7.92</v>
      </c>
      <c r="S175" s="40">
        <v>0.962962962962963</v>
      </c>
      <c r="T175" s="11">
        <v>5.2</v>
      </c>
      <c r="U175" s="40">
        <v>0.647058823529412</v>
      </c>
      <c r="V175" s="4">
        <v>1.68041665833333</v>
      </c>
      <c r="W175" s="54">
        <f t="shared" si="4"/>
        <v>0.586153894192</v>
      </c>
      <c r="X175" s="4">
        <v>10.458066625</v>
      </c>
      <c r="Y175" s="40">
        <v>0.24059193092218</v>
      </c>
      <c r="Z175" s="4">
        <v>1.41383332083333</v>
      </c>
      <c r="AA175" s="40">
        <v>0.310958330208333</v>
      </c>
      <c r="AB175" s="9">
        <v>11.6861667625</v>
      </c>
      <c r="AC175" s="57">
        <v>0.77372660252809</v>
      </c>
      <c r="AD175" s="9">
        <v>0.259575</v>
      </c>
      <c r="AE175" s="57">
        <f t="shared" si="5"/>
        <v>0.394411429889</v>
      </c>
      <c r="AF175" s="4">
        <v>7.10733338333333</v>
      </c>
      <c r="AG175" s="70">
        <v>0.55198415674603</v>
      </c>
    </row>
    <row r="176" spans="1:33">
      <c r="A176" s="38">
        <v>45463</v>
      </c>
      <c r="B176" s="1">
        <v>52346</v>
      </c>
      <c r="C176" s="39">
        <v>0.624686559679037</v>
      </c>
      <c r="D176" s="1">
        <v>51790</v>
      </c>
      <c r="E176" s="40">
        <v>0.630189255189255</v>
      </c>
      <c r="F176" s="10">
        <v>109.7</v>
      </c>
      <c r="G176" s="40">
        <v>0.776998597475456</v>
      </c>
      <c r="H176" s="4">
        <v>261.466664641667</v>
      </c>
      <c r="I176" s="40">
        <v>0.755385426548714</v>
      </c>
      <c r="J176" s="4">
        <v>143.712499304167</v>
      </c>
      <c r="K176" s="40">
        <v>0.105814857285102</v>
      </c>
      <c r="L176" s="4">
        <v>31.30645835</v>
      </c>
      <c r="M176" s="40">
        <v>0.532167944297082</v>
      </c>
      <c r="N176" s="13">
        <v>28.6</v>
      </c>
      <c r="O176" s="44">
        <v>0.239043824701195</v>
      </c>
      <c r="P176" s="6">
        <v>4.13</v>
      </c>
      <c r="Q176" s="40">
        <v>0.52987012987013</v>
      </c>
      <c r="R176" s="4">
        <v>7.79</v>
      </c>
      <c r="S176" s="40">
        <v>0.894179894179894</v>
      </c>
      <c r="T176" s="10">
        <v>4.9</v>
      </c>
      <c r="U176" s="40">
        <v>0.558823529411765</v>
      </c>
      <c r="V176" s="4">
        <v>1.4616666625</v>
      </c>
      <c r="W176" s="54">
        <f t="shared" si="4"/>
        <v>0.509121733541</v>
      </c>
      <c r="X176" s="4">
        <v>9.00640006666667</v>
      </c>
      <c r="Y176" s="40">
        <v>0.190826193577877</v>
      </c>
      <c r="Z176" s="4">
        <v>0.572583333333334</v>
      </c>
      <c r="AA176" s="40">
        <v>0.100645833333333</v>
      </c>
      <c r="AB176" s="9">
        <v>8.35650002916667</v>
      </c>
      <c r="AC176" s="57">
        <v>0.399606744850188</v>
      </c>
      <c r="AD176" s="9">
        <v>0.259975</v>
      </c>
      <c r="AE176" s="57">
        <f t="shared" si="5"/>
        <v>0.395340306075</v>
      </c>
      <c r="AF176" s="4">
        <v>7.04701673333333</v>
      </c>
      <c r="AG176" s="70">
        <v>0.516081388888887</v>
      </c>
    </row>
    <row r="177" spans="1:33">
      <c r="A177" s="38">
        <v>45464</v>
      </c>
      <c r="B177" s="1">
        <v>44856</v>
      </c>
      <c r="C177" s="39">
        <v>0.389919759277834</v>
      </c>
      <c r="D177" s="1">
        <v>44359</v>
      </c>
      <c r="E177" s="40">
        <v>0.403357753357753</v>
      </c>
      <c r="F177" s="10">
        <v>110.8</v>
      </c>
      <c r="G177" s="40">
        <v>0.792426367461431</v>
      </c>
      <c r="H177" s="4">
        <v>253.526668545833</v>
      </c>
      <c r="I177" s="40">
        <v>0.655749385692471</v>
      </c>
      <c r="J177" s="4">
        <v>200.108334704167</v>
      </c>
      <c r="K177" s="40">
        <v>0.243054375937914</v>
      </c>
      <c r="L177" s="4">
        <v>20.5806250041666</v>
      </c>
      <c r="M177" s="40">
        <v>0.216051429536298</v>
      </c>
      <c r="N177" s="13">
        <v>29.4</v>
      </c>
      <c r="O177" s="44">
        <v>0.270916334661354</v>
      </c>
      <c r="P177" s="6">
        <v>3.43</v>
      </c>
      <c r="Q177" s="40">
        <v>0.348051948051948</v>
      </c>
      <c r="R177" s="4">
        <v>7.92</v>
      </c>
      <c r="S177" s="40">
        <v>0.962962962962963</v>
      </c>
      <c r="T177" s="10">
        <v>6.1</v>
      </c>
      <c r="U177" s="40">
        <v>0.911764705882353</v>
      </c>
      <c r="V177" s="4">
        <v>1.3056250125</v>
      </c>
      <c r="W177" s="54">
        <f t="shared" si="4"/>
        <v>0.454172130433</v>
      </c>
      <c r="X177" s="4">
        <v>15.1402000041666</v>
      </c>
      <c r="Y177" s="40">
        <v>0.401103873985828</v>
      </c>
      <c r="Z177" s="4">
        <v>0.507666675</v>
      </c>
      <c r="AA177" s="40">
        <v>0.08441666875</v>
      </c>
      <c r="AB177" s="9">
        <v>9.46224995</v>
      </c>
      <c r="AC177" s="57">
        <v>0.523848308988764</v>
      </c>
      <c r="AD177" s="9">
        <v>0.253975</v>
      </c>
      <c r="AE177" s="57">
        <f t="shared" si="5"/>
        <v>0.381407163284</v>
      </c>
      <c r="AF177" s="4">
        <v>7.08662503333333</v>
      </c>
      <c r="AG177" s="70">
        <v>0.539657757936506</v>
      </c>
    </row>
    <row r="178" spans="1:33">
      <c r="A178" s="38">
        <v>45465</v>
      </c>
      <c r="B178" s="1">
        <v>51684</v>
      </c>
      <c r="C178" s="39">
        <v>0.603936810431294</v>
      </c>
      <c r="D178" s="1">
        <v>51230</v>
      </c>
      <c r="E178" s="40">
        <v>0.613095238095238</v>
      </c>
      <c r="F178" s="10">
        <v>110.6</v>
      </c>
      <c r="G178" s="40">
        <v>0.789621318373071</v>
      </c>
      <c r="H178" s="4">
        <v>261.960000358333</v>
      </c>
      <c r="I178" s="40">
        <v>0.761576111912824</v>
      </c>
      <c r="J178" s="4">
        <v>174.937501283333</v>
      </c>
      <c r="K178" s="40">
        <v>0.181801039795909</v>
      </c>
      <c r="L178" s="4">
        <v>30.6991666666666</v>
      </c>
      <c r="M178" s="40">
        <v>0.5142695746144</v>
      </c>
      <c r="N178" s="13">
        <v>31.5</v>
      </c>
      <c r="O178" s="44">
        <v>0.354581673306773</v>
      </c>
      <c r="P178" s="6">
        <v>5.05</v>
      </c>
      <c r="Q178" s="40">
        <v>0.768831168831169</v>
      </c>
      <c r="R178" s="4">
        <v>7.96</v>
      </c>
      <c r="S178" s="40">
        <v>0.984126984126984</v>
      </c>
      <c r="T178" s="10">
        <v>6.2</v>
      </c>
      <c r="U178" s="40">
        <v>0.941176470588235</v>
      </c>
      <c r="V178" s="4">
        <v>1.37250000416667</v>
      </c>
      <c r="W178" s="54">
        <f t="shared" si="4"/>
        <v>0.477721959918</v>
      </c>
      <c r="X178" s="4">
        <v>8.28793341666667</v>
      </c>
      <c r="Y178" s="40">
        <v>0.166195866186722</v>
      </c>
      <c r="Z178" s="4">
        <v>0.428166666666667</v>
      </c>
      <c r="AA178" s="40">
        <v>0.0645416666666667</v>
      </c>
      <c r="AB178" s="9">
        <v>8.67041665416667</v>
      </c>
      <c r="AC178" s="57">
        <v>0.434878275749064</v>
      </c>
      <c r="AD178" s="9">
        <v>0.314466666666667</v>
      </c>
      <c r="AE178" s="57">
        <f t="shared" si="5"/>
        <v>0.521880334833</v>
      </c>
      <c r="AF178" s="4">
        <v>7.09782502083333</v>
      </c>
      <c r="AG178" s="70">
        <v>0.546324417162697</v>
      </c>
    </row>
    <row r="179" spans="1:33">
      <c r="A179" s="38">
        <v>45466</v>
      </c>
      <c r="B179" s="1">
        <v>53951</v>
      </c>
      <c r="C179" s="39">
        <v>0.674993731193581</v>
      </c>
      <c r="D179" s="1">
        <v>53602</v>
      </c>
      <c r="E179" s="40">
        <v>0.685500610500611</v>
      </c>
      <c r="F179" s="10">
        <v>109.2</v>
      </c>
      <c r="G179" s="40">
        <v>0.769985974754558</v>
      </c>
      <c r="H179" s="4">
        <v>271.990000408333</v>
      </c>
      <c r="I179" s="40">
        <v>0.887438830572631</v>
      </c>
      <c r="J179" s="4">
        <v>185.845833779166</v>
      </c>
      <c r="K179" s="40">
        <v>0.208346515900922</v>
      </c>
      <c r="L179" s="4">
        <v>29.7918749916666</v>
      </c>
      <c r="M179" s="40">
        <v>0.48752947219766</v>
      </c>
      <c r="N179" s="13">
        <v>30.6</v>
      </c>
      <c r="O179" s="44">
        <v>0.318725099601594</v>
      </c>
      <c r="P179" s="6">
        <v>3.81</v>
      </c>
      <c r="Q179" s="40">
        <v>0.446753246753247</v>
      </c>
      <c r="R179" s="4">
        <v>7.94</v>
      </c>
      <c r="S179" s="40">
        <v>0.973544973544974</v>
      </c>
      <c r="T179" s="10">
        <v>5.7</v>
      </c>
      <c r="U179" s="40">
        <v>0.794117647058824</v>
      </c>
      <c r="V179" s="4">
        <v>1.3927083375</v>
      </c>
      <c r="W179" s="54">
        <f t="shared" si="4"/>
        <v>0.484838264418</v>
      </c>
      <c r="X179" s="4">
        <v>9.73960001666667</v>
      </c>
      <c r="Y179" s="40">
        <v>0.215961604959433</v>
      </c>
      <c r="Z179" s="4">
        <v>0.250333333333333</v>
      </c>
      <c r="AA179" s="40">
        <v>0.0200833333333333</v>
      </c>
      <c r="AB179" s="9">
        <v>9.4136666625</v>
      </c>
      <c r="AC179" s="57">
        <v>0.51838951264045</v>
      </c>
      <c r="AD179" s="9">
        <v>0.252575</v>
      </c>
      <c r="AE179" s="57">
        <f t="shared" si="5"/>
        <v>0.378156096633</v>
      </c>
      <c r="AF179" s="4">
        <v>7.1016166375</v>
      </c>
      <c r="AG179" s="70">
        <v>0.548581331845238</v>
      </c>
    </row>
    <row r="180" spans="1:33">
      <c r="A180" s="38">
        <v>45467</v>
      </c>
      <c r="B180" s="1">
        <v>43576</v>
      </c>
      <c r="C180" s="39">
        <v>0.349799398194584</v>
      </c>
      <c r="D180" s="1">
        <v>43287</v>
      </c>
      <c r="E180" s="40">
        <v>0.370634920634921</v>
      </c>
      <c r="F180" s="10">
        <v>108.3</v>
      </c>
      <c r="G180" s="40">
        <v>0.757363253856942</v>
      </c>
      <c r="H180" s="4">
        <v>262.289999004167</v>
      </c>
      <c r="I180" s="40">
        <v>0.765717141475304</v>
      </c>
      <c r="J180" s="4">
        <v>171.674999633333</v>
      </c>
      <c r="K180" s="40">
        <v>0.173861727382603</v>
      </c>
      <c r="L180" s="4">
        <v>27.3939583416666</v>
      </c>
      <c r="M180" s="40">
        <v>0.416857009775025</v>
      </c>
      <c r="N180" s="13">
        <v>28.7</v>
      </c>
      <c r="O180" s="44">
        <v>0.243027888446215</v>
      </c>
      <c r="P180" s="6">
        <v>3.57</v>
      </c>
      <c r="Q180" s="40">
        <v>0.384415584415584</v>
      </c>
      <c r="R180" s="4">
        <v>7.86</v>
      </c>
      <c r="S180" s="40">
        <v>0.931216931216932</v>
      </c>
      <c r="T180" s="10">
        <v>5.5</v>
      </c>
      <c r="U180" s="40">
        <v>0.735294117647059</v>
      </c>
      <c r="V180" s="4">
        <v>0.77125004166667</v>
      </c>
      <c r="W180" s="54">
        <f t="shared" si="4"/>
        <v>0.265993573246</v>
      </c>
      <c r="X180" s="4">
        <v>8.2879333125</v>
      </c>
      <c r="Y180" s="40">
        <v>0.166195862615701</v>
      </c>
      <c r="Z180" s="4">
        <v>0.523333341666667</v>
      </c>
      <c r="AA180" s="40">
        <v>0.0883333354166667</v>
      </c>
      <c r="AB180" s="9">
        <v>6.32999994166666</v>
      </c>
      <c r="AC180" s="57">
        <v>0.171910105805243</v>
      </c>
      <c r="AD180" s="9">
        <v>0.273116666666667</v>
      </c>
      <c r="AE180" s="57">
        <f t="shared" si="5"/>
        <v>0.425857759103</v>
      </c>
      <c r="AF180" s="4">
        <v>7.13830840833333</v>
      </c>
      <c r="AG180" s="70">
        <v>0.570421671626982</v>
      </c>
    </row>
    <row r="181" spans="1:33">
      <c r="A181" s="38">
        <v>45468</v>
      </c>
      <c r="B181" s="1">
        <v>38546</v>
      </c>
      <c r="C181" s="39">
        <v>0.192138916750251</v>
      </c>
      <c r="D181" s="1">
        <v>38001</v>
      </c>
      <c r="E181" s="40">
        <v>0.209279609279609</v>
      </c>
      <c r="F181" s="10">
        <v>107.2</v>
      </c>
      <c r="G181" s="40">
        <v>0.741935483870968</v>
      </c>
      <c r="H181" s="4">
        <v>268.213336941667</v>
      </c>
      <c r="I181" s="40">
        <v>0.840046893483085</v>
      </c>
      <c r="J181" s="4">
        <v>162.5166668875</v>
      </c>
      <c r="K181" s="40">
        <v>0.151574883526391</v>
      </c>
      <c r="L181" s="4">
        <v>19.0689583333333</v>
      </c>
      <c r="M181" s="40">
        <v>0.171498919343746</v>
      </c>
      <c r="N181" s="13">
        <v>27.9</v>
      </c>
      <c r="O181" s="44">
        <v>0.211155378486056</v>
      </c>
      <c r="P181" s="6">
        <v>4.38</v>
      </c>
      <c r="Q181" s="40">
        <v>0.594805194805195</v>
      </c>
      <c r="R181" s="4">
        <v>7.78</v>
      </c>
      <c r="S181" s="40">
        <v>0.888888888888889</v>
      </c>
      <c r="T181" s="10">
        <v>5.2</v>
      </c>
      <c r="U181" s="40">
        <v>0.647058823529412</v>
      </c>
      <c r="V181" s="4">
        <v>1.60083335416667</v>
      </c>
      <c r="W181" s="54">
        <f t="shared" si="4"/>
        <v>0.558128870245</v>
      </c>
      <c r="X181" s="4">
        <v>15.6333334458333</v>
      </c>
      <c r="Y181" s="40">
        <v>0.418009374214374</v>
      </c>
      <c r="Z181" s="4">
        <v>0.351916666666667</v>
      </c>
      <c r="AA181" s="40">
        <v>0.0454791666666667</v>
      </c>
      <c r="AB181" s="9">
        <v>8.07941665833333</v>
      </c>
      <c r="AC181" s="57">
        <v>0.368473781835206</v>
      </c>
      <c r="AD181" s="9">
        <v>0.269725</v>
      </c>
      <c r="AE181" s="57">
        <f t="shared" si="5"/>
        <v>0.417981663109</v>
      </c>
      <c r="AF181" s="4">
        <v>7.15610005</v>
      </c>
      <c r="AG181" s="70">
        <v>0.58101193452381</v>
      </c>
    </row>
    <row r="182" spans="1:33">
      <c r="A182" s="38">
        <v>45469</v>
      </c>
      <c r="B182" s="1">
        <v>36891</v>
      </c>
      <c r="C182" s="39">
        <v>0.140264543630893</v>
      </c>
      <c r="D182" s="1">
        <v>36433</v>
      </c>
      <c r="E182" s="40">
        <v>0.161416361416361</v>
      </c>
      <c r="F182" s="10">
        <v>109.4</v>
      </c>
      <c r="G182" s="40">
        <v>0.772791023842917</v>
      </c>
      <c r="H182" s="4">
        <v>274.099999741667</v>
      </c>
      <c r="I182" s="40">
        <v>0.913916422909612</v>
      </c>
      <c r="J182" s="4">
        <v>200.254167395833</v>
      </c>
      <c r="K182" s="40">
        <v>0.243409260447845</v>
      </c>
      <c r="L182" s="4">
        <v>18.0347916666666</v>
      </c>
      <c r="M182" s="40">
        <v>0.141019500933292</v>
      </c>
      <c r="N182" s="13">
        <v>25.6</v>
      </c>
      <c r="O182" s="44">
        <v>0.119521912350598</v>
      </c>
      <c r="P182" s="7">
        <v>3.28</v>
      </c>
      <c r="Q182" s="40">
        <v>0.309090909090909</v>
      </c>
      <c r="R182" s="4">
        <v>7.76</v>
      </c>
      <c r="S182" s="40">
        <v>0.878306878306878</v>
      </c>
      <c r="T182" s="10">
        <v>5.4</v>
      </c>
      <c r="U182" s="40">
        <v>0.705882352941177</v>
      </c>
      <c r="V182" s="4">
        <v>1.621875025</v>
      </c>
      <c r="W182" s="54">
        <f t="shared" si="4"/>
        <v>0.565538632068</v>
      </c>
      <c r="X182" s="4">
        <v>16.4922000333333</v>
      </c>
      <c r="Y182" s="40">
        <v>0.447452863672722</v>
      </c>
      <c r="Z182" s="4">
        <v>0.312</v>
      </c>
      <c r="AA182" s="40">
        <v>0.0355</v>
      </c>
      <c r="AB182" s="4">
        <v>12.4578333458333</v>
      </c>
      <c r="AC182" s="40">
        <v>0.860430713014978</v>
      </c>
      <c r="AD182" s="4">
        <v>0.2722</v>
      </c>
      <c r="AE182" s="57">
        <f t="shared" si="5"/>
        <v>0.42372908451</v>
      </c>
      <c r="AF182" s="4">
        <v>7.16432498333333</v>
      </c>
      <c r="AG182" s="70">
        <v>0.585907728174601</v>
      </c>
    </row>
    <row r="183" spans="1:33">
      <c r="A183" s="38">
        <v>45470</v>
      </c>
      <c r="B183" s="1">
        <v>42658</v>
      </c>
      <c r="C183" s="39">
        <v>0.321025576730191</v>
      </c>
      <c r="D183" s="1">
        <v>42357</v>
      </c>
      <c r="E183" s="40">
        <v>0.342246642246642</v>
      </c>
      <c r="F183" s="10">
        <v>107.6</v>
      </c>
      <c r="G183" s="40">
        <v>0.747545582047686</v>
      </c>
      <c r="H183" s="4">
        <v>267.423329670833</v>
      </c>
      <c r="I183" s="40">
        <v>0.830133387762994</v>
      </c>
      <c r="J183" s="4">
        <v>151.4666659125</v>
      </c>
      <c r="K183" s="40">
        <v>0.12468465654126</v>
      </c>
      <c r="L183" s="4">
        <v>16.852291675</v>
      </c>
      <c r="M183" s="40">
        <v>0.106168337017389</v>
      </c>
      <c r="N183" s="13">
        <v>24.3</v>
      </c>
      <c r="O183" s="44">
        <v>0.0677290836653386</v>
      </c>
      <c r="P183" s="6">
        <v>4.01</v>
      </c>
      <c r="Q183" s="40">
        <v>0.498701298701299</v>
      </c>
      <c r="R183" s="4">
        <v>7.81</v>
      </c>
      <c r="S183" s="40">
        <v>0.904761904761905</v>
      </c>
      <c r="T183" s="11">
        <v>5.7</v>
      </c>
      <c r="U183" s="40">
        <v>0.794117647058824</v>
      </c>
      <c r="V183" s="4">
        <v>1.24125012083333</v>
      </c>
      <c r="W183" s="54">
        <f t="shared" si="4"/>
        <v>0.431502703731</v>
      </c>
      <c r="X183" s="4">
        <v>8.82180004166666</v>
      </c>
      <c r="Y183" s="40">
        <v>0.184497773111644</v>
      </c>
      <c r="Z183" s="4">
        <v>0.6498333375</v>
      </c>
      <c r="AA183" s="40">
        <v>0.119958334375</v>
      </c>
      <c r="AB183" s="4">
        <v>8.18991672083333</v>
      </c>
      <c r="AC183" s="40">
        <v>0.380889519194756</v>
      </c>
      <c r="AD183" s="4">
        <v>0.28155</v>
      </c>
      <c r="AE183" s="57">
        <f t="shared" si="5"/>
        <v>0.445441565358</v>
      </c>
      <c r="AF183" s="4">
        <v>7.13527502083333</v>
      </c>
      <c r="AG183" s="70">
        <v>0.568616083829363</v>
      </c>
    </row>
    <row r="184" spans="1:33">
      <c r="A184" s="38">
        <v>45471</v>
      </c>
      <c r="B184" s="1">
        <v>52557</v>
      </c>
      <c r="C184" s="39">
        <v>0.631300150451354</v>
      </c>
      <c r="D184" s="1">
        <v>52266</v>
      </c>
      <c r="E184" s="40">
        <v>0.64471916971917</v>
      </c>
      <c r="F184" s="10">
        <v>108.1</v>
      </c>
      <c r="G184" s="40">
        <v>0.754558204768583</v>
      </c>
      <c r="H184" s="4">
        <v>261.069998420833</v>
      </c>
      <c r="I184" s="40">
        <v>0.750407810526201</v>
      </c>
      <c r="J184" s="4">
        <v>166.5708333625</v>
      </c>
      <c r="K184" s="40">
        <v>0.161440715845764</v>
      </c>
      <c r="L184" s="4">
        <v>14.1399999958333</v>
      </c>
      <c r="M184" s="40">
        <v>0.0262304743835337</v>
      </c>
      <c r="N184" s="13">
        <v>25.7</v>
      </c>
      <c r="O184" s="44">
        <v>0.123505976095617</v>
      </c>
      <c r="P184" s="6">
        <v>5.05</v>
      </c>
      <c r="Q184" s="40">
        <v>0.768831168831169</v>
      </c>
      <c r="R184" s="4">
        <v>7.85</v>
      </c>
      <c r="S184" s="40">
        <v>0.925925925925926</v>
      </c>
      <c r="T184" s="10">
        <v>5.8</v>
      </c>
      <c r="U184" s="40">
        <v>0.823529411764706</v>
      </c>
      <c r="V184" s="4">
        <v>1.65791668333333</v>
      </c>
      <c r="W184" s="54">
        <f t="shared" si="4"/>
        <v>0.578230594892</v>
      </c>
      <c r="X184" s="4">
        <v>9.076600025</v>
      </c>
      <c r="Y184" s="40">
        <v>0.193232774254371</v>
      </c>
      <c r="Z184" s="4">
        <v>0.8281666625</v>
      </c>
      <c r="AA184" s="40">
        <v>0.164541665625</v>
      </c>
      <c r="AB184" s="4">
        <v>7.2947499625</v>
      </c>
      <c r="AC184" s="40">
        <v>0.280308984550562</v>
      </c>
      <c r="AD184" s="4">
        <v>0.30375</v>
      </c>
      <c r="AE184" s="57">
        <f t="shared" si="5"/>
        <v>0.496994193682</v>
      </c>
      <c r="AF184" s="4">
        <v>7.1048833875</v>
      </c>
      <c r="AG184" s="70">
        <v>0.550525825892857</v>
      </c>
    </row>
    <row r="185" spans="1:33">
      <c r="A185" s="38">
        <v>45472</v>
      </c>
      <c r="B185" s="1">
        <v>57324</v>
      </c>
      <c r="C185" s="39">
        <v>0.780717151454363</v>
      </c>
      <c r="D185" s="1">
        <v>57165</v>
      </c>
      <c r="E185" s="40">
        <v>0.794261294261294</v>
      </c>
      <c r="F185" s="10">
        <v>102.4</v>
      </c>
      <c r="G185" s="40">
        <v>0.674614305750351</v>
      </c>
      <c r="H185" s="4">
        <v>269.516666408333</v>
      </c>
      <c r="I185" s="40">
        <v>0.856401887417907</v>
      </c>
      <c r="J185" s="4">
        <v>131.7249999</v>
      </c>
      <c r="K185" s="40">
        <v>0.0766432236633977</v>
      </c>
      <c r="L185" s="4">
        <v>13.2485416666666</v>
      </c>
      <c r="M185" s="40">
        <v>-4.29806464308726e-5</v>
      </c>
      <c r="N185" s="13">
        <v>26.9</v>
      </c>
      <c r="O185" s="44">
        <v>0.171314741035856</v>
      </c>
      <c r="P185" s="4">
        <v>4.33</v>
      </c>
      <c r="Q185" s="40">
        <v>0.581818181818182</v>
      </c>
      <c r="R185" s="4">
        <v>7.92</v>
      </c>
      <c r="S185" s="40">
        <v>0.962962962962963</v>
      </c>
      <c r="T185" s="10">
        <v>5.3</v>
      </c>
      <c r="U185" s="40">
        <v>0.676470588235294</v>
      </c>
      <c r="V185" s="4">
        <v>1.06062497083333</v>
      </c>
      <c r="W185" s="54">
        <f t="shared" si="4"/>
        <v>0.367896094189</v>
      </c>
      <c r="X185" s="4">
        <v>16.1429332833333</v>
      </c>
      <c r="Y185" s="40">
        <v>0.435479372071762</v>
      </c>
      <c r="Z185" s="4">
        <v>0.318916666666667</v>
      </c>
      <c r="AA185" s="40">
        <v>0.0372291666666668</v>
      </c>
      <c r="AB185" s="4">
        <v>6.88349997916667</v>
      </c>
      <c r="AC185" s="40">
        <v>0.234101121254682</v>
      </c>
      <c r="AD185" s="4">
        <v>0.28275</v>
      </c>
      <c r="AE185" s="57">
        <f t="shared" si="5"/>
        <v>0.448228193916</v>
      </c>
      <c r="AF185" s="4">
        <v>7.0586249</v>
      </c>
      <c r="AG185" s="70">
        <v>0.522991011904762</v>
      </c>
    </row>
    <row r="186" spans="1:33">
      <c r="A186" s="38">
        <v>45473</v>
      </c>
      <c r="B186" s="1">
        <v>57014</v>
      </c>
      <c r="C186" s="39">
        <v>0.771000501504513</v>
      </c>
      <c r="D186" s="1">
        <v>56973</v>
      </c>
      <c r="E186" s="40">
        <v>0.788400488400488</v>
      </c>
      <c r="F186" s="1">
        <v>100.6</v>
      </c>
      <c r="G186" s="40">
        <v>0.649368863955119</v>
      </c>
      <c r="H186" s="4">
        <v>258.426668158333</v>
      </c>
      <c r="I186" s="40">
        <v>0.717237647864638</v>
      </c>
      <c r="J186" s="4">
        <v>129.625000158333</v>
      </c>
      <c r="K186" s="40">
        <v>0.071532864863439</v>
      </c>
      <c r="L186" s="4">
        <v>16.5485416666666</v>
      </c>
      <c r="M186" s="40">
        <v>0.0972160821298733</v>
      </c>
      <c r="N186" s="13">
        <v>30.8</v>
      </c>
      <c r="O186" s="44">
        <v>0.326693227091633</v>
      </c>
      <c r="P186" s="4">
        <v>4.57</v>
      </c>
      <c r="Q186" s="40">
        <v>0.644155844155844</v>
      </c>
      <c r="R186" s="4">
        <v>7.85</v>
      </c>
      <c r="S186" s="40">
        <v>0.925925925925926</v>
      </c>
      <c r="T186" s="13">
        <v>5.7</v>
      </c>
      <c r="U186" s="40">
        <v>0.794117647058824</v>
      </c>
      <c r="V186" s="4">
        <v>1.12375</v>
      </c>
      <c r="W186" s="54">
        <f t="shared" si="4"/>
        <v>0.390125385528</v>
      </c>
      <c r="X186" s="4">
        <v>15.3854667166666</v>
      </c>
      <c r="Y186" s="40">
        <v>0.409512057479143</v>
      </c>
      <c r="Z186" s="4">
        <v>0.289</v>
      </c>
      <c r="AA186" s="40">
        <v>0.02975</v>
      </c>
      <c r="AB186" s="4">
        <v>6.98783330833333</v>
      </c>
      <c r="AC186" s="40">
        <v>0.245823967228464</v>
      </c>
      <c r="AD186" s="4">
        <v>0.257633333333333</v>
      </c>
      <c r="AE186" s="57">
        <f t="shared" si="5"/>
        <v>0.389902510069</v>
      </c>
      <c r="AF186" s="4">
        <v>7.1714417125</v>
      </c>
      <c r="AG186" s="70">
        <v>0.590143876488096</v>
      </c>
    </row>
    <row r="187" spans="1:33">
      <c r="A187" s="38">
        <v>45474</v>
      </c>
      <c r="B187" s="1">
        <v>50608</v>
      </c>
      <c r="C187" s="39">
        <v>0.570210631895687</v>
      </c>
      <c r="D187" s="1">
        <v>50583</v>
      </c>
      <c r="E187" s="40">
        <v>0.593345543345543</v>
      </c>
      <c r="F187" s="10">
        <v>99.7</v>
      </c>
      <c r="G187" s="40">
        <v>0.636746143057504</v>
      </c>
      <c r="H187" s="4">
        <v>267.3466707875</v>
      </c>
      <c r="I187" s="40">
        <v>0.829171424112184</v>
      </c>
      <c r="J187" s="4">
        <v>196.5874997</v>
      </c>
      <c r="K187" s="40">
        <v>0.234486408147373</v>
      </c>
      <c r="L187" s="4">
        <v>30.56</v>
      </c>
      <c r="M187" s="40">
        <v>0.510167992926614</v>
      </c>
      <c r="N187" s="13">
        <v>28.5</v>
      </c>
      <c r="O187" s="44">
        <v>0.235059760956175</v>
      </c>
      <c r="P187" s="4">
        <v>3.63</v>
      </c>
      <c r="Q187" s="40">
        <v>0.4</v>
      </c>
      <c r="R187" s="4">
        <v>7.2101749375</v>
      </c>
      <c r="S187" s="40">
        <v>0.587394146825397</v>
      </c>
      <c r="T187" s="11">
        <v>5.3</v>
      </c>
      <c r="U187" s="40">
        <v>0.676470588235294</v>
      </c>
      <c r="V187" s="4">
        <v>1.22750001666667</v>
      </c>
      <c r="W187" s="54">
        <f t="shared" si="4"/>
        <v>0.42666064543</v>
      </c>
      <c r="X187" s="4">
        <v>10.8790000625</v>
      </c>
      <c r="Y187" s="40">
        <v>0.25502228531025</v>
      </c>
      <c r="Z187" s="4">
        <v>0.349666666666667</v>
      </c>
      <c r="AA187" s="40">
        <v>0.0449166666666668</v>
      </c>
      <c r="AB187" s="9">
        <v>9.572083275</v>
      </c>
      <c r="AC187" s="57">
        <v>0.536189132022472</v>
      </c>
      <c r="AD187" s="9">
        <v>0.271166666666667</v>
      </c>
      <c r="AE187" s="57">
        <f t="shared" si="5"/>
        <v>0.421329487696</v>
      </c>
      <c r="AF187" s="4">
        <v>7.000400025</v>
      </c>
      <c r="AG187" s="70">
        <v>0.488333348214286</v>
      </c>
    </row>
    <row r="188" spans="1:33">
      <c r="A188" s="38">
        <v>45475</v>
      </c>
      <c r="B188" s="1">
        <v>57514</v>
      </c>
      <c r="C188" s="39">
        <v>0.786672517552658</v>
      </c>
      <c r="D188" s="1">
        <v>57308</v>
      </c>
      <c r="E188" s="40">
        <v>0.798626373626374</v>
      </c>
      <c r="F188" s="10">
        <v>98.3</v>
      </c>
      <c r="G188" s="40">
        <v>0.61711079943899</v>
      </c>
      <c r="H188" s="4">
        <v>272.443331408333</v>
      </c>
      <c r="I188" s="40">
        <v>0.893127511712047</v>
      </c>
      <c r="J188" s="4">
        <v>216.670832958333</v>
      </c>
      <c r="K188" s="40">
        <v>0.283359289801993</v>
      </c>
      <c r="L188" s="4">
        <v>31.8897916583333</v>
      </c>
      <c r="M188" s="40">
        <v>0.549360202131839</v>
      </c>
      <c r="N188" s="13">
        <v>31.2</v>
      </c>
      <c r="O188" s="44">
        <v>0.342629482071713</v>
      </c>
      <c r="P188" s="4">
        <v>3.61</v>
      </c>
      <c r="Q188" s="40">
        <v>0.394805194805195</v>
      </c>
      <c r="R188" s="4">
        <v>7.22190002083333</v>
      </c>
      <c r="S188" s="40">
        <v>0.59359789462081</v>
      </c>
      <c r="T188" s="10">
        <v>5.5</v>
      </c>
      <c r="U188" s="40">
        <v>0.735294117647059</v>
      </c>
      <c r="V188" s="4">
        <v>1.038125</v>
      </c>
      <c r="W188" s="54">
        <f t="shared" si="4"/>
        <v>0.359972796356</v>
      </c>
      <c r="X188" s="4">
        <v>11.6084666541666</v>
      </c>
      <c r="Y188" s="40">
        <v>0.280029710461659</v>
      </c>
      <c r="Z188" s="4">
        <v>0.191666666666667</v>
      </c>
      <c r="AA188" s="40">
        <v>0.00541666666666675</v>
      </c>
      <c r="AB188" s="9">
        <v>9.4175834125</v>
      </c>
      <c r="AC188" s="57">
        <v>0.518829596910112</v>
      </c>
      <c r="AD188" s="9">
        <v>0.259691666666667</v>
      </c>
      <c r="AE188" s="57">
        <f t="shared" si="5"/>
        <v>0.39468235211</v>
      </c>
      <c r="AF188" s="4">
        <v>6.90705211666667</v>
      </c>
      <c r="AG188" s="70">
        <v>0.432769117063494</v>
      </c>
    </row>
    <row r="189" spans="1:33">
      <c r="A189" s="38">
        <v>45476</v>
      </c>
      <c r="B189" s="1">
        <v>52419</v>
      </c>
      <c r="C189" s="39">
        <v>0.626974674022066</v>
      </c>
      <c r="D189" s="1">
        <v>52144</v>
      </c>
      <c r="E189" s="40">
        <v>0.640995115995116</v>
      </c>
      <c r="F189" s="10">
        <v>96.3</v>
      </c>
      <c r="G189" s="40">
        <v>0.5890603085554</v>
      </c>
      <c r="H189" s="4">
        <v>267.4766655</v>
      </c>
      <c r="I189" s="40">
        <v>0.830802679131635</v>
      </c>
      <c r="J189" s="4">
        <v>177.354166745833</v>
      </c>
      <c r="K189" s="40">
        <v>0.187682006049286</v>
      </c>
      <c r="L189" s="4">
        <v>29.65</v>
      </c>
      <c r="M189" s="40">
        <v>0.483348069554966</v>
      </c>
      <c r="N189" s="13">
        <v>32.6</v>
      </c>
      <c r="O189" s="44">
        <v>0.398406374501992</v>
      </c>
      <c r="P189" s="4">
        <v>4.33</v>
      </c>
      <c r="Q189" s="40">
        <v>0.581818181818182</v>
      </c>
      <c r="R189" s="4">
        <v>7.24406659166667</v>
      </c>
      <c r="S189" s="40">
        <v>0.605326238977074</v>
      </c>
      <c r="T189" s="10">
        <v>5.2</v>
      </c>
      <c r="U189" s="40">
        <v>0.647058823529412</v>
      </c>
      <c r="V189" s="4">
        <v>1.13645832916667</v>
      </c>
      <c r="W189" s="54">
        <f t="shared" si="4"/>
        <v>0.39460058586</v>
      </c>
      <c r="X189" s="4">
        <v>15.6411333416666</v>
      </c>
      <c r="Y189" s="40">
        <v>0.418276768655009</v>
      </c>
      <c r="Z189" s="4">
        <v>0.360916666666667</v>
      </c>
      <c r="AA189" s="40">
        <v>0.0477291666666667</v>
      </c>
      <c r="AB189" s="9">
        <v>7.90349997083333</v>
      </c>
      <c r="AC189" s="57">
        <v>0.348707861891385</v>
      </c>
      <c r="AD189" s="9">
        <v>0.25515</v>
      </c>
      <c r="AE189" s="57">
        <f t="shared" si="5"/>
        <v>0.384135737081</v>
      </c>
      <c r="AF189" s="4">
        <v>6.92054161666667</v>
      </c>
      <c r="AG189" s="70">
        <v>0.440798581349208</v>
      </c>
    </row>
    <row r="190" spans="1:33">
      <c r="A190" s="38">
        <v>45477</v>
      </c>
      <c r="B190" s="1">
        <v>44326</v>
      </c>
      <c r="C190" s="39">
        <v>0.3733074222668</v>
      </c>
      <c r="D190" s="1">
        <v>44214</v>
      </c>
      <c r="E190" s="40">
        <v>0.398931623931624</v>
      </c>
      <c r="F190" s="10">
        <v>97.4</v>
      </c>
      <c r="G190" s="40">
        <v>0.604488078541375</v>
      </c>
      <c r="H190" s="4">
        <v>258.536666870833</v>
      </c>
      <c r="I190" s="40">
        <v>0.718617980560083</v>
      </c>
      <c r="J190" s="4">
        <v>228.79583375</v>
      </c>
      <c r="K190" s="40">
        <v>0.312865533667535</v>
      </c>
      <c r="L190" s="4">
        <v>28.0239583833333</v>
      </c>
      <c r="M190" s="40">
        <v>0.435424650260339</v>
      </c>
      <c r="N190" s="13">
        <v>30.8</v>
      </c>
      <c r="O190" s="44">
        <v>0.326693227091633</v>
      </c>
      <c r="P190" s="4">
        <v>4.12</v>
      </c>
      <c r="Q190" s="40">
        <v>0.527272727272727</v>
      </c>
      <c r="R190" s="4">
        <v>7.232516675</v>
      </c>
      <c r="S190" s="40">
        <v>0.599215171957672</v>
      </c>
      <c r="T190" s="10">
        <v>5.9</v>
      </c>
      <c r="U190" s="40">
        <v>0.852941176470588</v>
      </c>
      <c r="V190" s="4">
        <v>0.77649998</v>
      </c>
      <c r="W190" s="54">
        <f t="shared" si="4"/>
        <v>0.267842323421</v>
      </c>
      <c r="X190" s="4">
        <v>16.20620005</v>
      </c>
      <c r="Y190" s="40">
        <v>0.437648270483373</v>
      </c>
      <c r="Z190" s="4">
        <v>0.246583333333333</v>
      </c>
      <c r="AA190" s="40">
        <v>0.0191458333333332</v>
      </c>
      <c r="AB190" s="9">
        <v>7.31208330833333</v>
      </c>
      <c r="AC190" s="57">
        <v>0.282256551498127</v>
      </c>
      <c r="AD190" s="9">
        <v>0.26545</v>
      </c>
      <c r="AE190" s="57">
        <f t="shared" si="5"/>
        <v>0.408054298871</v>
      </c>
      <c r="AF190" s="4">
        <v>6.8978790875</v>
      </c>
      <c r="AG190" s="70">
        <v>0.427308980654762</v>
      </c>
    </row>
    <row r="191" spans="1:33">
      <c r="A191" s="38">
        <v>45478</v>
      </c>
      <c r="B191" s="1">
        <v>45598</v>
      </c>
      <c r="C191" s="39">
        <v>0.41317703109328</v>
      </c>
      <c r="D191" s="1">
        <v>45487</v>
      </c>
      <c r="E191" s="40">
        <v>0.437789987789988</v>
      </c>
      <c r="F191" s="10">
        <v>98.9</v>
      </c>
      <c r="G191" s="40">
        <v>0.625525946704067</v>
      </c>
      <c r="H191" s="4">
        <v>255.706670129167</v>
      </c>
      <c r="I191" s="40">
        <v>0.683105410078642</v>
      </c>
      <c r="J191" s="4">
        <v>236.041666191666</v>
      </c>
      <c r="K191" s="40">
        <v>0.330498299446782</v>
      </c>
      <c r="L191" s="4">
        <v>27.1306250416666</v>
      </c>
      <c r="M191" s="40">
        <v>0.409095934030846</v>
      </c>
      <c r="N191" s="13">
        <v>28.9</v>
      </c>
      <c r="O191" s="44">
        <v>0.250996015936255</v>
      </c>
      <c r="P191" s="4">
        <v>4.19</v>
      </c>
      <c r="Q191" s="40">
        <v>0.545454545454546</v>
      </c>
      <c r="R191" s="4">
        <v>7.21851669583333</v>
      </c>
      <c r="S191" s="40">
        <v>0.591807775573191</v>
      </c>
      <c r="T191" s="10">
        <v>5.4</v>
      </c>
      <c r="U191" s="40">
        <v>0.705882352941177</v>
      </c>
      <c r="V191" s="4">
        <v>1.15666676666667</v>
      </c>
      <c r="W191" s="54">
        <f t="shared" si="4"/>
        <v>0.401716927042</v>
      </c>
      <c r="X191" s="4">
        <v>16.9887999541666</v>
      </c>
      <c r="Y191" s="40">
        <v>0.464477201034165</v>
      </c>
      <c r="Z191" s="4">
        <v>0.3386666625</v>
      </c>
      <c r="AA191" s="40">
        <v>0.042166665625</v>
      </c>
      <c r="AB191" s="9">
        <v>9.8196666</v>
      </c>
      <c r="AC191" s="57">
        <v>0.564007483146067</v>
      </c>
      <c r="AD191" s="9">
        <v>0.251341666666667</v>
      </c>
      <c r="AE191" s="57">
        <f t="shared" si="5"/>
        <v>0.375292061727</v>
      </c>
      <c r="AF191" s="4">
        <v>6.88485206666667</v>
      </c>
      <c r="AG191" s="70">
        <v>0.419554801587304</v>
      </c>
    </row>
    <row r="192" spans="1:33">
      <c r="A192" s="38">
        <v>45479</v>
      </c>
      <c r="B192" s="1">
        <v>45982</v>
      </c>
      <c r="C192" s="39">
        <v>0.425213139418255</v>
      </c>
      <c r="D192" s="1">
        <v>45747</v>
      </c>
      <c r="E192" s="40">
        <v>0.445726495726496</v>
      </c>
      <c r="F192" s="10">
        <v>99.4</v>
      </c>
      <c r="G192" s="40">
        <v>0.632538569424965</v>
      </c>
      <c r="H192" s="4">
        <v>256.376670833333</v>
      </c>
      <c r="I192" s="40">
        <v>0.691512998285017</v>
      </c>
      <c r="J192" s="4">
        <v>169.758333454166</v>
      </c>
      <c r="K192" s="40">
        <v>0.169197511630122</v>
      </c>
      <c r="L192" s="4">
        <v>31.1506250708333</v>
      </c>
      <c r="M192" s="40">
        <v>0.527575156817958</v>
      </c>
      <c r="N192" s="13">
        <v>29.7</v>
      </c>
      <c r="O192" s="44">
        <v>0.282868525896414</v>
      </c>
      <c r="P192" s="4">
        <v>4.39</v>
      </c>
      <c r="Q192" s="40">
        <v>0.597402597402597</v>
      </c>
      <c r="R192" s="4">
        <v>7.20550829583333</v>
      </c>
      <c r="S192" s="40">
        <v>0.58492502425044</v>
      </c>
      <c r="T192" s="10">
        <v>5.2</v>
      </c>
      <c r="U192" s="40">
        <v>0.647058823529412</v>
      </c>
      <c r="V192" s="4">
        <v>1.09645834166667</v>
      </c>
      <c r="W192" s="54">
        <f t="shared" si="4"/>
        <v>0.380514709189</v>
      </c>
      <c r="X192" s="4">
        <v>16.4011999791666</v>
      </c>
      <c r="Y192" s="40">
        <v>0.444333218346472</v>
      </c>
      <c r="Z192" s="4">
        <v>0.424833333333333</v>
      </c>
      <c r="AA192" s="40">
        <v>0.0637083333333333</v>
      </c>
      <c r="AB192" s="9">
        <v>5.32049996666667</v>
      </c>
      <c r="AC192" s="57">
        <v>0.0584831423220978</v>
      </c>
      <c r="AD192" s="9">
        <v>0.229325</v>
      </c>
      <c r="AE192" s="57">
        <f t="shared" si="5"/>
        <v>0.324165168321</v>
      </c>
      <c r="AF192" s="4">
        <v>6.87822291666667</v>
      </c>
      <c r="AG192" s="70">
        <v>0.415608878968256</v>
      </c>
    </row>
    <row r="193" spans="1:33">
      <c r="A193" s="38">
        <v>45480</v>
      </c>
      <c r="B193" s="1">
        <v>48021</v>
      </c>
      <c r="C193" s="39">
        <v>0.489123620862588</v>
      </c>
      <c r="D193" s="1">
        <v>47866</v>
      </c>
      <c r="E193" s="40">
        <v>0.510409035409035</v>
      </c>
      <c r="F193" s="10">
        <v>100.8</v>
      </c>
      <c r="G193" s="40">
        <v>0.652173913043478</v>
      </c>
      <c r="H193" s="4">
        <v>253.670002616667</v>
      </c>
      <c r="I193" s="40">
        <v>0.65754803132974</v>
      </c>
      <c r="J193" s="4">
        <v>173.616666316666</v>
      </c>
      <c r="K193" s="40">
        <v>0.178586781974219</v>
      </c>
      <c r="L193" s="4">
        <v>31.423125025</v>
      </c>
      <c r="M193" s="40">
        <v>0.535606396257</v>
      </c>
      <c r="N193" s="13">
        <v>31.4</v>
      </c>
      <c r="O193" s="44">
        <v>0.350597609561753</v>
      </c>
      <c r="P193" s="4">
        <v>3.69</v>
      </c>
      <c r="Q193" s="40">
        <v>0.415584415584416</v>
      </c>
      <c r="R193" s="4">
        <v>7.18474167083333</v>
      </c>
      <c r="S193" s="40">
        <v>0.573937391975307</v>
      </c>
      <c r="T193" s="10">
        <v>4.9</v>
      </c>
      <c r="U193" s="40">
        <v>0.558823529411765</v>
      </c>
      <c r="V193" s="4">
        <v>1.32895834583333</v>
      </c>
      <c r="W193" s="54">
        <f t="shared" si="4"/>
        <v>0.462388894392</v>
      </c>
      <c r="X193" s="4">
        <v>17.0277999041666</v>
      </c>
      <c r="Y193" s="40">
        <v>0.465814189378354</v>
      </c>
      <c r="Z193" s="4">
        <v>0.521250004166667</v>
      </c>
      <c r="AA193" s="40">
        <v>0.0878125010416667</v>
      </c>
      <c r="AB193" s="9">
        <v>5.97783329166667</v>
      </c>
      <c r="AC193" s="57">
        <v>0.13234081928839</v>
      </c>
      <c r="AD193" s="9">
        <v>0.244133333333333</v>
      </c>
      <c r="AE193" s="57">
        <f t="shared" si="5"/>
        <v>0.358552938791</v>
      </c>
      <c r="AF193" s="4">
        <v>6.94906244583333</v>
      </c>
      <c r="AG193" s="70">
        <v>0.457775265376982</v>
      </c>
    </row>
    <row r="194" spans="1:33">
      <c r="A194" s="38">
        <v>45481</v>
      </c>
      <c r="B194" s="1">
        <v>44325</v>
      </c>
      <c r="C194" s="39">
        <v>0.373276078234704</v>
      </c>
      <c r="D194" s="1">
        <v>43693</v>
      </c>
      <c r="E194" s="40">
        <v>0.383028083028083</v>
      </c>
      <c r="F194" s="10">
        <v>101.2</v>
      </c>
      <c r="G194" s="40">
        <v>0.657784011220196</v>
      </c>
      <c r="H194" s="4">
        <v>258.823332475</v>
      </c>
      <c r="I194" s="40">
        <v>0.72221523999247</v>
      </c>
      <c r="J194" s="4">
        <v>168.195833658333</v>
      </c>
      <c r="K194" s="40">
        <v>0.165395161361626</v>
      </c>
      <c r="L194" s="4">
        <v>32.6591667833333</v>
      </c>
      <c r="M194" s="40">
        <v>0.572035566853324</v>
      </c>
      <c r="N194" s="13">
        <v>33.4</v>
      </c>
      <c r="O194" s="44">
        <v>0.430278884462151</v>
      </c>
      <c r="P194" s="4">
        <v>4.57</v>
      </c>
      <c r="Q194" s="40">
        <v>0.644155844155844</v>
      </c>
      <c r="R194" s="4">
        <v>7.17249179166666</v>
      </c>
      <c r="S194" s="40">
        <v>0.567455974426805</v>
      </c>
      <c r="T194" s="11">
        <v>4.7</v>
      </c>
      <c r="U194" s="40">
        <v>0.5</v>
      </c>
      <c r="V194" s="4">
        <v>1.37000002916667</v>
      </c>
      <c r="W194" s="54">
        <f t="shared" si="4"/>
        <v>0.476841601154</v>
      </c>
      <c r="X194" s="4">
        <v>15.1349999958333</v>
      </c>
      <c r="Y194" s="40">
        <v>0.400925608359044</v>
      </c>
      <c r="Z194" s="4">
        <v>0.600916666666667</v>
      </c>
      <c r="AA194" s="40">
        <v>0.107729166666667</v>
      </c>
      <c r="AB194" s="9">
        <v>6.50058335</v>
      </c>
      <c r="AC194" s="57">
        <v>0.191076780898876</v>
      </c>
      <c r="AD194" s="9">
        <v>0.27765</v>
      </c>
      <c r="AE194" s="57">
        <f t="shared" si="5"/>
        <v>0.436385022545</v>
      </c>
      <c r="AF194" s="4">
        <v>6.90944162916667</v>
      </c>
      <c r="AG194" s="70">
        <v>0.434191445932542</v>
      </c>
    </row>
    <row r="195" spans="1:33">
      <c r="A195" s="38">
        <v>45482</v>
      </c>
      <c r="B195" s="1">
        <v>45916</v>
      </c>
      <c r="C195" s="39">
        <v>0.4231444332999</v>
      </c>
      <c r="D195" s="1">
        <v>45681</v>
      </c>
      <c r="E195" s="40">
        <v>0.443711843711844</v>
      </c>
      <c r="F195" s="10">
        <v>99.2</v>
      </c>
      <c r="G195" s="40">
        <v>0.629733520336606</v>
      </c>
      <c r="H195" s="4">
        <v>263.183333070833</v>
      </c>
      <c r="I195" s="40">
        <v>0.776927256504367</v>
      </c>
      <c r="J195" s="4">
        <v>192.916666345833</v>
      </c>
      <c r="K195" s="40">
        <v>0.225553418698642</v>
      </c>
      <c r="L195" s="4">
        <v>26.2749999916666</v>
      </c>
      <c r="M195" s="40">
        <v>0.38387857328814</v>
      </c>
      <c r="N195" s="13">
        <v>32.8</v>
      </c>
      <c r="O195" s="44">
        <v>0.406374501992032</v>
      </c>
      <c r="P195" s="4">
        <v>4.05</v>
      </c>
      <c r="Q195" s="40">
        <v>0.509090909090909</v>
      </c>
      <c r="R195" s="4">
        <v>7.1671833375</v>
      </c>
      <c r="S195" s="40">
        <v>0.564647268518519</v>
      </c>
      <c r="T195" s="10">
        <v>4.5</v>
      </c>
      <c r="U195" s="40">
        <v>0.441176470588235</v>
      </c>
      <c r="V195" s="4">
        <v>0.91312512083333</v>
      </c>
      <c r="W195" s="54">
        <f t="shared" si="4"/>
        <v>0.315954460554</v>
      </c>
      <c r="X195" s="4">
        <v>16.2590666791666</v>
      </c>
      <c r="Y195" s="40">
        <v>0.439460633499026</v>
      </c>
      <c r="Z195" s="4">
        <v>1.35266664166667</v>
      </c>
      <c r="AA195" s="40">
        <v>0.295666660416668</v>
      </c>
      <c r="AB195" s="9">
        <v>8.4334166875</v>
      </c>
      <c r="AC195" s="57">
        <v>0.408249066011236</v>
      </c>
      <c r="AD195" s="9">
        <v>0.304516666666667</v>
      </c>
      <c r="AE195" s="57">
        <f t="shared" si="5"/>
        <v>0.498774539706</v>
      </c>
      <c r="AF195" s="4">
        <v>6.842995775</v>
      </c>
      <c r="AG195" s="70">
        <v>0.394640342261905</v>
      </c>
    </row>
    <row r="196" spans="1:33">
      <c r="A196" s="38">
        <v>45483</v>
      </c>
      <c r="B196" s="1">
        <v>61716</v>
      </c>
      <c r="C196" s="39">
        <v>0.918380140421264</v>
      </c>
      <c r="D196" s="1">
        <v>61591</v>
      </c>
      <c r="E196" s="40">
        <v>0.929365079365079</v>
      </c>
      <c r="F196" s="10">
        <v>100.4</v>
      </c>
      <c r="G196" s="40">
        <v>0.64656381486676</v>
      </c>
      <c r="H196" s="4">
        <v>249.813336675</v>
      </c>
      <c r="I196" s="40">
        <v>0.609152173108294</v>
      </c>
      <c r="J196" s="4">
        <v>175.0833330125</v>
      </c>
      <c r="K196" s="40">
        <v>0.182155921963595</v>
      </c>
      <c r="L196" s="4">
        <v>29.0458332458333</v>
      </c>
      <c r="M196" s="40">
        <v>0.465541799169859</v>
      </c>
      <c r="N196" s="13">
        <v>28.7</v>
      </c>
      <c r="O196" s="44">
        <v>0.243027888446215</v>
      </c>
      <c r="P196" s="16">
        <v>2.54</v>
      </c>
      <c r="Q196" s="40">
        <v>0.116883116883117</v>
      </c>
      <c r="R196" s="4">
        <v>7.11404167916667</v>
      </c>
      <c r="S196" s="40">
        <v>0.536529988977074</v>
      </c>
      <c r="T196" s="10">
        <v>4.3</v>
      </c>
      <c r="U196" s="40">
        <v>0.382352941176471</v>
      </c>
      <c r="V196" s="4">
        <v>1.40270834166667</v>
      </c>
      <c r="W196" s="54">
        <f t="shared" si="4"/>
        <v>0.488359736153</v>
      </c>
      <c r="X196" s="4">
        <v>18.08946675</v>
      </c>
      <c r="Y196" s="40">
        <v>0.502210035995886</v>
      </c>
      <c r="Z196" s="4">
        <v>1.4203333125</v>
      </c>
      <c r="AA196" s="40">
        <v>0.312583328125</v>
      </c>
      <c r="AB196" s="9">
        <v>7.77783330416667</v>
      </c>
      <c r="AC196" s="57">
        <v>0.33458801170412</v>
      </c>
      <c r="AD196" s="9">
        <v>0.332958333333333</v>
      </c>
      <c r="AE196" s="57">
        <f t="shared" si="5"/>
        <v>0.564821506849</v>
      </c>
      <c r="AF196" s="4">
        <v>6.98868335</v>
      </c>
      <c r="AG196" s="70">
        <v>0.481359136904762</v>
      </c>
    </row>
    <row r="197" spans="1:33">
      <c r="A197" s="38">
        <v>45484</v>
      </c>
      <c r="B197" s="1">
        <v>64108</v>
      </c>
      <c r="C197" s="39">
        <v>0.993355065195587</v>
      </c>
      <c r="D197" s="1">
        <v>63800</v>
      </c>
      <c r="E197" s="40">
        <v>0.996794871794872</v>
      </c>
      <c r="F197" s="10">
        <v>100.3</v>
      </c>
      <c r="G197" s="40">
        <v>0.645161290322581</v>
      </c>
      <c r="H197" s="4">
        <v>255.860872347826</v>
      </c>
      <c r="I197" s="40">
        <v>0.68504043603747</v>
      </c>
      <c r="J197" s="4">
        <v>235.495652404347</v>
      </c>
      <c r="K197" s="40">
        <v>0.32916957244384</v>
      </c>
      <c r="L197" s="4">
        <v>27.2770833958333</v>
      </c>
      <c r="M197" s="40">
        <v>0.413412419564789</v>
      </c>
      <c r="N197" s="13">
        <v>29.4</v>
      </c>
      <c r="O197" s="44">
        <v>0.270916334661354</v>
      </c>
      <c r="P197" s="17">
        <v>2.09</v>
      </c>
      <c r="Q197" s="71">
        <v>0</v>
      </c>
      <c r="R197" s="4">
        <v>7.06184342173913</v>
      </c>
      <c r="S197" s="40">
        <v>0.508911863354037</v>
      </c>
      <c r="T197" s="10">
        <v>4.4</v>
      </c>
      <c r="U197" s="40">
        <v>0.411764705882353</v>
      </c>
      <c r="V197" s="4">
        <v>1.32645833333333</v>
      </c>
      <c r="W197" s="54">
        <f t="shared" si="4"/>
        <v>0.461508522424</v>
      </c>
      <c r="X197" s="4">
        <v>15.393530447826</v>
      </c>
      <c r="Y197" s="40">
        <v>0.409788496668701</v>
      </c>
      <c r="Z197" s="4">
        <v>0.424434782608696</v>
      </c>
      <c r="AA197" s="40">
        <v>0.063608695652174</v>
      </c>
      <c r="AB197" s="9">
        <v>10.9275652695652</v>
      </c>
      <c r="AC197" s="57">
        <v>0.688490479726427</v>
      </c>
      <c r="AD197" s="9">
        <v>0.295460869565217</v>
      </c>
      <c r="AE197" s="57">
        <f t="shared" si="5"/>
        <v>0.477745254023</v>
      </c>
      <c r="AF197" s="4">
        <v>6.90520206666667</v>
      </c>
      <c r="AG197" s="70">
        <v>0.431667896825399</v>
      </c>
    </row>
    <row r="198" spans="1:33">
      <c r="A198" s="38">
        <v>45485</v>
      </c>
      <c r="B198" s="1">
        <v>64320</v>
      </c>
      <c r="C198" s="39">
        <v>1</v>
      </c>
      <c r="D198" s="1">
        <v>63905</v>
      </c>
      <c r="E198" s="40">
        <v>1</v>
      </c>
      <c r="F198" s="10">
        <v>99.1</v>
      </c>
      <c r="G198" s="40">
        <v>0.628330995792426</v>
      </c>
      <c r="H198" s="4">
        <v>268.041906457143</v>
      </c>
      <c r="I198" s="40">
        <v>0.837895676460572</v>
      </c>
      <c r="J198" s="4">
        <v>239.357143142857</v>
      </c>
      <c r="K198" s="40">
        <v>0.338566527493386</v>
      </c>
      <c r="L198" s="4">
        <v>31.081304447826</v>
      </c>
      <c r="M198" s="40">
        <v>0.525532108689243</v>
      </c>
      <c r="N198" s="13">
        <v>30.6</v>
      </c>
      <c r="O198" s="44">
        <v>0.318725099601594</v>
      </c>
      <c r="P198" s="17">
        <v>3.312</v>
      </c>
      <c r="Q198" s="71">
        <v>0.317402597402597</v>
      </c>
      <c r="R198" s="4">
        <v>7.11706676666667</v>
      </c>
      <c r="S198" s="40">
        <v>0.5381305643739</v>
      </c>
      <c r="T198" s="10">
        <v>4.6</v>
      </c>
      <c r="U198" s="40">
        <v>0.470588235294118</v>
      </c>
      <c r="V198" s="4">
        <v>1.38375000833333</v>
      </c>
      <c r="W198" s="54">
        <f t="shared" ref="W198:W261" si="6">ROUND((V198-MIN($V$5:$V$370))/(MAX($V$5:$V$370)-MIN($V$5:$V$2370)),12)</f>
        <v>0.481683615437</v>
      </c>
      <c r="X198" s="4">
        <v>14.4601142857142</v>
      </c>
      <c r="Y198" s="40">
        <v>0.37778931387433</v>
      </c>
      <c r="Z198" s="4">
        <v>0.28847619047619</v>
      </c>
      <c r="AA198" s="40">
        <v>0.0296190476190475</v>
      </c>
      <c r="AB198" s="9">
        <v>8.61466664761905</v>
      </c>
      <c r="AC198" s="57">
        <v>0.428614230069556</v>
      </c>
      <c r="AD198" s="9">
        <v>0.261676190476191</v>
      </c>
      <c r="AE198" s="57">
        <f t="shared" ref="AE198:AE261" si="7">ROUND((AD198-MIN($AD$5:$AD$370))/(MAX($AD$5:$AD$370)-MIN($AD$5:$AD$2370)),12)</f>
        <v>0.399290794378</v>
      </c>
      <c r="AF198" s="4">
        <v>6.85417297916667</v>
      </c>
      <c r="AG198" s="70">
        <v>0.401293439980161</v>
      </c>
    </row>
    <row r="199" spans="1:33">
      <c r="A199" s="38">
        <v>45486</v>
      </c>
      <c r="B199" s="1">
        <v>58206</v>
      </c>
      <c r="C199" s="39">
        <v>0.80836258776329</v>
      </c>
      <c r="D199" s="1">
        <v>58064</v>
      </c>
      <c r="E199" s="40">
        <v>0.821703296703297</v>
      </c>
      <c r="F199" s="10">
        <v>98.4</v>
      </c>
      <c r="G199" s="40">
        <v>0.61851332398317</v>
      </c>
      <c r="H199" s="4">
        <v>259.292629842105</v>
      </c>
      <c r="I199" s="40">
        <v>0.728104277100075</v>
      </c>
      <c r="J199" s="4">
        <v>239.784210463157</v>
      </c>
      <c r="K199" s="40">
        <v>0.339605797734789</v>
      </c>
      <c r="L199" s="4">
        <v>28.023999955</v>
      </c>
      <c r="M199" s="40">
        <v>0.435425875478927</v>
      </c>
      <c r="N199" s="13">
        <v>29.8</v>
      </c>
      <c r="O199" s="44">
        <v>0.286852589641434</v>
      </c>
      <c r="P199" s="16">
        <v>2.44</v>
      </c>
      <c r="Q199" s="40">
        <v>0.0909090909090909</v>
      </c>
      <c r="R199" s="4">
        <v>7.12754742105263</v>
      </c>
      <c r="S199" s="40">
        <v>0.543675884154831</v>
      </c>
      <c r="T199" s="10">
        <v>4.3</v>
      </c>
      <c r="U199" s="40">
        <v>0.382352941176471</v>
      </c>
      <c r="V199" s="4">
        <v>1.35520834166667</v>
      </c>
      <c r="W199" s="54">
        <f t="shared" si="6"/>
        <v>0.471632752379</v>
      </c>
      <c r="X199" s="4">
        <v>13.8589474</v>
      </c>
      <c r="Y199" s="40">
        <v>0.357180233116215</v>
      </c>
      <c r="Z199" s="4">
        <v>0.222631578947368</v>
      </c>
      <c r="AA199" s="40">
        <v>0.013157894736842</v>
      </c>
      <c r="AB199" s="9">
        <v>11.2344210736842</v>
      </c>
      <c r="AC199" s="57">
        <v>0.722968659964517</v>
      </c>
      <c r="AD199" s="9">
        <v>0.242757894736842</v>
      </c>
      <c r="AE199" s="57">
        <f t="shared" si="7"/>
        <v>0.355358908397</v>
      </c>
      <c r="AF199" s="4">
        <v>6.91337285416667</v>
      </c>
      <c r="AG199" s="70">
        <v>0.436531460813494</v>
      </c>
    </row>
    <row r="200" spans="1:33">
      <c r="A200" s="38">
        <v>45487</v>
      </c>
      <c r="B200" s="1">
        <v>56351</v>
      </c>
      <c r="C200" s="39">
        <v>0.750219408224674</v>
      </c>
      <c r="D200" s="1">
        <v>56029</v>
      </c>
      <c r="E200" s="40">
        <v>0.75958485958486</v>
      </c>
      <c r="F200" s="10">
        <v>97.4</v>
      </c>
      <c r="G200" s="40">
        <v>0.604488078541375</v>
      </c>
      <c r="H200" s="4">
        <v>270.13200226</v>
      </c>
      <c r="I200" s="40">
        <v>0.864123506839001</v>
      </c>
      <c r="J200" s="4">
        <v>254.975000195</v>
      </c>
      <c r="K200" s="40">
        <v>0.376572652751077</v>
      </c>
      <c r="L200" s="4">
        <v>31.92900016</v>
      </c>
      <c r="M200" s="40">
        <v>0.550515772472738</v>
      </c>
      <c r="N200" s="13">
        <v>28.8</v>
      </c>
      <c r="O200" s="44">
        <v>0.247011952191235</v>
      </c>
      <c r="P200" s="16">
        <v>2.75</v>
      </c>
      <c r="Q200" s="40">
        <v>0.171428571428571</v>
      </c>
      <c r="R200" s="4">
        <v>7.13537991</v>
      </c>
      <c r="S200" s="40">
        <v>0.547820058201059</v>
      </c>
      <c r="T200" s="10">
        <v>4.7</v>
      </c>
      <c r="U200" s="40">
        <v>0.5</v>
      </c>
      <c r="V200" s="4">
        <v>1.38937500833333</v>
      </c>
      <c r="W200" s="54">
        <f t="shared" si="6"/>
        <v>0.483664442462</v>
      </c>
      <c r="X200" s="4">
        <v>15.519280085</v>
      </c>
      <c r="Y200" s="40">
        <v>0.414099420123414</v>
      </c>
      <c r="Z200" s="4">
        <v>0.1805</v>
      </c>
      <c r="AA200" s="40">
        <v>0.002625</v>
      </c>
      <c r="AB200" s="9">
        <v>11.999600005</v>
      </c>
      <c r="AC200" s="57">
        <v>0.808943820786517</v>
      </c>
      <c r="AD200" s="9">
        <v>0.22905</v>
      </c>
      <c r="AE200" s="57">
        <f t="shared" si="7"/>
        <v>0.323526565943</v>
      </c>
      <c r="AF200" s="4">
        <v>6.92447293333333</v>
      </c>
      <c r="AG200" s="70">
        <v>0.443138650793649</v>
      </c>
    </row>
    <row r="201" spans="1:33">
      <c r="A201" s="38">
        <v>45488</v>
      </c>
      <c r="B201" s="1">
        <v>52016</v>
      </c>
      <c r="C201" s="39">
        <v>0.614343029087262</v>
      </c>
      <c r="D201" s="1">
        <v>51660</v>
      </c>
      <c r="E201" s="40">
        <v>0.626221001221001</v>
      </c>
      <c r="F201" s="10">
        <v>96.2</v>
      </c>
      <c r="G201" s="40">
        <v>0.58765778401122</v>
      </c>
      <c r="H201" s="4">
        <v>262.619999705</v>
      </c>
      <c r="I201" s="40">
        <v>0.769858196825198</v>
      </c>
      <c r="J201" s="4">
        <v>216.36500034</v>
      </c>
      <c r="K201" s="40">
        <v>0.282615044752148</v>
      </c>
      <c r="L201" s="4">
        <v>25.0395455454545</v>
      </c>
      <c r="M201" s="40">
        <v>0.347466712214987</v>
      </c>
      <c r="N201" s="13">
        <v>28.5</v>
      </c>
      <c r="O201" s="44">
        <v>0.235059760956175</v>
      </c>
      <c r="P201" s="16">
        <v>3.37</v>
      </c>
      <c r="Q201" s="40">
        <v>0.332467532467533</v>
      </c>
      <c r="R201" s="4">
        <v>7.159040035</v>
      </c>
      <c r="S201" s="40">
        <v>0.560338642857143</v>
      </c>
      <c r="T201" s="11">
        <v>4.2</v>
      </c>
      <c r="U201" s="40">
        <v>0.352941176470588</v>
      </c>
      <c r="V201" s="4">
        <v>1.4595833375</v>
      </c>
      <c r="W201" s="54">
        <f t="shared" si="6"/>
        <v>0.508388096837</v>
      </c>
      <c r="X201" s="4">
        <v>17.68415981</v>
      </c>
      <c r="Y201" s="40">
        <v>0.488315386013027</v>
      </c>
      <c r="Z201" s="4">
        <v>0.86519999</v>
      </c>
      <c r="AA201" s="40">
        <v>0.1737999975</v>
      </c>
      <c r="AB201" s="9">
        <v>7.84120001</v>
      </c>
      <c r="AC201" s="57">
        <v>0.341707866292135</v>
      </c>
      <c r="AD201" s="9">
        <v>0.26343</v>
      </c>
      <c r="AE201" s="57">
        <f t="shared" si="7"/>
        <v>0.403363474132</v>
      </c>
      <c r="AF201" s="4">
        <v>6.749879125</v>
      </c>
      <c r="AG201" s="70">
        <v>0.339213764880952</v>
      </c>
    </row>
    <row r="202" spans="1:33">
      <c r="A202" s="38">
        <v>45489</v>
      </c>
      <c r="B202" s="1">
        <v>51748</v>
      </c>
      <c r="C202" s="39">
        <v>0.605942828485456</v>
      </c>
      <c r="D202" s="1">
        <v>51691</v>
      </c>
      <c r="E202" s="40">
        <v>0.627167277167277</v>
      </c>
      <c r="F202" s="10">
        <v>99.4</v>
      </c>
      <c r="G202" s="40">
        <v>0.632538569424965</v>
      </c>
      <c r="H202" s="4">
        <v>258.712382004762</v>
      </c>
      <c r="I202" s="40">
        <v>0.7208229640452</v>
      </c>
      <c r="J202" s="4">
        <v>249.004761642857</v>
      </c>
      <c r="K202" s="40">
        <v>0.362044050429166</v>
      </c>
      <c r="L202" s="4">
        <v>29.2915385307692</v>
      </c>
      <c r="M202" s="40">
        <v>0.472783334240177</v>
      </c>
      <c r="N202" s="13">
        <v>29.9</v>
      </c>
      <c r="O202" s="44">
        <v>0.290836653386454</v>
      </c>
      <c r="P202" s="16">
        <v>3.37</v>
      </c>
      <c r="Q202" s="40">
        <v>0.332467532467533</v>
      </c>
      <c r="R202" s="4">
        <v>7.20619998571429</v>
      </c>
      <c r="S202" s="40">
        <v>0.585290997732429</v>
      </c>
      <c r="T202" s="10">
        <v>4.9</v>
      </c>
      <c r="U202" s="40">
        <v>0.558823529411765</v>
      </c>
      <c r="V202" s="4">
        <v>1.393749975</v>
      </c>
      <c r="W202" s="54">
        <f t="shared" si="6"/>
        <v>0.485205073967</v>
      </c>
      <c r="X202" s="4">
        <v>14.2659809190476</v>
      </c>
      <c r="Y202" s="40">
        <v>0.371134073330394</v>
      </c>
      <c r="Z202" s="4">
        <v>0.22352380952381</v>
      </c>
      <c r="AA202" s="40">
        <v>0.0133809523809525</v>
      </c>
      <c r="AB202" s="9">
        <v>9.47961900476191</v>
      </c>
      <c r="AC202" s="57">
        <v>0.525799888175495</v>
      </c>
      <c r="AD202" s="9">
        <v>0.261352380952381</v>
      </c>
      <c r="AE202" s="57">
        <f t="shared" si="7"/>
        <v>0.398538846989</v>
      </c>
      <c r="AF202" s="4">
        <v>6.6842811875</v>
      </c>
      <c r="AG202" s="70">
        <v>0.300167373511905</v>
      </c>
    </row>
    <row r="203" spans="1:33">
      <c r="A203" s="38">
        <v>45490</v>
      </c>
      <c r="B203" s="1">
        <v>49825</v>
      </c>
      <c r="C203" s="39">
        <v>0.545668254764293</v>
      </c>
      <c r="D203" s="1">
        <v>49541</v>
      </c>
      <c r="E203" s="40">
        <v>0.561538461538462</v>
      </c>
      <c r="F203" s="10">
        <v>100.2</v>
      </c>
      <c r="G203" s="40">
        <v>0.643758765778401</v>
      </c>
      <c r="H203" s="4">
        <v>255.779049109524</v>
      </c>
      <c r="I203" s="40">
        <v>0.684013666828009</v>
      </c>
      <c r="J203" s="4">
        <v>167.080952233333</v>
      </c>
      <c r="K203" s="40">
        <v>0.162682092408276</v>
      </c>
      <c r="L203" s="4">
        <v>32.7218749</v>
      </c>
      <c r="M203" s="40">
        <v>0.573883728264073</v>
      </c>
      <c r="N203" s="13">
        <v>30.1</v>
      </c>
      <c r="O203" s="44">
        <v>0.298804780876494</v>
      </c>
      <c r="P203" s="16">
        <v>3.54</v>
      </c>
      <c r="Q203" s="40">
        <v>0.376623376623377</v>
      </c>
      <c r="R203" s="4">
        <v>7.19653340476191</v>
      </c>
      <c r="S203" s="40">
        <v>0.580176404635931</v>
      </c>
      <c r="T203" s="10">
        <v>5</v>
      </c>
      <c r="U203" s="40">
        <v>0.588235294117647</v>
      </c>
      <c r="V203" s="4">
        <v>1.156666675</v>
      </c>
      <c r="W203" s="54">
        <f t="shared" si="6"/>
        <v>0.401716894762</v>
      </c>
      <c r="X203" s="4">
        <v>15.4525714761904</v>
      </c>
      <c r="Y203" s="40">
        <v>0.411812529180336</v>
      </c>
      <c r="Z203" s="4">
        <v>0.188</v>
      </c>
      <c r="AA203" s="40">
        <v>0.0045</v>
      </c>
      <c r="AB203" s="9">
        <v>9.4889524047619</v>
      </c>
      <c r="AC203" s="57">
        <v>0.526848584804708</v>
      </c>
      <c r="AD203" s="9">
        <v>0.233114285714286</v>
      </c>
      <c r="AE203" s="57">
        <f t="shared" si="7"/>
        <v>0.332964611476</v>
      </c>
      <c r="AF203" s="4">
        <v>6.79435623333333</v>
      </c>
      <c r="AG203" s="70">
        <v>0.365688234126982</v>
      </c>
    </row>
    <row r="204" spans="1:33">
      <c r="A204" s="38">
        <v>45491</v>
      </c>
      <c r="B204" s="1">
        <v>50326</v>
      </c>
      <c r="C204" s="39">
        <v>0.561371614844534</v>
      </c>
      <c r="D204" s="1">
        <v>49993</v>
      </c>
      <c r="E204" s="40">
        <v>0.575335775335775</v>
      </c>
      <c r="F204" s="10">
        <v>101.6</v>
      </c>
      <c r="G204" s="40">
        <v>0.663394109396914</v>
      </c>
      <c r="H204" s="4">
        <v>253.996364940909</v>
      </c>
      <c r="I204" s="40">
        <v>0.661643430052817</v>
      </c>
      <c r="J204" s="4">
        <v>188.795455063636</v>
      </c>
      <c r="K204" s="40">
        <v>0.215524432539936</v>
      </c>
      <c r="L204" s="4">
        <v>28.42916675</v>
      </c>
      <c r="M204" s="40">
        <v>0.447367130857648</v>
      </c>
      <c r="N204" s="13">
        <v>28.6</v>
      </c>
      <c r="O204" s="44">
        <v>0.239043824701195</v>
      </c>
      <c r="P204" s="17">
        <v>4.09</v>
      </c>
      <c r="Q204" s="71">
        <v>0.519480519480519</v>
      </c>
      <c r="R204" s="4">
        <v>7.21095447272727</v>
      </c>
      <c r="S204" s="40">
        <v>0.587806599326598</v>
      </c>
      <c r="T204" s="10">
        <v>4.5</v>
      </c>
      <c r="U204" s="40">
        <v>0.441176470588235</v>
      </c>
      <c r="V204" s="4">
        <v>1.16062501666667</v>
      </c>
      <c r="W204" s="54">
        <f t="shared" si="6"/>
        <v>0.403110813011</v>
      </c>
      <c r="X204" s="4">
        <v>15.4363636318181</v>
      </c>
      <c r="Y204" s="40">
        <v>0.411256895160031</v>
      </c>
      <c r="Z204" s="4">
        <v>0.295818186363636</v>
      </c>
      <c r="AA204" s="40">
        <v>0.031454546590909</v>
      </c>
      <c r="AB204" s="9">
        <v>9.99218177727273</v>
      </c>
      <c r="AC204" s="57">
        <v>0.58339121092952</v>
      </c>
      <c r="AD204" s="9">
        <v>0.2715</v>
      </c>
      <c r="AE204" s="57">
        <f t="shared" si="7"/>
        <v>0.422103551185</v>
      </c>
      <c r="AF204" s="4">
        <v>6.84353539166666</v>
      </c>
      <c r="AG204" s="70">
        <v>0.394961542658726</v>
      </c>
    </row>
    <row r="205" spans="1:33">
      <c r="A205" s="38">
        <v>45492</v>
      </c>
      <c r="B205" s="1">
        <v>47519</v>
      </c>
      <c r="C205" s="39">
        <v>0.473388916750251</v>
      </c>
      <c r="D205" s="1">
        <v>47237</v>
      </c>
      <c r="E205" s="40">
        <v>0.491208791208791</v>
      </c>
      <c r="F205" s="10">
        <v>98.7</v>
      </c>
      <c r="G205" s="40">
        <v>0.622720897615708</v>
      </c>
      <c r="H205" s="4">
        <v>265.386671519048</v>
      </c>
      <c r="I205" s="40">
        <v>0.804576126478203</v>
      </c>
      <c r="J205" s="4">
        <v>242.647618966666</v>
      </c>
      <c r="K205" s="40">
        <v>0.346573915184255</v>
      </c>
      <c r="L205" s="4">
        <v>29.4897917208333</v>
      </c>
      <c r="M205" s="40">
        <v>0.478626340136555</v>
      </c>
      <c r="N205" s="13">
        <v>29.3</v>
      </c>
      <c r="O205" s="44">
        <v>0.266932270916335</v>
      </c>
      <c r="P205" s="17">
        <v>4.312</v>
      </c>
      <c r="Q205" s="71">
        <v>0.577142857142857</v>
      </c>
      <c r="R205" s="4">
        <v>7.19386664285714</v>
      </c>
      <c r="S205" s="40">
        <v>0.578765419501132</v>
      </c>
      <c r="T205" s="11">
        <v>4.6</v>
      </c>
      <c r="U205" s="40">
        <v>0.470588235294118</v>
      </c>
      <c r="V205" s="4">
        <v>1.12291665833333</v>
      </c>
      <c r="W205" s="54">
        <f t="shared" si="6"/>
        <v>0.389831926738</v>
      </c>
      <c r="X205" s="4">
        <v>17.0977524523809</v>
      </c>
      <c r="Y205" s="40">
        <v>0.468212288391529</v>
      </c>
      <c r="Z205" s="4">
        <v>0.199142857142857</v>
      </c>
      <c r="AA205" s="40">
        <v>0.00728571428571425</v>
      </c>
      <c r="AB205" s="9">
        <v>8.74171422380952</v>
      </c>
      <c r="AC205" s="57">
        <v>0.442889238630283</v>
      </c>
      <c r="AD205" s="9">
        <v>0.30667619047619</v>
      </c>
      <c r="AE205" s="57">
        <f t="shared" si="7"/>
        <v>0.503789365305</v>
      </c>
      <c r="AF205" s="4">
        <v>6.7300687625</v>
      </c>
      <c r="AG205" s="70">
        <v>0.327421882440476</v>
      </c>
    </row>
    <row r="206" spans="1:33">
      <c r="A206" s="38">
        <v>45493</v>
      </c>
      <c r="B206" s="1">
        <v>44671</v>
      </c>
      <c r="C206" s="39">
        <v>0.38412111334002</v>
      </c>
      <c r="D206" s="1">
        <v>44585</v>
      </c>
      <c r="E206" s="40">
        <v>0.41025641025641</v>
      </c>
      <c r="F206" s="10">
        <v>96.3</v>
      </c>
      <c r="G206" s="40">
        <v>0.5890603085554</v>
      </c>
      <c r="H206" s="4">
        <v>263.743337</v>
      </c>
      <c r="I206" s="40">
        <v>0.783954536328272</v>
      </c>
      <c r="J206" s="4">
        <v>209.9916663125</v>
      </c>
      <c r="K206" s="40">
        <v>0.267105507781131</v>
      </c>
      <c r="L206" s="4">
        <v>31.086458275</v>
      </c>
      <c r="M206" s="40">
        <v>0.525684004568229</v>
      </c>
      <c r="N206" s="13">
        <v>28.4</v>
      </c>
      <c r="O206" s="44">
        <v>0.231075697211155</v>
      </c>
      <c r="P206" s="17">
        <v>3.182</v>
      </c>
      <c r="Q206" s="71">
        <v>0.283636363636364</v>
      </c>
      <c r="R206" s="4">
        <v>7.1813000875</v>
      </c>
      <c r="S206" s="40">
        <v>0.572116448412699</v>
      </c>
      <c r="T206" s="10">
        <v>4.8</v>
      </c>
      <c r="U206" s="40">
        <v>0.529411764705882</v>
      </c>
      <c r="V206" s="4">
        <v>1.10166665416667</v>
      </c>
      <c r="W206" s="54">
        <f t="shared" si="6"/>
        <v>0.38234880095</v>
      </c>
      <c r="X206" s="4">
        <v>16.2582001291666</v>
      </c>
      <c r="Y206" s="40">
        <v>0.439430926608385</v>
      </c>
      <c r="Z206" s="4">
        <v>0.244666666666667</v>
      </c>
      <c r="AA206" s="40">
        <v>0.0186666666666667</v>
      </c>
      <c r="AB206" s="9">
        <v>9.24525005</v>
      </c>
      <c r="AC206" s="57">
        <v>0.499466297752809</v>
      </c>
      <c r="AD206" s="9">
        <v>0.283633333333333</v>
      </c>
      <c r="AE206" s="57">
        <f t="shared" si="7"/>
        <v>0.45027946216</v>
      </c>
      <c r="AF206" s="4">
        <v>6.877066625</v>
      </c>
      <c r="AG206" s="70">
        <v>0.414920610119048</v>
      </c>
    </row>
    <row r="207" spans="1:33">
      <c r="A207" s="38">
        <v>45494</v>
      </c>
      <c r="B207" s="1">
        <v>40589</v>
      </c>
      <c r="C207" s="39">
        <v>0.256174774322969</v>
      </c>
      <c r="D207" s="1">
        <v>40562</v>
      </c>
      <c r="E207" s="40">
        <v>0.287454212454212</v>
      </c>
      <c r="F207" s="10">
        <v>98.4</v>
      </c>
      <c r="G207" s="40">
        <v>0.61851332398317</v>
      </c>
      <c r="H207" s="4">
        <v>255.566669470833</v>
      </c>
      <c r="I207" s="40">
        <v>0.681348594187891</v>
      </c>
      <c r="J207" s="4">
        <v>184.891667045833</v>
      </c>
      <c r="K207" s="40">
        <v>0.206024546871324</v>
      </c>
      <c r="L207" s="4">
        <v>28.1170833833333</v>
      </c>
      <c r="M207" s="40">
        <v>0.438169271539443</v>
      </c>
      <c r="N207" s="13">
        <v>27.2</v>
      </c>
      <c r="O207" s="44">
        <v>0.183266932270916</v>
      </c>
      <c r="P207" s="4">
        <v>4.04</v>
      </c>
      <c r="Q207" s="40">
        <v>0.506493506493507</v>
      </c>
      <c r="R207" s="4">
        <v>7.17715822916667</v>
      </c>
      <c r="S207" s="40">
        <v>0.569924988977074</v>
      </c>
      <c r="T207" s="10">
        <v>5.2</v>
      </c>
      <c r="U207" s="40">
        <v>0.647058823529412</v>
      </c>
      <c r="V207" s="4">
        <v>1.22729167916667</v>
      </c>
      <c r="W207" s="54">
        <f t="shared" si="6"/>
        <v>0.426587279999</v>
      </c>
      <c r="X207" s="4">
        <v>17.4178000125</v>
      </c>
      <c r="Y207" s="40">
        <v>0.479184093675009</v>
      </c>
      <c r="Z207" s="4">
        <v>0.517750004166667</v>
      </c>
      <c r="AA207" s="40">
        <v>0.0869375010416668</v>
      </c>
      <c r="AB207" s="9">
        <v>8.7763333625</v>
      </c>
      <c r="AC207" s="57">
        <v>0.446779029494382</v>
      </c>
      <c r="AD207" s="9">
        <v>0.279333333333333</v>
      </c>
      <c r="AE207" s="57">
        <f t="shared" si="7"/>
        <v>0.440294043161</v>
      </c>
      <c r="AF207" s="4">
        <v>6.83767700416667</v>
      </c>
      <c r="AG207" s="70">
        <v>0.391474407242066</v>
      </c>
    </row>
    <row r="208" spans="1:33">
      <c r="A208" s="38">
        <v>45495</v>
      </c>
      <c r="B208" s="1">
        <v>42358</v>
      </c>
      <c r="C208" s="39">
        <v>0.311622367101304</v>
      </c>
      <c r="D208" s="1">
        <v>42126</v>
      </c>
      <c r="E208" s="40">
        <v>0.33519536019536</v>
      </c>
      <c r="F208" s="10">
        <v>95.5</v>
      </c>
      <c r="G208" s="40">
        <v>0.577840112201964</v>
      </c>
      <c r="H208" s="4">
        <v>257.2800025875</v>
      </c>
      <c r="I208" s="40">
        <v>0.702848570554649</v>
      </c>
      <c r="J208" s="4">
        <v>172.299999708333</v>
      </c>
      <c r="K208" s="40">
        <v>0.175382667871251</v>
      </c>
      <c r="L208" s="4">
        <v>27.5</v>
      </c>
      <c r="M208" s="40">
        <v>0.419982316534041</v>
      </c>
      <c r="N208" s="13">
        <v>29.1</v>
      </c>
      <c r="O208" s="44">
        <v>0.258964143426295</v>
      </c>
      <c r="P208" s="4">
        <v>4.6</v>
      </c>
      <c r="Q208" s="40">
        <v>0.651948051948052</v>
      </c>
      <c r="R208" s="4">
        <v>7.16345005</v>
      </c>
      <c r="S208" s="40">
        <v>0.562671984126984</v>
      </c>
      <c r="T208" s="10">
        <v>5.7</v>
      </c>
      <c r="U208" s="40">
        <v>0.794117647058824</v>
      </c>
      <c r="V208" s="4">
        <v>1.30562500416667</v>
      </c>
      <c r="W208" s="54">
        <f t="shared" si="6"/>
        <v>0.454172127499</v>
      </c>
      <c r="X208" s="4">
        <v>16.4970001625</v>
      </c>
      <c r="Y208" s="40">
        <v>0.447617420723346</v>
      </c>
      <c r="Z208" s="4">
        <v>0.967750008333333</v>
      </c>
      <c r="AA208" s="40">
        <v>0.199437502083333</v>
      </c>
      <c r="AB208" s="9">
        <v>9.38166665833333</v>
      </c>
      <c r="AC208" s="57">
        <v>0.514794006554307</v>
      </c>
      <c r="AD208" s="9">
        <v>0.294375</v>
      </c>
      <c r="AE208" s="57">
        <f t="shared" si="7"/>
        <v>0.475223658073</v>
      </c>
      <c r="AF208" s="4">
        <v>6.81809792916667</v>
      </c>
      <c r="AG208" s="70">
        <v>0.379820195932542</v>
      </c>
    </row>
    <row r="209" spans="1:33">
      <c r="A209" s="38">
        <v>45496</v>
      </c>
      <c r="B209" s="1">
        <v>48269</v>
      </c>
      <c r="C209" s="39">
        <v>0.496896940822467</v>
      </c>
      <c r="D209" s="1">
        <v>48155</v>
      </c>
      <c r="E209" s="40">
        <v>0.519230769230769</v>
      </c>
      <c r="F209" s="10">
        <v>95.3</v>
      </c>
      <c r="G209" s="40">
        <v>0.575035063113605</v>
      </c>
      <c r="H209" s="4">
        <v>261.593333570833</v>
      </c>
      <c r="I209" s="40">
        <v>0.756974947557197</v>
      </c>
      <c r="J209" s="4">
        <v>205.000000641666</v>
      </c>
      <c r="K209" s="40">
        <v>0.254958266959497</v>
      </c>
      <c r="L209" s="4">
        <v>25.6</v>
      </c>
      <c r="M209" s="40">
        <v>0.363984674329502</v>
      </c>
      <c r="N209" s="13">
        <v>26.9</v>
      </c>
      <c r="O209" s="44">
        <v>0.171314741035856</v>
      </c>
      <c r="P209" s="4">
        <v>4.62</v>
      </c>
      <c r="Q209" s="40">
        <v>0.657142857142857</v>
      </c>
      <c r="R209" s="4">
        <v>7.14297494166667</v>
      </c>
      <c r="S209" s="40">
        <v>0.551838593474429</v>
      </c>
      <c r="T209" s="10">
        <v>6.1</v>
      </c>
      <c r="U209" s="40">
        <v>0.911764705882353</v>
      </c>
      <c r="V209" s="4">
        <v>1.2306249875</v>
      </c>
      <c r="W209" s="54">
        <f t="shared" si="6"/>
        <v>0.427761094618</v>
      </c>
      <c r="X209" s="4">
        <v>11.5769332666667</v>
      </c>
      <c r="Y209" s="40">
        <v>0.278948689292653</v>
      </c>
      <c r="Z209" s="4">
        <v>1.6835833125</v>
      </c>
      <c r="AA209" s="40">
        <v>0.378395828125</v>
      </c>
      <c r="AB209" s="9">
        <v>9.18841669583333</v>
      </c>
      <c r="AC209" s="57">
        <v>0.493080527621723</v>
      </c>
      <c r="AD209" s="9">
        <v>0.293275</v>
      </c>
      <c r="AE209" s="57">
        <f t="shared" si="7"/>
        <v>0.472669248561</v>
      </c>
      <c r="AF209" s="4">
        <v>6.90612715416667</v>
      </c>
      <c r="AG209" s="70">
        <v>0.432218544146828</v>
      </c>
    </row>
    <row r="210" spans="1:33">
      <c r="A210" s="38">
        <v>45497</v>
      </c>
      <c r="B210" s="1">
        <v>43685</v>
      </c>
      <c r="C210" s="39">
        <v>0.353215897693079</v>
      </c>
      <c r="D210" s="1">
        <v>42921</v>
      </c>
      <c r="E210" s="40">
        <v>0.359462759462759</v>
      </c>
      <c r="F210" s="10">
        <v>99.1</v>
      </c>
      <c r="G210" s="40">
        <v>0.628330995792426</v>
      </c>
      <c r="H210" s="4">
        <v>257.3366661</v>
      </c>
      <c r="I210" s="40">
        <v>0.703559619776634</v>
      </c>
      <c r="J210" s="4">
        <v>171.437500633333</v>
      </c>
      <c r="K210" s="40">
        <v>0.173283772499776</v>
      </c>
      <c r="L210" s="4">
        <v>24.413541625</v>
      </c>
      <c r="M210" s="40">
        <v>0.329016847185382</v>
      </c>
      <c r="N210" s="13">
        <v>27.7</v>
      </c>
      <c r="O210" s="44">
        <v>0.203187250996016</v>
      </c>
      <c r="P210" s="4">
        <v>3.74</v>
      </c>
      <c r="Q210" s="40">
        <v>0.428571428571429</v>
      </c>
      <c r="R210" s="4">
        <v>7.1333500375</v>
      </c>
      <c r="S210" s="40">
        <v>0.546746051587302</v>
      </c>
      <c r="T210" s="10">
        <v>5.7</v>
      </c>
      <c r="U210" s="40">
        <v>0.794117647058824</v>
      </c>
      <c r="V210" s="4">
        <v>1.99374999583333</v>
      </c>
      <c r="W210" s="54">
        <f t="shared" si="6"/>
        <v>0.696493297397</v>
      </c>
      <c r="X210" s="4">
        <v>11.3091334125</v>
      </c>
      <c r="Y210" s="40">
        <v>0.269768029225231</v>
      </c>
      <c r="Z210" s="4">
        <v>1.94791667916667</v>
      </c>
      <c r="AA210" s="40">
        <v>0.444479169791668</v>
      </c>
      <c r="AB210" s="9">
        <v>8.97691663333333</v>
      </c>
      <c r="AC210" s="57">
        <v>0.46931647565543</v>
      </c>
      <c r="AD210" s="9">
        <v>0.320875</v>
      </c>
      <c r="AE210" s="57">
        <f t="shared" si="7"/>
        <v>0.536761705396</v>
      </c>
      <c r="AF210" s="4">
        <v>6.87560200833333</v>
      </c>
      <c r="AG210" s="70">
        <v>0.414048814484125</v>
      </c>
    </row>
    <row r="211" spans="1:33">
      <c r="A211" s="38">
        <v>45498</v>
      </c>
      <c r="B211" s="1">
        <v>45619</v>
      </c>
      <c r="C211" s="39">
        <v>0.413835255767302</v>
      </c>
      <c r="D211" s="1">
        <v>44927</v>
      </c>
      <c r="E211" s="40">
        <v>0.420695970695971</v>
      </c>
      <c r="F211" s="10">
        <v>100.2</v>
      </c>
      <c r="G211" s="40">
        <v>0.643758765778401</v>
      </c>
      <c r="H211" s="4">
        <v>254.670000075</v>
      </c>
      <c r="I211" s="40">
        <v>0.670096625360773</v>
      </c>
      <c r="J211" s="4">
        <v>172.0875013875</v>
      </c>
      <c r="K211" s="40">
        <v>0.174865552253425</v>
      </c>
      <c r="L211" s="4">
        <v>28.9045833833333</v>
      </c>
      <c r="M211" s="40">
        <v>0.461378820611061</v>
      </c>
      <c r="N211" s="13">
        <v>26.2</v>
      </c>
      <c r="O211" s="44">
        <v>0.143426294820717</v>
      </c>
      <c r="P211" s="4">
        <v>4.05</v>
      </c>
      <c r="Q211" s="40">
        <v>0.509090909090909</v>
      </c>
      <c r="R211" s="4">
        <v>7.1317749625</v>
      </c>
      <c r="S211" s="40">
        <v>0.545912678571429</v>
      </c>
      <c r="T211" s="10">
        <v>5.8</v>
      </c>
      <c r="U211" s="40">
        <v>0.823529411764706</v>
      </c>
      <c r="V211" s="4">
        <v>1.06791668333333</v>
      </c>
      <c r="W211" s="54">
        <f t="shared" si="6"/>
        <v>0.370463849066</v>
      </c>
      <c r="X211" s="4">
        <v>11.6930666291667</v>
      </c>
      <c r="Y211" s="40">
        <v>0.282929949577192</v>
      </c>
      <c r="Z211" s="4">
        <v>2.02075002916667</v>
      </c>
      <c r="AA211" s="40">
        <v>0.462687507291668</v>
      </c>
      <c r="AB211" s="9">
        <v>9.56974994583333</v>
      </c>
      <c r="AC211" s="57">
        <v>0.535926960205992</v>
      </c>
      <c r="AD211" s="9">
        <v>0.327683333333333</v>
      </c>
      <c r="AE211" s="57">
        <f t="shared" si="7"/>
        <v>0.552571952146</v>
      </c>
      <c r="AF211" s="4">
        <v>6.8150916375</v>
      </c>
      <c r="AG211" s="70">
        <v>0.378030736607143</v>
      </c>
    </row>
    <row r="212" spans="1:33">
      <c r="A212" s="38">
        <v>45499</v>
      </c>
      <c r="B212" s="1">
        <v>51749</v>
      </c>
      <c r="C212" s="39">
        <v>0.605974172517553</v>
      </c>
      <c r="D212" s="1">
        <v>51473</v>
      </c>
      <c r="E212" s="40">
        <v>0.620512820512821</v>
      </c>
      <c r="F212" s="10">
        <v>101.9</v>
      </c>
      <c r="G212" s="40">
        <v>0.667601683029453</v>
      </c>
      <c r="H212" s="4">
        <v>261.356667191667</v>
      </c>
      <c r="I212" s="40">
        <v>0.754005109695909</v>
      </c>
      <c r="J212" s="4">
        <v>190.004167075</v>
      </c>
      <c r="K212" s="40">
        <v>0.218465838646485</v>
      </c>
      <c r="L212" s="4">
        <v>24.7116666458333</v>
      </c>
      <c r="M212" s="40">
        <v>0.337803319947931</v>
      </c>
      <c r="N212" s="13">
        <v>25.9</v>
      </c>
      <c r="O212" s="44">
        <v>0.131474103585657</v>
      </c>
      <c r="P212" s="4">
        <v>3.6</v>
      </c>
      <c r="Q212" s="40">
        <v>0.392207792207792</v>
      </c>
      <c r="R212" s="4">
        <v>7.11229162916667</v>
      </c>
      <c r="S212" s="40">
        <v>0.535604036596122</v>
      </c>
      <c r="T212" s="10">
        <v>5.2</v>
      </c>
      <c r="U212" s="40">
        <v>0.647058823529412</v>
      </c>
      <c r="V212" s="4">
        <v>1.15916666666667</v>
      </c>
      <c r="W212" s="54">
        <f t="shared" si="6"/>
        <v>0.402597259395</v>
      </c>
      <c r="X212" s="4">
        <v>12.2927999541667</v>
      </c>
      <c r="Y212" s="40">
        <v>0.303489885298824</v>
      </c>
      <c r="Z212" s="4">
        <v>1.874416675</v>
      </c>
      <c r="AA212" s="40">
        <v>0.42610416875</v>
      </c>
      <c r="AB212" s="4">
        <v>10.10475</v>
      </c>
      <c r="AC212" s="40">
        <v>0.596039325842697</v>
      </c>
      <c r="AD212" s="4">
        <v>0.34465</v>
      </c>
      <c r="AE212" s="57">
        <f t="shared" si="7"/>
        <v>0.591971783703</v>
      </c>
      <c r="AF212" s="4">
        <v>6.70332080416667</v>
      </c>
      <c r="AG212" s="70">
        <v>0.311500478670637</v>
      </c>
    </row>
    <row r="213" spans="1:33">
      <c r="A213" s="38">
        <v>45500</v>
      </c>
      <c r="B213" s="1">
        <v>44659</v>
      </c>
      <c r="C213" s="39">
        <v>0.383744984954865</v>
      </c>
      <c r="D213" s="1">
        <v>44300</v>
      </c>
      <c r="E213" s="40">
        <v>0.401556776556777</v>
      </c>
      <c r="F213" s="10">
        <v>104.7</v>
      </c>
      <c r="G213" s="40">
        <v>0.70687237026648</v>
      </c>
      <c r="H213" s="4">
        <v>258.90000025</v>
      </c>
      <c r="I213" s="40">
        <v>0.723177315221483</v>
      </c>
      <c r="J213" s="4">
        <v>177.233333266666</v>
      </c>
      <c r="K213" s="40">
        <v>0.187387957235213</v>
      </c>
      <c r="L213" s="4">
        <v>26.8202083541666</v>
      </c>
      <c r="M213" s="40">
        <v>0.399947195819823</v>
      </c>
      <c r="N213" s="13">
        <v>25.8</v>
      </c>
      <c r="O213" s="44">
        <v>0.127490039840637</v>
      </c>
      <c r="P213" s="4">
        <v>3.74</v>
      </c>
      <c r="Q213" s="40">
        <v>0.428571428571429</v>
      </c>
      <c r="R213" s="4">
        <v>7.1291499625</v>
      </c>
      <c r="S213" s="40">
        <v>0.54452378968254</v>
      </c>
      <c r="T213" s="11">
        <v>4.9</v>
      </c>
      <c r="U213" s="40">
        <v>0.558823529411765</v>
      </c>
      <c r="V213" s="4">
        <v>1.4595833375</v>
      </c>
      <c r="W213" s="54">
        <f t="shared" si="6"/>
        <v>0.508388096837</v>
      </c>
      <c r="X213" s="4">
        <v>11.7277333791667</v>
      </c>
      <c r="Y213" s="40">
        <v>0.284118388041368</v>
      </c>
      <c r="Z213" s="4">
        <v>0.950499983333334</v>
      </c>
      <c r="AA213" s="40">
        <v>0.195124995833333</v>
      </c>
      <c r="AB213" s="4">
        <v>9.6008333</v>
      </c>
      <c r="AC213" s="40">
        <v>0.539419471910112</v>
      </c>
      <c r="AD213" s="4">
        <v>0.342833333333333</v>
      </c>
      <c r="AE213" s="57">
        <f t="shared" si="7"/>
        <v>0.587753137692</v>
      </c>
      <c r="AF213" s="4">
        <v>6.86920416666667</v>
      </c>
      <c r="AG213" s="70">
        <v>0.410240575396827</v>
      </c>
    </row>
    <row r="214" spans="1:33">
      <c r="A214" s="38">
        <v>45501</v>
      </c>
      <c r="B214" s="1">
        <v>40293</v>
      </c>
      <c r="C214" s="39">
        <v>0.246896940822467</v>
      </c>
      <c r="D214" s="1">
        <v>40171</v>
      </c>
      <c r="E214" s="40">
        <v>0.275518925518926</v>
      </c>
      <c r="F214" s="10">
        <v>102.6</v>
      </c>
      <c r="G214" s="40">
        <v>0.67741935483871</v>
      </c>
      <c r="H214" s="4">
        <v>267.393332795833</v>
      </c>
      <c r="I214" s="40">
        <v>0.829756968199686</v>
      </c>
      <c r="J214" s="4">
        <v>250.862499545833</v>
      </c>
      <c r="K214" s="40">
        <v>0.366564863956959</v>
      </c>
      <c r="L214" s="4">
        <v>22.65270835</v>
      </c>
      <c r="M214" s="40">
        <v>0.277120788387857</v>
      </c>
      <c r="N214" s="13">
        <v>24.7</v>
      </c>
      <c r="O214" s="44">
        <v>0.0836653386454182</v>
      </c>
      <c r="P214" s="4">
        <v>4.16</v>
      </c>
      <c r="Q214" s="40">
        <v>0.537662337662338</v>
      </c>
      <c r="R214" s="4">
        <v>7.12973330416667</v>
      </c>
      <c r="S214" s="40">
        <v>0.544832436067022</v>
      </c>
      <c r="T214" s="10">
        <v>4.3</v>
      </c>
      <c r="U214" s="40">
        <v>0.382352941176471</v>
      </c>
      <c r="V214" s="4">
        <v>1.393749975</v>
      </c>
      <c r="W214" s="54">
        <f t="shared" si="6"/>
        <v>0.485205073967</v>
      </c>
      <c r="X214" s="4">
        <v>11.3186668166667</v>
      </c>
      <c r="Y214" s="40">
        <v>0.27009485144555</v>
      </c>
      <c r="Z214" s="4">
        <v>0.634000004166666</v>
      </c>
      <c r="AA214" s="40">
        <v>0.116000001041666</v>
      </c>
      <c r="AB214" s="4">
        <v>10.508250175</v>
      </c>
      <c r="AC214" s="40">
        <v>0.641376424157303</v>
      </c>
      <c r="AD214" s="4">
        <v>0.358941666666667</v>
      </c>
      <c r="AE214" s="57">
        <f t="shared" si="7"/>
        <v>0.625159755766</v>
      </c>
      <c r="AF214" s="4">
        <v>6.87275004166667</v>
      </c>
      <c r="AG214" s="70">
        <v>0.41235121527778</v>
      </c>
    </row>
    <row r="215" spans="1:33">
      <c r="A215" s="38">
        <v>45502</v>
      </c>
      <c r="B215" s="1">
        <v>41524</v>
      </c>
      <c r="C215" s="39">
        <v>0.285481444332999</v>
      </c>
      <c r="D215" s="1">
        <v>41259</v>
      </c>
      <c r="E215" s="40">
        <v>0.308730158730159</v>
      </c>
      <c r="F215" s="10">
        <v>90.4</v>
      </c>
      <c r="G215" s="40">
        <v>0.506311360448808</v>
      </c>
      <c r="H215" s="4">
        <v>258.93333625</v>
      </c>
      <c r="I215" s="40">
        <v>0.723595636215335</v>
      </c>
      <c r="J215" s="4">
        <v>168.062499683333</v>
      </c>
      <c r="K215" s="40">
        <v>0.165070692534819</v>
      </c>
      <c r="L215" s="4">
        <v>27.5237500125</v>
      </c>
      <c r="M215" s="40">
        <v>0.420682287430003</v>
      </c>
      <c r="N215" s="13">
        <v>27.9</v>
      </c>
      <c r="O215" s="44">
        <v>0.211155378486056</v>
      </c>
      <c r="P215" s="4">
        <v>3.76</v>
      </c>
      <c r="Q215" s="40">
        <v>0.433766233766234</v>
      </c>
      <c r="R215" s="4">
        <v>7.087675</v>
      </c>
      <c r="S215" s="40">
        <v>0.522579365079365</v>
      </c>
      <c r="T215" s="10">
        <v>4.5</v>
      </c>
      <c r="U215" s="40">
        <v>0.441176470588235</v>
      </c>
      <c r="V215" s="4">
        <v>1.156666675</v>
      </c>
      <c r="W215" s="54">
        <f t="shared" si="6"/>
        <v>0.401716894762</v>
      </c>
      <c r="X215" s="4">
        <v>13.81726695</v>
      </c>
      <c r="Y215" s="40">
        <v>0.355751352416867</v>
      </c>
      <c r="Z215" s="4">
        <v>0.721916670833333</v>
      </c>
      <c r="AA215" s="40">
        <v>0.137979167708333</v>
      </c>
      <c r="AB215" s="4">
        <v>11.8267499625</v>
      </c>
      <c r="AC215" s="40">
        <v>0.789522467696629</v>
      </c>
      <c r="AD215" s="4">
        <v>0.367341666666667</v>
      </c>
      <c r="AE215" s="57">
        <f t="shared" si="7"/>
        <v>0.644666155673</v>
      </c>
      <c r="AF215" s="4">
        <v>6.7890373625</v>
      </c>
      <c r="AG215" s="70">
        <v>0.362522239583334</v>
      </c>
    </row>
    <row r="216" spans="1:33">
      <c r="A216" s="38">
        <v>45503</v>
      </c>
      <c r="B216" s="1">
        <v>45328</v>
      </c>
      <c r="C216" s="39">
        <v>0.404714142427282</v>
      </c>
      <c r="D216" s="1">
        <v>45064</v>
      </c>
      <c r="E216" s="40">
        <v>0.4248778998779</v>
      </c>
      <c r="F216" s="11">
        <v>88.4</v>
      </c>
      <c r="G216" s="40">
        <v>0.478260869565218</v>
      </c>
      <c r="H216" s="4">
        <v>269.653335579167</v>
      </c>
      <c r="I216" s="40">
        <v>0.858116897718246</v>
      </c>
      <c r="J216" s="4">
        <v>173.079166895833</v>
      </c>
      <c r="K216" s="40">
        <v>0.177278774720349</v>
      </c>
      <c r="L216" s="4">
        <v>30.0043749791666</v>
      </c>
      <c r="M216" s="40">
        <v>0.493792366023183</v>
      </c>
      <c r="N216" s="13">
        <v>28.7</v>
      </c>
      <c r="O216" s="44">
        <v>0.243027888446215</v>
      </c>
      <c r="P216" s="4">
        <v>4.33</v>
      </c>
      <c r="Q216" s="40">
        <v>0.581818181818182</v>
      </c>
      <c r="R216" s="4">
        <v>7.05261671666667</v>
      </c>
      <c r="S216" s="40">
        <v>0.504030008818344</v>
      </c>
      <c r="T216" s="13">
        <v>4.9</v>
      </c>
      <c r="U216" s="40">
        <v>0.558823529411765</v>
      </c>
      <c r="V216" s="4">
        <v>1.16062501666667</v>
      </c>
      <c r="W216" s="54">
        <f t="shared" si="6"/>
        <v>0.403110813011</v>
      </c>
      <c r="X216" s="4">
        <v>10.7120000875</v>
      </c>
      <c r="Y216" s="40">
        <v>0.249297226174152</v>
      </c>
      <c r="Z216" s="4">
        <v>0.7735833375</v>
      </c>
      <c r="AA216" s="40">
        <v>0.150895834375</v>
      </c>
      <c r="AB216" s="4">
        <v>11.9899167666667</v>
      </c>
      <c r="AC216" s="40">
        <v>0.807855816479405</v>
      </c>
      <c r="AD216" s="4">
        <v>0.382266666666667</v>
      </c>
      <c r="AE216" s="57">
        <f t="shared" si="7"/>
        <v>0.679324848363</v>
      </c>
      <c r="AF216" s="4">
        <v>6.84623337083333</v>
      </c>
      <c r="AG216" s="70">
        <v>0.396567482638887</v>
      </c>
    </row>
    <row r="217" spans="1:33">
      <c r="A217" s="38">
        <v>45504</v>
      </c>
      <c r="B217" s="1">
        <v>43028</v>
      </c>
      <c r="C217" s="39">
        <v>0.332622868605817</v>
      </c>
      <c r="D217" s="1">
        <v>42709</v>
      </c>
      <c r="E217" s="40">
        <v>0.352991452991453</v>
      </c>
      <c r="F217" s="11">
        <v>83.6</v>
      </c>
      <c r="G217" s="40">
        <v>0.4109396914446</v>
      </c>
      <c r="H217" s="4">
        <v>266.860002516667</v>
      </c>
      <c r="I217" s="40">
        <v>0.82306440603171</v>
      </c>
      <c r="J217" s="4">
        <v>190.029168120833</v>
      </c>
      <c r="K217" s="40">
        <v>0.218526678803769</v>
      </c>
      <c r="L217" s="4">
        <v>33.1041666166666</v>
      </c>
      <c r="M217" s="40">
        <v>0.585150799194418</v>
      </c>
      <c r="N217" s="13">
        <v>30.6</v>
      </c>
      <c r="O217" s="44">
        <v>0.318725099601594</v>
      </c>
      <c r="P217" s="4">
        <v>3.24</v>
      </c>
      <c r="Q217" s="40">
        <v>0.298701298701299</v>
      </c>
      <c r="R217" s="4">
        <v>7.05728332083333</v>
      </c>
      <c r="S217" s="40">
        <v>0.506499111552027</v>
      </c>
      <c r="T217" s="13">
        <v>4.4</v>
      </c>
      <c r="U217" s="40">
        <v>0.411764705882353</v>
      </c>
      <c r="V217" s="4">
        <v>0.801875</v>
      </c>
      <c r="W217" s="54">
        <f t="shared" si="6"/>
        <v>0.276778061269</v>
      </c>
      <c r="X217" s="4">
        <v>11.0742665958333</v>
      </c>
      <c r="Y217" s="40">
        <v>0.261716372843103</v>
      </c>
      <c r="Z217" s="4">
        <v>0.407333333333333</v>
      </c>
      <c r="AA217" s="40">
        <v>0.0593333333333332</v>
      </c>
      <c r="AB217" s="4">
        <v>12.4041666625</v>
      </c>
      <c r="AC217" s="40">
        <v>0.854400748595506</v>
      </c>
      <c r="AD217" s="4">
        <v>0.392133333333333</v>
      </c>
      <c r="AE217" s="57">
        <f t="shared" si="7"/>
        <v>0.702237127619</v>
      </c>
      <c r="AF217" s="4">
        <v>6.84353539166666</v>
      </c>
      <c r="AG217" s="70">
        <v>0.394961542658726</v>
      </c>
    </row>
    <row r="218" spans="1:33">
      <c r="A218" s="38">
        <v>45505</v>
      </c>
      <c r="B218" s="1">
        <v>38432</v>
      </c>
      <c r="C218" s="39">
        <v>0.188565697091274</v>
      </c>
      <c r="D218" s="1">
        <v>38006</v>
      </c>
      <c r="E218" s="40">
        <v>0.209432234432234</v>
      </c>
      <c r="F218" s="10">
        <v>80.9</v>
      </c>
      <c r="G218" s="40">
        <v>0.373071528751753</v>
      </c>
      <c r="H218" s="4">
        <v>258.253334054167</v>
      </c>
      <c r="I218" s="40">
        <v>0.715062543031334</v>
      </c>
      <c r="J218" s="4">
        <v>164.954167675</v>
      </c>
      <c r="K218" s="40">
        <v>0.157506552636702</v>
      </c>
      <c r="L218" s="4">
        <v>31.1506250708333</v>
      </c>
      <c r="M218" s="40">
        <v>0.527575156817958</v>
      </c>
      <c r="N218" s="13">
        <v>34.3</v>
      </c>
      <c r="O218" s="44">
        <v>0.46613545816733</v>
      </c>
      <c r="P218" s="4">
        <v>3.86</v>
      </c>
      <c r="Q218" s="40">
        <v>0.45974025974026</v>
      </c>
      <c r="R218" s="4">
        <v>7.81</v>
      </c>
      <c r="S218" s="40">
        <v>0.904761904761905</v>
      </c>
      <c r="T218" s="11">
        <v>4.8</v>
      </c>
      <c r="U218" s="40">
        <v>0.529411764705882</v>
      </c>
      <c r="V218" s="4">
        <v>1.19746000177686</v>
      </c>
      <c r="W218" s="54">
        <f t="shared" si="6"/>
        <v>0.416082143501</v>
      </c>
      <c r="X218" s="4">
        <v>14.3823333541667</v>
      </c>
      <c r="Y218" s="40">
        <v>0.375122843817851</v>
      </c>
      <c r="Z218" s="4">
        <v>0.832833329166667</v>
      </c>
      <c r="AA218" s="40">
        <v>0.165708332291667</v>
      </c>
      <c r="AB218" s="9">
        <v>7.6825000375</v>
      </c>
      <c r="AC218" s="57">
        <v>0.323876408707865</v>
      </c>
      <c r="AD218" s="9">
        <v>0.245708333333333</v>
      </c>
      <c r="AE218" s="57">
        <f t="shared" si="7"/>
        <v>0.362210388773</v>
      </c>
      <c r="AF218" s="4">
        <v>6.81873687894737</v>
      </c>
      <c r="AG218" s="70">
        <v>0.380200523182959</v>
      </c>
    </row>
    <row r="219" spans="1:33">
      <c r="A219" s="38">
        <v>45506</v>
      </c>
      <c r="B219" s="1">
        <v>39984</v>
      </c>
      <c r="C219" s="39">
        <v>0.237211634904714</v>
      </c>
      <c r="D219" s="1">
        <v>39684</v>
      </c>
      <c r="E219" s="40">
        <v>0.260653235653236</v>
      </c>
      <c r="F219" s="10">
        <v>78.2</v>
      </c>
      <c r="G219" s="40">
        <v>0.335203366058906</v>
      </c>
      <c r="H219" s="4">
        <v>264.839999516667</v>
      </c>
      <c r="I219" s="40">
        <v>0.797716144016401</v>
      </c>
      <c r="J219" s="4">
        <v>155.04583375</v>
      </c>
      <c r="K219" s="40">
        <v>0.133394577543621</v>
      </c>
      <c r="L219" s="4">
        <v>31.423125025</v>
      </c>
      <c r="M219" s="40">
        <v>0.535606396257</v>
      </c>
      <c r="N219" s="13">
        <v>31.2</v>
      </c>
      <c r="O219" s="44">
        <v>0.342629482071713</v>
      </c>
      <c r="P219" s="4">
        <v>3.34768406464284</v>
      </c>
      <c r="Q219" s="40">
        <v>0.326671185621517</v>
      </c>
      <c r="R219" s="4">
        <v>7.85</v>
      </c>
      <c r="S219" s="40">
        <v>0.925925925925926</v>
      </c>
      <c r="T219" s="10">
        <v>5</v>
      </c>
      <c r="U219" s="40">
        <v>0.588235294117647</v>
      </c>
      <c r="V219" s="4">
        <v>1.005633293454</v>
      </c>
      <c r="W219" s="54">
        <f t="shared" si="6"/>
        <v>0.3485309385</v>
      </c>
      <c r="X219" s="4">
        <v>11.1756668916667</v>
      </c>
      <c r="Y219" s="40">
        <v>0.265192557136328</v>
      </c>
      <c r="Z219" s="4">
        <v>0.514666666666667</v>
      </c>
      <c r="AA219" s="40">
        <v>0.0861666666666668</v>
      </c>
      <c r="AB219" s="9">
        <v>11.4634166333333</v>
      </c>
      <c r="AC219" s="57">
        <v>0.748698498127337</v>
      </c>
      <c r="AD219" s="9">
        <v>0.358875</v>
      </c>
      <c r="AE219" s="57">
        <f t="shared" si="7"/>
        <v>0.625004943068</v>
      </c>
      <c r="AF219" s="4">
        <v>6.87434992</v>
      </c>
      <c r="AG219" s="70">
        <v>0.413303523809524</v>
      </c>
    </row>
    <row r="220" spans="1:33">
      <c r="A220" s="38">
        <v>45507</v>
      </c>
      <c r="B220" s="1">
        <v>42805</v>
      </c>
      <c r="C220" s="39">
        <v>0.325633149448345</v>
      </c>
      <c r="D220" s="1">
        <v>42601</v>
      </c>
      <c r="E220" s="40">
        <v>0.34969474969475</v>
      </c>
      <c r="F220" s="10">
        <v>74.8</v>
      </c>
      <c r="G220" s="40">
        <v>0.287517531556802</v>
      </c>
      <c r="H220" s="4">
        <v>267.576665225</v>
      </c>
      <c r="I220" s="40">
        <v>0.832057538273309</v>
      </c>
      <c r="J220" s="4">
        <v>152.879166604166</v>
      </c>
      <c r="K220" s="40">
        <v>0.128121983316297</v>
      </c>
      <c r="L220" s="4">
        <v>32.6591667833333</v>
      </c>
      <c r="M220" s="40">
        <v>0.572035566853324</v>
      </c>
      <c r="N220" s="13">
        <v>34.2</v>
      </c>
      <c r="O220" s="44">
        <v>0.462151394422311</v>
      </c>
      <c r="P220" s="4">
        <v>4.7058184774792</v>
      </c>
      <c r="Q220" s="40">
        <v>0.679433370773818</v>
      </c>
      <c r="R220" s="4">
        <v>7.92</v>
      </c>
      <c r="S220" s="40">
        <v>0.962962962962963</v>
      </c>
      <c r="T220" s="10">
        <v>5.1</v>
      </c>
      <c r="U220" s="40">
        <v>0.617647058823529</v>
      </c>
      <c r="V220" s="4">
        <v>1.13104739201237</v>
      </c>
      <c r="W220" s="54">
        <f t="shared" si="6"/>
        <v>0.392695140429</v>
      </c>
      <c r="X220" s="4">
        <v>11.5188666708333</v>
      </c>
      <c r="Y220" s="40">
        <v>0.276958062078618</v>
      </c>
      <c r="Z220" s="4">
        <v>0.253166666666667</v>
      </c>
      <c r="AA220" s="40">
        <v>0.0207916666666667</v>
      </c>
      <c r="AB220" s="9">
        <v>10.0875834041667</v>
      </c>
      <c r="AC220" s="57">
        <v>0.594110494850191</v>
      </c>
      <c r="AD220" s="9">
        <v>0.353775</v>
      </c>
      <c r="AE220" s="57">
        <f t="shared" si="7"/>
        <v>0.613161771697</v>
      </c>
      <c r="AF220" s="4">
        <v>6.95805832083333</v>
      </c>
      <c r="AG220" s="70">
        <v>0.463129952876982</v>
      </c>
    </row>
    <row r="221" spans="1:33">
      <c r="A221" s="38">
        <v>45508</v>
      </c>
      <c r="B221" s="1">
        <v>42875</v>
      </c>
      <c r="C221" s="39">
        <v>0.327827231695085</v>
      </c>
      <c r="D221" s="1">
        <v>42559</v>
      </c>
      <c r="E221" s="40">
        <v>0.348412698412698</v>
      </c>
      <c r="F221" s="10">
        <v>75.7</v>
      </c>
      <c r="G221" s="40">
        <v>0.300140252454418</v>
      </c>
      <c r="H221" s="4">
        <v>261.163337066667</v>
      </c>
      <c r="I221" s="40">
        <v>0.751579082277161</v>
      </c>
      <c r="J221" s="4">
        <v>151.141666720833</v>
      </c>
      <c r="K221" s="40">
        <v>0.123893769549152</v>
      </c>
      <c r="L221" s="4">
        <v>26.2749999916666</v>
      </c>
      <c r="M221" s="40">
        <v>0.38387857328814</v>
      </c>
      <c r="N221" s="13">
        <v>32.3</v>
      </c>
      <c r="O221" s="44">
        <v>0.386454183266932</v>
      </c>
      <c r="P221" s="4">
        <v>3.28398035711634</v>
      </c>
      <c r="Q221" s="40">
        <v>0.310124768082166</v>
      </c>
      <c r="R221" s="4">
        <v>7.28</v>
      </c>
      <c r="S221" s="40">
        <v>0.624338624338625</v>
      </c>
      <c r="T221" s="10">
        <v>5.3</v>
      </c>
      <c r="U221" s="40">
        <v>0.676470588235294</v>
      </c>
      <c r="V221" s="4">
        <v>1.71144835270908</v>
      </c>
      <c r="W221" s="54">
        <f t="shared" si="6"/>
        <v>0.597081613103</v>
      </c>
      <c r="X221" s="4">
        <v>11.526666675</v>
      </c>
      <c r="Y221" s="40">
        <v>0.277225460233116</v>
      </c>
      <c r="Z221" s="4">
        <v>0.29225</v>
      </c>
      <c r="AA221" s="40">
        <v>0.0305625</v>
      </c>
      <c r="AB221" s="9">
        <v>11.2050833583333</v>
      </c>
      <c r="AC221" s="57">
        <v>0.71967228745318</v>
      </c>
      <c r="AD221" s="9">
        <v>0.338916666666667</v>
      </c>
      <c r="AE221" s="57">
        <f t="shared" si="7"/>
        <v>0.578657891703</v>
      </c>
      <c r="AF221" s="4">
        <v>6.93740840416667</v>
      </c>
      <c r="AG221" s="70">
        <v>0.450838335813494</v>
      </c>
    </row>
    <row r="222" spans="1:33">
      <c r="A222" s="38">
        <v>45509</v>
      </c>
      <c r="B222" s="1">
        <v>43856</v>
      </c>
      <c r="C222" s="39">
        <v>0.358575727181545</v>
      </c>
      <c r="D222" s="1">
        <v>43541</v>
      </c>
      <c r="E222" s="40">
        <v>0.378388278388278</v>
      </c>
      <c r="F222" s="10">
        <v>77.3</v>
      </c>
      <c r="G222" s="40">
        <v>0.32258064516129</v>
      </c>
      <c r="H222" s="4">
        <v>257.28000005</v>
      </c>
      <c r="I222" s="40">
        <v>0.702848538712511</v>
      </c>
      <c r="J222" s="4">
        <v>154.820833204166</v>
      </c>
      <c r="K222" s="40">
        <v>0.132847037705123</v>
      </c>
      <c r="L222" s="4">
        <v>29.0458332458333</v>
      </c>
      <c r="M222" s="40">
        <v>0.465541799169859</v>
      </c>
      <c r="N222" s="13">
        <v>30.6</v>
      </c>
      <c r="O222" s="44">
        <v>0.318725099601594</v>
      </c>
      <c r="P222" s="4">
        <v>4.18713612539446</v>
      </c>
      <c r="Q222" s="40">
        <v>0.544710681920639</v>
      </c>
      <c r="R222" s="4">
        <v>7.84</v>
      </c>
      <c r="S222" s="40">
        <v>0.920634920634921</v>
      </c>
      <c r="T222" s="10">
        <v>5.5</v>
      </c>
      <c r="U222" s="40">
        <v>0.735294117647059</v>
      </c>
      <c r="V222" s="4">
        <v>1.72637070870636</v>
      </c>
      <c r="W222" s="54">
        <f t="shared" si="6"/>
        <v>0.602336476401</v>
      </c>
      <c r="X222" s="4">
        <v>11.1453333625</v>
      </c>
      <c r="Y222" s="40">
        <v>0.26415266926637</v>
      </c>
      <c r="Z222" s="4">
        <v>0.474916670833333</v>
      </c>
      <c r="AA222" s="40">
        <v>0.0762291677083332</v>
      </c>
      <c r="AB222" s="9">
        <v>9.88725000416667</v>
      </c>
      <c r="AC222" s="57">
        <v>0.571601124063671</v>
      </c>
      <c r="AD222" s="9">
        <v>0.354533333333333</v>
      </c>
      <c r="AE222" s="57">
        <f t="shared" si="7"/>
        <v>0.614922766133</v>
      </c>
      <c r="AF222" s="4">
        <v>6.94850430434783</v>
      </c>
      <c r="AG222" s="70">
        <v>0.45744303830228</v>
      </c>
    </row>
    <row r="223" spans="1:33">
      <c r="A223" s="38">
        <v>45510</v>
      </c>
      <c r="B223" s="1">
        <v>46871</v>
      </c>
      <c r="C223" s="39">
        <v>0.453077983951856</v>
      </c>
      <c r="D223" s="1">
        <v>46726</v>
      </c>
      <c r="E223" s="40">
        <v>0.475610500610501</v>
      </c>
      <c r="F223" s="10">
        <v>79.4</v>
      </c>
      <c r="G223" s="40">
        <v>0.35203366058906</v>
      </c>
      <c r="H223" s="4">
        <v>256.273335145833</v>
      </c>
      <c r="I223" s="40">
        <v>0.690216277397829</v>
      </c>
      <c r="J223" s="4">
        <v>162.591666220833</v>
      </c>
      <c r="K223" s="40">
        <v>0.15175739474079</v>
      </c>
      <c r="L223" s="4">
        <v>27.2770833958333</v>
      </c>
      <c r="M223" s="40">
        <v>0.413412419564789</v>
      </c>
      <c r="N223" s="13">
        <v>31.8</v>
      </c>
      <c r="O223" s="44">
        <v>0.366533864541833</v>
      </c>
      <c r="P223" s="4">
        <v>3.86880559383775</v>
      </c>
      <c r="Q223" s="40">
        <v>0.462027426970844</v>
      </c>
      <c r="R223" s="4">
        <v>7.98</v>
      </c>
      <c r="S223" s="40">
        <v>0.994708994708995</v>
      </c>
      <c r="T223" s="10">
        <v>5.8</v>
      </c>
      <c r="U223" s="40">
        <v>0.823529411764706</v>
      </c>
      <c r="V223" s="4">
        <v>1.54735988458751</v>
      </c>
      <c r="W223" s="54">
        <f t="shared" si="6"/>
        <v>0.539298346918</v>
      </c>
      <c r="X223" s="4">
        <v>12.2607334375</v>
      </c>
      <c r="Y223" s="40">
        <v>0.302390587504285</v>
      </c>
      <c r="Z223" s="4">
        <v>0.317916666666667</v>
      </c>
      <c r="AA223" s="40">
        <v>0.0369791666666668</v>
      </c>
      <c r="AB223" s="9">
        <v>9.99908335416667</v>
      </c>
      <c r="AC223" s="57">
        <v>0.584166669007491</v>
      </c>
      <c r="AD223" s="9">
        <v>0.35175</v>
      </c>
      <c r="AE223" s="57">
        <f t="shared" si="7"/>
        <v>0.608459336005</v>
      </c>
      <c r="AF223" s="4">
        <v>6.91109999</v>
      </c>
      <c r="AG223" s="70">
        <v>0.435178565476191</v>
      </c>
    </row>
    <row r="224" spans="1:33">
      <c r="A224" s="38">
        <v>45511</v>
      </c>
      <c r="B224" s="1">
        <v>32416</v>
      </c>
      <c r="C224" s="39">
        <v>0</v>
      </c>
      <c r="D224" s="1">
        <v>31145</v>
      </c>
      <c r="E224" s="40">
        <v>0</v>
      </c>
      <c r="F224" s="10">
        <v>80.5</v>
      </c>
      <c r="G224" s="40">
        <v>0.367461430575035</v>
      </c>
      <c r="H224" s="4">
        <v>256.236668904167</v>
      </c>
      <c r="I224" s="40">
        <v>0.68975616644707</v>
      </c>
      <c r="J224" s="4">
        <v>170.187500479166</v>
      </c>
      <c r="K224" s="40">
        <v>0.17024189151234</v>
      </c>
      <c r="L224" s="4">
        <v>31.081304447826</v>
      </c>
      <c r="M224" s="40">
        <v>0.525532108689243</v>
      </c>
      <c r="N224" s="13">
        <v>32.7</v>
      </c>
      <c r="O224" s="44">
        <v>0.402390438247012</v>
      </c>
      <c r="P224" s="4">
        <v>3.97183385827587</v>
      </c>
      <c r="Q224" s="40">
        <v>0.48878801513659</v>
      </c>
      <c r="R224" s="4">
        <v>7.73</v>
      </c>
      <c r="S224" s="40">
        <v>0.862433862433863</v>
      </c>
      <c r="T224" s="10">
        <v>6.2</v>
      </c>
      <c r="U224" s="40">
        <v>0.941176470588235</v>
      </c>
      <c r="V224" s="4">
        <v>0.91312512083333</v>
      </c>
      <c r="W224" s="54">
        <f t="shared" si="6"/>
        <v>0.315954460554</v>
      </c>
      <c r="X224" s="4">
        <v>14.3112666666667</v>
      </c>
      <c r="Y224" s="40">
        <v>0.37268655010856</v>
      </c>
      <c r="Z224" s="4">
        <v>1.11000000416667</v>
      </c>
      <c r="AA224" s="40">
        <v>0.235000001041667</v>
      </c>
      <c r="AB224" s="9">
        <v>10.7570000083333</v>
      </c>
      <c r="AC224" s="57">
        <v>0.669325843632955</v>
      </c>
      <c r="AD224" s="9">
        <v>0.366208333333333</v>
      </c>
      <c r="AE224" s="57">
        <f t="shared" si="7"/>
        <v>0.642034339812</v>
      </c>
      <c r="AF224" s="4">
        <v>6.87326316842105</v>
      </c>
      <c r="AG224" s="70">
        <v>0.412656647869673</v>
      </c>
    </row>
    <row r="225" spans="1:33">
      <c r="A225" s="38">
        <v>45512</v>
      </c>
      <c r="B225" s="1">
        <v>55678</v>
      </c>
      <c r="C225" s="39">
        <v>0.729124874623872</v>
      </c>
      <c r="D225" s="1">
        <v>55289</v>
      </c>
      <c r="E225" s="40">
        <v>0.736996336996337</v>
      </c>
      <c r="F225" s="10">
        <v>81.2</v>
      </c>
      <c r="G225" s="40">
        <v>0.377279102384292</v>
      </c>
      <c r="H225" s="4">
        <v>255.660003025</v>
      </c>
      <c r="I225" s="40">
        <v>0.682519802045426</v>
      </c>
      <c r="J225" s="4">
        <v>168.0833338125</v>
      </c>
      <c r="K225" s="40">
        <v>0.165121392481688</v>
      </c>
      <c r="L225" s="4">
        <v>28.023999955</v>
      </c>
      <c r="M225" s="40">
        <v>0.435425875478927</v>
      </c>
      <c r="N225" s="13">
        <v>33.2</v>
      </c>
      <c r="O225" s="44">
        <v>0.422310756972112</v>
      </c>
      <c r="P225" s="4">
        <v>3.58879218718159</v>
      </c>
      <c r="Q225" s="40">
        <v>0.389296671995218</v>
      </c>
      <c r="R225" s="4">
        <v>7.79</v>
      </c>
      <c r="S225" s="40">
        <v>0.894179894179894</v>
      </c>
      <c r="T225" s="11">
        <v>6</v>
      </c>
      <c r="U225" s="40">
        <v>0.882352941176471</v>
      </c>
      <c r="V225" s="4">
        <v>1.40270834166667</v>
      </c>
      <c r="W225" s="54">
        <f t="shared" si="6"/>
        <v>0.488359736153</v>
      </c>
      <c r="X225" s="4">
        <v>14.7367998291667</v>
      </c>
      <c r="Y225" s="40">
        <v>0.38727459133242</v>
      </c>
      <c r="Z225" s="4">
        <v>1.36733333333333</v>
      </c>
      <c r="AA225" s="40">
        <v>0.299333333333333</v>
      </c>
      <c r="AB225" s="9">
        <v>10.908333375</v>
      </c>
      <c r="AC225" s="57">
        <v>0.686329592696629</v>
      </c>
      <c r="AD225" s="9">
        <v>0.367208333333333</v>
      </c>
      <c r="AE225" s="57">
        <f t="shared" si="7"/>
        <v>0.644356530277</v>
      </c>
      <c r="AF225" s="4">
        <v>6.31592502916667</v>
      </c>
      <c r="AG225" s="70">
        <v>0.0809077554563514</v>
      </c>
    </row>
    <row r="226" spans="1:33">
      <c r="A226" s="38">
        <v>45513</v>
      </c>
      <c r="B226" s="1">
        <v>54435</v>
      </c>
      <c r="C226" s="39">
        <v>0.690164242728185</v>
      </c>
      <c r="D226" s="1">
        <v>54146</v>
      </c>
      <c r="E226" s="40">
        <v>0.702106227106227</v>
      </c>
      <c r="F226" s="10">
        <v>82.6</v>
      </c>
      <c r="G226" s="40">
        <v>0.396914446002805</v>
      </c>
      <c r="H226" s="4">
        <v>261.269999183333</v>
      </c>
      <c r="I226" s="40">
        <v>0.752917545279621</v>
      </c>
      <c r="J226" s="4">
        <v>167.979166666666</v>
      </c>
      <c r="K226" s="40">
        <v>0.16486790126461</v>
      </c>
      <c r="L226" s="4">
        <v>31.92900016</v>
      </c>
      <c r="M226" s="40">
        <v>0.550515772472738</v>
      </c>
      <c r="N226" s="13">
        <v>33.6</v>
      </c>
      <c r="O226" s="44">
        <v>0.438247011952191</v>
      </c>
      <c r="P226" s="4">
        <v>3.38014836053572</v>
      </c>
      <c r="Q226" s="40">
        <v>0.335103470269018</v>
      </c>
      <c r="R226" s="4">
        <v>7.81</v>
      </c>
      <c r="S226" s="40">
        <v>0.904761904761905</v>
      </c>
      <c r="T226" s="10">
        <v>6.4</v>
      </c>
      <c r="U226" s="40">
        <v>1</v>
      </c>
      <c r="V226" s="4">
        <v>1.32645833333333</v>
      </c>
      <c r="W226" s="54">
        <f t="shared" si="6"/>
        <v>0.461508522424</v>
      </c>
      <c r="X226" s="4">
        <v>13.2149333583333</v>
      </c>
      <c r="Y226" s="40">
        <v>0.335102274882869</v>
      </c>
      <c r="Z226" s="4">
        <v>0.951249983333333</v>
      </c>
      <c r="AA226" s="40">
        <v>0.195312495833333</v>
      </c>
      <c r="AB226" s="9">
        <v>11.4815833125</v>
      </c>
      <c r="AC226" s="57">
        <v>0.750739698033708</v>
      </c>
      <c r="AD226" s="9">
        <v>0.33935</v>
      </c>
      <c r="AE226" s="57">
        <f t="shared" si="7"/>
        <v>0.579664174238</v>
      </c>
      <c r="AF226" s="4">
        <v>6.32642500833333</v>
      </c>
      <c r="AG226" s="70">
        <v>0.0871577430555537</v>
      </c>
    </row>
    <row r="227" spans="1:33">
      <c r="A227" s="38">
        <v>45514</v>
      </c>
      <c r="B227" s="1">
        <v>49521</v>
      </c>
      <c r="C227" s="39">
        <v>0.536139669007021</v>
      </c>
      <c r="D227" s="1">
        <v>49080</v>
      </c>
      <c r="E227" s="40">
        <v>0.547466422466423</v>
      </c>
      <c r="F227" s="10">
        <v>83.5</v>
      </c>
      <c r="G227" s="40">
        <v>0.409537166900421</v>
      </c>
      <c r="H227" s="4">
        <v>263.0300025875</v>
      </c>
      <c r="I227" s="40">
        <v>0.775003169626051</v>
      </c>
      <c r="J227" s="4">
        <v>167.954166404166</v>
      </c>
      <c r="K227" s="40">
        <v>0.164807063013569</v>
      </c>
      <c r="L227" s="4">
        <v>25.0395455454545</v>
      </c>
      <c r="M227" s="40">
        <v>0.347466712214987</v>
      </c>
      <c r="N227" s="13">
        <v>31.5</v>
      </c>
      <c r="O227" s="44">
        <v>0.354581673306773</v>
      </c>
      <c r="P227" s="4">
        <v>3.50268362274257</v>
      </c>
      <c r="Q227" s="40">
        <v>0.366930811101966</v>
      </c>
      <c r="R227" s="4">
        <v>7.76</v>
      </c>
      <c r="S227" s="40">
        <v>0.878306878306878</v>
      </c>
      <c r="T227" s="10">
        <v>6.1</v>
      </c>
      <c r="U227" s="40">
        <v>0.911764705882353</v>
      </c>
      <c r="V227" s="4">
        <v>1.38375000833333</v>
      </c>
      <c r="W227" s="54">
        <f t="shared" si="6"/>
        <v>0.481683615437</v>
      </c>
      <c r="X227" s="4">
        <v>12.2901999541667</v>
      </c>
      <c r="Y227" s="40">
        <v>0.303400752628272</v>
      </c>
      <c r="Z227" s="4">
        <v>0.9746666625</v>
      </c>
      <c r="AA227" s="40">
        <v>0.201166665625</v>
      </c>
      <c r="AB227" s="9">
        <v>10.1900834583333</v>
      </c>
      <c r="AC227" s="57">
        <v>0.60562735486891</v>
      </c>
      <c r="AD227" s="9">
        <v>0.344916666666667</v>
      </c>
      <c r="AE227" s="57">
        <f t="shared" si="7"/>
        <v>0.592591034494</v>
      </c>
      <c r="AF227" s="4">
        <v>6.2786499875</v>
      </c>
      <c r="AG227" s="70">
        <v>0.0587202306547619</v>
      </c>
    </row>
    <row r="228" spans="1:33">
      <c r="A228" s="38">
        <v>45515</v>
      </c>
      <c r="B228" s="1">
        <v>48031</v>
      </c>
      <c r="C228" s="39">
        <v>0.489437061183551</v>
      </c>
      <c r="D228" s="1">
        <v>47828</v>
      </c>
      <c r="E228" s="40">
        <v>0.509249084249084</v>
      </c>
      <c r="F228" s="10">
        <v>86.1</v>
      </c>
      <c r="G228" s="40">
        <v>0.446002805049088</v>
      </c>
      <c r="H228" s="4">
        <v>259.3666693375</v>
      </c>
      <c r="I228" s="40">
        <v>0.729033371031497</v>
      </c>
      <c r="J228" s="4">
        <v>171.758333679166</v>
      </c>
      <c r="K228" s="40">
        <v>0.174064521157292</v>
      </c>
      <c r="L228" s="4">
        <v>29.2915385307692</v>
      </c>
      <c r="M228" s="40">
        <v>0.472783334240177</v>
      </c>
      <c r="N228" s="13">
        <v>32.7</v>
      </c>
      <c r="O228" s="44">
        <v>0.402390438247012</v>
      </c>
      <c r="P228" s="4">
        <v>4.12285556000486</v>
      </c>
      <c r="Q228" s="40">
        <v>0.528014431170094</v>
      </c>
      <c r="R228" s="4">
        <v>7.85</v>
      </c>
      <c r="S228" s="40">
        <v>0.925925925925926</v>
      </c>
      <c r="T228" s="10">
        <v>5.8</v>
      </c>
      <c r="U228" s="40">
        <v>0.823529411764706</v>
      </c>
      <c r="V228" s="4">
        <v>1.35520834166667</v>
      </c>
      <c r="W228" s="54">
        <f t="shared" si="6"/>
        <v>0.471632752379</v>
      </c>
      <c r="X228" s="4">
        <v>12.13940005</v>
      </c>
      <c r="Y228" s="40">
        <v>0.298231061021598</v>
      </c>
      <c r="Z228" s="4">
        <v>0.962</v>
      </c>
      <c r="AA228" s="40">
        <v>0.198</v>
      </c>
      <c r="AB228" s="9">
        <v>10.5741666166667</v>
      </c>
      <c r="AC228" s="57">
        <v>0.648782765917607</v>
      </c>
      <c r="AD228" s="9">
        <v>0.339266666666667</v>
      </c>
      <c r="AE228" s="57">
        <f t="shared" si="7"/>
        <v>0.579470658366</v>
      </c>
      <c r="AF228" s="4">
        <v>6.95671667916667</v>
      </c>
      <c r="AG228" s="70">
        <v>0.462331356646827</v>
      </c>
    </row>
    <row r="229" spans="1:33">
      <c r="A229" s="38">
        <v>45516</v>
      </c>
      <c r="B229" s="1">
        <v>50462</v>
      </c>
      <c r="C229" s="39">
        <v>0.565634403209629</v>
      </c>
      <c r="D229" s="1">
        <v>50265</v>
      </c>
      <c r="E229" s="40">
        <v>0.583638583638584</v>
      </c>
      <c r="F229" s="10">
        <v>82.7</v>
      </c>
      <c r="G229" s="40">
        <v>0.398316970546985</v>
      </c>
      <c r="H229" s="4">
        <v>250.703333529167</v>
      </c>
      <c r="I229" s="40">
        <v>0.620320410706073</v>
      </c>
      <c r="J229" s="4">
        <v>181.8833333625</v>
      </c>
      <c r="K229" s="40">
        <v>0.198703753346069</v>
      </c>
      <c r="L229" s="4">
        <v>32.7218749</v>
      </c>
      <c r="M229" s="40">
        <v>0.573883728264073</v>
      </c>
      <c r="N229" s="13">
        <v>29.8</v>
      </c>
      <c r="O229" s="44">
        <v>0.286852589641434</v>
      </c>
      <c r="P229" s="4">
        <v>3.50520624973322</v>
      </c>
      <c r="Q229" s="40">
        <v>0.367586038891746</v>
      </c>
      <c r="R229" s="4">
        <v>7.65</v>
      </c>
      <c r="S229" s="40">
        <v>0.820105820105821</v>
      </c>
      <c r="T229" s="10">
        <v>5.6</v>
      </c>
      <c r="U229" s="40">
        <v>0.764705882352941</v>
      </c>
      <c r="V229" s="4">
        <v>1.38937500833333</v>
      </c>
      <c r="W229" s="54">
        <f t="shared" si="6"/>
        <v>0.483664442462</v>
      </c>
      <c r="X229" s="4">
        <v>15.3001334333333</v>
      </c>
      <c r="Y229" s="40">
        <v>0.406586679236658</v>
      </c>
      <c r="Z229" s="4">
        <v>1.13908332916667</v>
      </c>
      <c r="AA229" s="40">
        <v>0.242270832291667</v>
      </c>
      <c r="AB229" s="9">
        <v>9.65816659583333</v>
      </c>
      <c r="AC229" s="57">
        <v>0.545861415262172</v>
      </c>
      <c r="AD229" s="9">
        <v>0.339341666666667</v>
      </c>
      <c r="AE229" s="57">
        <f t="shared" si="7"/>
        <v>0.579644822651</v>
      </c>
      <c r="AF229" s="4">
        <v>6.97503340416667</v>
      </c>
      <c r="AG229" s="70">
        <v>0.473234169146827</v>
      </c>
    </row>
    <row r="230" spans="1:33">
      <c r="A230" s="38">
        <v>45517</v>
      </c>
      <c r="B230" s="1">
        <v>59031</v>
      </c>
      <c r="C230" s="39">
        <v>0.834221414242728</v>
      </c>
      <c r="D230" s="1">
        <v>58765</v>
      </c>
      <c r="E230" s="40">
        <v>0.843101343101343</v>
      </c>
      <c r="F230" s="10">
        <v>88.9</v>
      </c>
      <c r="G230" s="40">
        <v>0.485273492286115</v>
      </c>
      <c r="H230" s="4">
        <v>268.883337008333</v>
      </c>
      <c r="I230" s="40">
        <v>0.84845447368971</v>
      </c>
      <c r="J230" s="4">
        <v>200.037500704167</v>
      </c>
      <c r="K230" s="40">
        <v>0.242882001080882</v>
      </c>
      <c r="L230" s="4">
        <v>31.086458275</v>
      </c>
      <c r="M230" s="40">
        <v>0.525684004568229</v>
      </c>
      <c r="N230" s="13">
        <v>28.9</v>
      </c>
      <c r="O230" s="44">
        <v>0.250996015936255</v>
      </c>
      <c r="P230" s="4">
        <v>3.76</v>
      </c>
      <c r="Q230" s="40">
        <v>0.433766233766234</v>
      </c>
      <c r="R230" s="4">
        <v>7.85</v>
      </c>
      <c r="S230" s="40">
        <v>0.925925925925926</v>
      </c>
      <c r="T230" s="10">
        <v>5.5</v>
      </c>
      <c r="U230" s="40">
        <v>0.735294117647059</v>
      </c>
      <c r="V230" s="4">
        <v>1.4595833375</v>
      </c>
      <c r="W230" s="54">
        <f t="shared" si="6"/>
        <v>0.508388096837</v>
      </c>
      <c r="X230" s="4">
        <v>11.784066675</v>
      </c>
      <c r="Y230" s="40">
        <v>0.286049594617758</v>
      </c>
      <c r="Z230" s="4">
        <v>0.547916679166667</v>
      </c>
      <c r="AA230" s="40">
        <v>0.0944791697916667</v>
      </c>
      <c r="AB230" s="9">
        <v>9.45141669583333</v>
      </c>
      <c r="AC230" s="57">
        <v>0.522631089419475</v>
      </c>
      <c r="AD230" s="9">
        <v>0.371316666666667</v>
      </c>
      <c r="AE230" s="57">
        <f t="shared" si="7"/>
        <v>0.653896862771</v>
      </c>
      <c r="AF230" s="4">
        <v>6.95519997083333</v>
      </c>
      <c r="AG230" s="70">
        <v>0.461428554067458</v>
      </c>
    </row>
    <row r="231" spans="1:33">
      <c r="A231" s="38">
        <v>45518</v>
      </c>
      <c r="B231" s="1">
        <v>59974</v>
      </c>
      <c r="C231" s="39">
        <v>0.863778836509529</v>
      </c>
      <c r="D231" s="1">
        <v>59712</v>
      </c>
      <c r="E231" s="40">
        <v>0.872008547008547</v>
      </c>
      <c r="F231" s="10">
        <v>87.5</v>
      </c>
      <c r="G231" s="40">
        <v>0.465638148667602</v>
      </c>
      <c r="H231" s="4">
        <v>254.316671379167</v>
      </c>
      <c r="I231" s="40">
        <v>0.665662835728033</v>
      </c>
      <c r="J231" s="4">
        <v>181.79999955</v>
      </c>
      <c r="K231" s="40">
        <v>0.198500960139196</v>
      </c>
      <c r="L231" s="4">
        <v>28.1170833833333</v>
      </c>
      <c r="M231" s="40">
        <v>0.438169271539443</v>
      </c>
      <c r="N231" s="13">
        <v>30.5</v>
      </c>
      <c r="O231" s="44">
        <v>0.314741035856574</v>
      </c>
      <c r="P231" s="4">
        <v>4.33</v>
      </c>
      <c r="Q231" s="40">
        <v>0.581818181818182</v>
      </c>
      <c r="R231" s="4">
        <v>7.92</v>
      </c>
      <c r="S231" s="40">
        <v>0.962962962962963</v>
      </c>
      <c r="T231" s="10">
        <v>5.3</v>
      </c>
      <c r="U231" s="40">
        <v>0.676470588235294</v>
      </c>
      <c r="V231" s="4">
        <v>1.393749975</v>
      </c>
      <c r="W231" s="54">
        <f t="shared" si="6"/>
        <v>0.485205073967</v>
      </c>
      <c r="X231" s="4">
        <v>10.8723333208333</v>
      </c>
      <c r="Y231" s="40">
        <v>0.254793737430007</v>
      </c>
      <c r="Z231" s="4">
        <v>0.343333333333333</v>
      </c>
      <c r="AA231" s="40">
        <v>0.0433333333333332</v>
      </c>
      <c r="AB231" s="9">
        <v>9.0435833375</v>
      </c>
      <c r="AC231" s="57">
        <v>0.476807116573034</v>
      </c>
      <c r="AD231" s="9">
        <v>0.369241666666667</v>
      </c>
      <c r="AE231" s="57">
        <f t="shared" si="7"/>
        <v>0.649078317556</v>
      </c>
      <c r="AF231" s="4">
        <v>6.985941625</v>
      </c>
      <c r="AG231" s="70">
        <v>0.479727157738095</v>
      </c>
    </row>
    <row r="232" spans="1:33">
      <c r="A232" s="38">
        <v>45519</v>
      </c>
      <c r="B232" s="1">
        <v>53468</v>
      </c>
      <c r="C232" s="39">
        <v>0.659854563691073</v>
      </c>
      <c r="D232" s="1">
        <v>53199</v>
      </c>
      <c r="E232" s="40">
        <v>0.673199023199023</v>
      </c>
      <c r="F232" s="10">
        <v>88.4</v>
      </c>
      <c r="G232" s="40">
        <v>0.478260869565218</v>
      </c>
      <c r="H232" s="4">
        <v>266.046665829167</v>
      </c>
      <c r="I232" s="40">
        <v>0.812858148188819</v>
      </c>
      <c r="J232" s="4">
        <v>179.550000829166</v>
      </c>
      <c r="K232" s="40">
        <v>0.193025578149967</v>
      </c>
      <c r="L232" s="4">
        <v>29.0458332458333</v>
      </c>
      <c r="M232" s="40">
        <v>0.465541799169859</v>
      </c>
      <c r="N232" s="13">
        <v>32.8</v>
      </c>
      <c r="O232" s="44">
        <v>0.406374501992032</v>
      </c>
      <c r="P232" s="4">
        <v>4.74</v>
      </c>
      <c r="Q232" s="40">
        <v>0.688311688311688</v>
      </c>
      <c r="R232" s="4">
        <v>7.79</v>
      </c>
      <c r="S232" s="40">
        <v>0.894179894179894</v>
      </c>
      <c r="T232" s="11">
        <v>5.9</v>
      </c>
      <c r="U232" s="40">
        <v>0.852941176470588</v>
      </c>
      <c r="V232" s="4">
        <v>1.156666675</v>
      </c>
      <c r="W232" s="54">
        <f t="shared" si="6"/>
        <v>0.401716894762</v>
      </c>
      <c r="X232" s="4">
        <v>10.6261999583333</v>
      </c>
      <c r="Y232" s="40">
        <v>0.246355843617871</v>
      </c>
      <c r="Z232" s="4">
        <v>0.28325</v>
      </c>
      <c r="AA232" s="40">
        <v>0.0283125</v>
      </c>
      <c r="AB232" s="9">
        <v>9.40666665</v>
      </c>
      <c r="AC232" s="57">
        <v>0.517602994382023</v>
      </c>
      <c r="AD232" s="9">
        <v>0.392591666666667</v>
      </c>
      <c r="AE232" s="57">
        <f t="shared" si="7"/>
        <v>0.703301464915</v>
      </c>
      <c r="AF232" s="4">
        <v>6.99935839166667</v>
      </c>
      <c r="AG232" s="70">
        <v>0.487713328373018</v>
      </c>
    </row>
    <row r="233" spans="1:33">
      <c r="A233" s="38">
        <v>45520</v>
      </c>
      <c r="B233" s="1">
        <v>54897</v>
      </c>
      <c r="C233" s="39">
        <v>0.70464518555667</v>
      </c>
      <c r="D233" s="1">
        <v>54743</v>
      </c>
      <c r="E233" s="40">
        <v>0.72032967032967</v>
      </c>
      <c r="F233" s="10">
        <v>86.2</v>
      </c>
      <c r="G233" s="40">
        <v>0.447405329593268</v>
      </c>
      <c r="H233" s="4">
        <v>265.593331033333</v>
      </c>
      <c r="I233" s="40">
        <v>0.807169419416903</v>
      </c>
      <c r="J233" s="4">
        <v>176.475000066666</v>
      </c>
      <c r="K233" s="40">
        <v>0.185542549988236</v>
      </c>
      <c r="L233" s="4">
        <v>27.2770833958333</v>
      </c>
      <c r="M233" s="40">
        <v>0.413412419564789</v>
      </c>
      <c r="N233" s="13">
        <v>30.9</v>
      </c>
      <c r="O233" s="44">
        <v>0.330677290836653</v>
      </c>
      <c r="P233" s="4">
        <v>4.12</v>
      </c>
      <c r="Q233" s="40">
        <v>0.527272727272727</v>
      </c>
      <c r="R233" s="4">
        <v>7.92</v>
      </c>
      <c r="S233" s="40">
        <v>0.962962962962963</v>
      </c>
      <c r="T233" s="10">
        <v>5.6</v>
      </c>
      <c r="U233" s="40">
        <v>0.764705882352941</v>
      </c>
      <c r="V233" s="4">
        <v>0.770208333333333</v>
      </c>
      <c r="W233" s="54">
        <f t="shared" si="6"/>
        <v>0.265626738753</v>
      </c>
      <c r="X233" s="4">
        <v>11.5266667666667</v>
      </c>
      <c r="Y233" s="40">
        <v>0.277225463375615</v>
      </c>
      <c r="Z233" s="4">
        <v>0.815916670833333</v>
      </c>
      <c r="AA233" s="40">
        <v>0.161479167708333</v>
      </c>
      <c r="AB233" s="9">
        <v>9.86549998333333</v>
      </c>
      <c r="AC233" s="57">
        <v>0.569157301498127</v>
      </c>
      <c r="AD233" s="9">
        <v>0.382916666666667</v>
      </c>
      <c r="AE233" s="57">
        <f t="shared" si="7"/>
        <v>0.680834272166</v>
      </c>
      <c r="AF233" s="4">
        <v>7.0487082375</v>
      </c>
      <c r="AG233" s="70">
        <v>0.517088236607143</v>
      </c>
    </row>
    <row r="234" spans="1:33">
      <c r="A234" s="38">
        <v>45521</v>
      </c>
      <c r="B234" s="1">
        <v>54365</v>
      </c>
      <c r="C234" s="39">
        <v>0.687970160481444</v>
      </c>
      <c r="D234" s="1">
        <v>54009</v>
      </c>
      <c r="E234" s="40">
        <v>0.697924297924298</v>
      </c>
      <c r="F234" s="10">
        <v>87.5</v>
      </c>
      <c r="G234" s="40">
        <v>0.465638148667602</v>
      </c>
      <c r="H234" s="4">
        <v>263.470001858333</v>
      </c>
      <c r="I234" s="40">
        <v>0.78052455588321</v>
      </c>
      <c r="J234" s="4">
        <v>191.083331741666</v>
      </c>
      <c r="K234" s="40">
        <v>0.221091990708067</v>
      </c>
      <c r="L234" s="4">
        <v>31.081304447826</v>
      </c>
      <c r="M234" s="40">
        <v>0.525532108689243</v>
      </c>
      <c r="N234" s="13">
        <v>32.4</v>
      </c>
      <c r="O234" s="44">
        <v>0.390438247011952</v>
      </c>
      <c r="P234" s="4">
        <v>4.19</v>
      </c>
      <c r="Q234" s="40">
        <v>0.545454545454546</v>
      </c>
      <c r="R234" s="4">
        <v>7.96</v>
      </c>
      <c r="S234" s="40">
        <v>0.984126984126984</v>
      </c>
      <c r="T234" s="10">
        <v>5.1</v>
      </c>
      <c r="U234" s="40">
        <v>0.617647058823529</v>
      </c>
      <c r="V234" s="4">
        <v>0.6725</v>
      </c>
      <c r="W234" s="54">
        <f t="shared" si="6"/>
        <v>0.231219039674</v>
      </c>
      <c r="X234" s="4">
        <v>11.7918666583333</v>
      </c>
      <c r="Y234" s="40">
        <v>0.286316992058049</v>
      </c>
      <c r="Z234" s="4">
        <v>0.966333329166667</v>
      </c>
      <c r="AA234" s="40">
        <v>0.199083332291667</v>
      </c>
      <c r="AB234" s="9">
        <v>10.9124166583333</v>
      </c>
      <c r="AC234" s="57">
        <v>0.686788388576775</v>
      </c>
      <c r="AD234" s="9">
        <v>0.393608333333333</v>
      </c>
      <c r="AE234" s="57">
        <f t="shared" si="7"/>
        <v>0.705662358555</v>
      </c>
      <c r="AF234" s="4">
        <v>7.0534916125</v>
      </c>
      <c r="AG234" s="70">
        <v>0.519935483630953</v>
      </c>
    </row>
    <row r="235" spans="1:33">
      <c r="A235" s="38">
        <v>45522</v>
      </c>
      <c r="B235" s="1">
        <v>57914</v>
      </c>
      <c r="C235" s="39">
        <v>0.799210130391174</v>
      </c>
      <c r="D235" s="1">
        <v>57749</v>
      </c>
      <c r="E235" s="40">
        <v>0.812087912087912</v>
      </c>
      <c r="F235" s="10">
        <v>84.1</v>
      </c>
      <c r="G235" s="40">
        <v>0.417952314165498</v>
      </c>
      <c r="H235" s="4">
        <v>267.256669366667</v>
      </c>
      <c r="I235" s="40">
        <v>0.828042029949391</v>
      </c>
      <c r="J235" s="4">
        <v>240.2333316875</v>
      </c>
      <c r="K235" s="40">
        <v>0.3406987362507</v>
      </c>
      <c r="L235" s="4">
        <v>34.976249925</v>
      </c>
      <c r="M235" s="40">
        <v>0.640325668287651</v>
      </c>
      <c r="N235" s="13">
        <v>31.6</v>
      </c>
      <c r="O235" s="44">
        <v>0.358565737051793</v>
      </c>
      <c r="P235" s="4">
        <v>4.39</v>
      </c>
      <c r="Q235" s="40">
        <v>0.597402597402597</v>
      </c>
      <c r="R235" s="4">
        <v>7.11404167916667</v>
      </c>
      <c r="S235" s="40">
        <v>0.536529988977074</v>
      </c>
      <c r="T235" s="10">
        <v>4.9</v>
      </c>
      <c r="U235" s="40">
        <v>0.558823529411765</v>
      </c>
      <c r="V235" s="4">
        <v>0.780416666666666</v>
      </c>
      <c r="W235" s="54">
        <f t="shared" si="6"/>
        <v>0.269221572985</v>
      </c>
      <c r="X235" s="4">
        <v>10.4866666833333</v>
      </c>
      <c r="Y235" s="40">
        <v>0.241572392298022</v>
      </c>
      <c r="Z235" s="4">
        <v>1.07208331666667</v>
      </c>
      <c r="AA235" s="40">
        <v>0.225520829166667</v>
      </c>
      <c r="AB235" s="9">
        <v>11.2620000041667</v>
      </c>
      <c r="AC235" s="57">
        <v>0.726067416198506</v>
      </c>
      <c r="AD235" s="9">
        <v>0.41675</v>
      </c>
      <c r="AE235" s="57">
        <f t="shared" si="7"/>
        <v>0.759401716233</v>
      </c>
      <c r="AF235" s="4">
        <v>7.00734999166666</v>
      </c>
      <c r="AG235" s="70">
        <v>0.492470233134917</v>
      </c>
    </row>
    <row r="236" spans="1:33">
      <c r="A236" s="38">
        <v>45523</v>
      </c>
      <c r="B236" s="1">
        <v>57648</v>
      </c>
      <c r="C236" s="39">
        <v>0.790872617853561</v>
      </c>
      <c r="D236" s="1">
        <v>57402</v>
      </c>
      <c r="E236" s="40">
        <v>0.801495726495727</v>
      </c>
      <c r="F236" s="10">
        <v>85.8</v>
      </c>
      <c r="G236" s="40">
        <v>0.44179523141655</v>
      </c>
      <c r="H236" s="4">
        <v>276.343331658333</v>
      </c>
      <c r="I236" s="40">
        <v>0.942067155958502</v>
      </c>
      <c r="J236" s="4">
        <v>188.116667754167</v>
      </c>
      <c r="K236" s="40">
        <v>0.213872600574713</v>
      </c>
      <c r="L236" s="4">
        <v>32.3287499375</v>
      </c>
      <c r="M236" s="40">
        <v>0.562297375110522</v>
      </c>
      <c r="N236" s="13">
        <v>33.4</v>
      </c>
      <c r="O236" s="44">
        <v>0.430278884462151</v>
      </c>
      <c r="P236" s="4">
        <v>3.69</v>
      </c>
      <c r="Q236" s="40">
        <v>0.415584415584416</v>
      </c>
      <c r="R236" s="4">
        <v>7.06184342173913</v>
      </c>
      <c r="S236" s="40">
        <v>0.508911863354037</v>
      </c>
      <c r="T236" s="11">
        <v>4.6</v>
      </c>
      <c r="U236" s="40">
        <v>0.470588235294118</v>
      </c>
      <c r="V236" s="4">
        <v>0.882916666666666</v>
      </c>
      <c r="W236" s="54">
        <f t="shared" si="6"/>
        <v>0.305316643235</v>
      </c>
      <c r="X236" s="4">
        <v>9.41720005416667</v>
      </c>
      <c r="Y236" s="40">
        <v>0.204909155096561</v>
      </c>
      <c r="Z236" s="4">
        <v>0.62625</v>
      </c>
      <c r="AA236" s="40">
        <v>0.1140625</v>
      </c>
      <c r="AB236" s="9">
        <v>10.2664165708333</v>
      </c>
      <c r="AC236" s="57">
        <v>0.614204109082393</v>
      </c>
      <c r="AD236" s="9">
        <v>0.520358333333333</v>
      </c>
      <c r="AE236" s="57">
        <f t="shared" si="7"/>
        <v>1</v>
      </c>
      <c r="AF236" s="4">
        <v>6.97200002916667</v>
      </c>
      <c r="AG236" s="70">
        <v>0.471428588789685</v>
      </c>
    </row>
    <row r="237" spans="1:33">
      <c r="A237" s="38">
        <v>45524</v>
      </c>
      <c r="B237" s="1">
        <v>58674</v>
      </c>
      <c r="C237" s="39">
        <v>0.823031594784353</v>
      </c>
      <c r="D237" s="1">
        <v>58355</v>
      </c>
      <c r="E237" s="40">
        <v>0.830586080586081</v>
      </c>
      <c r="F237" s="10">
        <v>89.9</v>
      </c>
      <c r="G237" s="40">
        <v>0.49929873772791</v>
      </c>
      <c r="H237" s="4">
        <v>275.356667841667</v>
      </c>
      <c r="I237" s="40">
        <v>0.929685880808972</v>
      </c>
      <c r="J237" s="4">
        <v>156.595832825</v>
      </c>
      <c r="K237" s="40">
        <v>0.137166507251843</v>
      </c>
      <c r="L237" s="4">
        <v>24.5512501333333</v>
      </c>
      <c r="M237" s="40">
        <v>0.333075453384418</v>
      </c>
      <c r="N237" s="13">
        <v>36.6</v>
      </c>
      <c r="O237" s="44">
        <v>0.557768924302789</v>
      </c>
      <c r="P237" s="17">
        <v>3.182</v>
      </c>
      <c r="Q237" s="71">
        <v>0.283636363636364</v>
      </c>
      <c r="R237" s="4">
        <v>7.11706676666667</v>
      </c>
      <c r="S237" s="40">
        <v>0.5381305643739</v>
      </c>
      <c r="T237" s="10">
        <v>4.7</v>
      </c>
      <c r="U237" s="40">
        <v>0.5</v>
      </c>
      <c r="V237" s="4">
        <v>0.878958333333333</v>
      </c>
      <c r="W237" s="54">
        <f t="shared" si="6"/>
        <v>0.30392272792</v>
      </c>
      <c r="X237" s="4">
        <v>9.54113330416667</v>
      </c>
      <c r="Y237" s="40">
        <v>0.209157809536053</v>
      </c>
      <c r="Z237" s="4">
        <v>0.423083341666667</v>
      </c>
      <c r="AA237" s="40">
        <v>0.0632708354166668</v>
      </c>
      <c r="AB237" s="9">
        <v>6.62116670416667</v>
      </c>
      <c r="AC237" s="57">
        <v>0.204625472378278</v>
      </c>
      <c r="AD237" s="9">
        <v>0.3106</v>
      </c>
      <c r="AE237" s="57">
        <f t="shared" si="7"/>
        <v>0.512901198368</v>
      </c>
      <c r="AF237" s="4">
        <v>7.0314999875</v>
      </c>
      <c r="AG237" s="70">
        <v>0.506845230654762</v>
      </c>
    </row>
    <row r="238" spans="1:33">
      <c r="A238" s="38">
        <v>45525</v>
      </c>
      <c r="B238" s="1">
        <v>57164</v>
      </c>
      <c r="C238" s="39">
        <v>0.775702106318957</v>
      </c>
      <c r="D238" s="1">
        <v>56983</v>
      </c>
      <c r="E238" s="40">
        <v>0.788705738705739</v>
      </c>
      <c r="F238" s="10">
        <v>92.7</v>
      </c>
      <c r="G238" s="40">
        <v>0.538569424964937</v>
      </c>
      <c r="H238" s="4">
        <v>267.183335620833</v>
      </c>
      <c r="I238" s="40">
        <v>0.827121792205208</v>
      </c>
      <c r="J238" s="4">
        <v>194.291667304166</v>
      </c>
      <c r="K238" s="40">
        <v>0.228899489704246</v>
      </c>
      <c r="L238" s="4">
        <v>21.5137503166667</v>
      </c>
      <c r="M238" s="40">
        <v>0.243552912368603</v>
      </c>
      <c r="N238" s="13">
        <v>38.9</v>
      </c>
      <c r="O238" s="44">
        <v>0.649402390438247</v>
      </c>
      <c r="P238" s="4">
        <v>4.04</v>
      </c>
      <c r="Q238" s="40">
        <v>0.506493506493507</v>
      </c>
      <c r="R238" s="4">
        <v>7.12754742105263</v>
      </c>
      <c r="S238" s="40">
        <v>0.543675884154831</v>
      </c>
      <c r="T238" s="10">
        <v>4.8</v>
      </c>
      <c r="U238" s="40">
        <v>0.529411764705882</v>
      </c>
      <c r="V238" s="4">
        <v>0.770208333333333</v>
      </c>
      <c r="W238" s="54">
        <f t="shared" si="6"/>
        <v>0.265626738753</v>
      </c>
      <c r="X238" s="4">
        <v>9.49173314583333</v>
      </c>
      <c r="Y238" s="40">
        <v>0.207464283367615</v>
      </c>
      <c r="Z238" s="4">
        <v>0.218333333333333</v>
      </c>
      <c r="AA238" s="40">
        <v>0.0120833333333332</v>
      </c>
      <c r="AB238" s="9">
        <v>6.70066666666667</v>
      </c>
      <c r="AC238" s="57">
        <v>0.213558052434457</v>
      </c>
      <c r="AD238" s="9">
        <v>0.305416666666667</v>
      </c>
      <c r="AE238" s="57">
        <f t="shared" si="7"/>
        <v>0.500864511124</v>
      </c>
      <c r="AF238" s="4">
        <v>7.0329583875</v>
      </c>
      <c r="AG238" s="70">
        <v>0.507713325892857</v>
      </c>
    </row>
    <row r="239" spans="1:33">
      <c r="A239" s="38">
        <v>45526</v>
      </c>
      <c r="B239" s="1">
        <v>48834</v>
      </c>
      <c r="C239" s="39">
        <v>0.514606318956871</v>
      </c>
      <c r="D239" s="1">
        <v>48578</v>
      </c>
      <c r="E239" s="40">
        <v>0.532142857142857</v>
      </c>
      <c r="F239" s="10">
        <v>97.6</v>
      </c>
      <c r="G239" s="40">
        <v>0.607293127629734</v>
      </c>
      <c r="H239" s="4">
        <v>271.840001429167</v>
      </c>
      <c r="I239" s="40">
        <v>0.885556549493876</v>
      </c>
      <c r="J239" s="4">
        <v>188.570834479166</v>
      </c>
      <c r="K239" s="40">
        <v>0.214977817339123</v>
      </c>
      <c r="L239" s="4">
        <v>30.9575000583333</v>
      </c>
      <c r="M239" s="40">
        <v>0.521883290843893</v>
      </c>
      <c r="N239" s="13">
        <v>39.7</v>
      </c>
      <c r="O239" s="44">
        <v>0.681274900398406</v>
      </c>
      <c r="P239" s="4">
        <v>4.6</v>
      </c>
      <c r="Q239" s="40">
        <v>0.651948051948052</v>
      </c>
      <c r="R239" s="4">
        <v>7.13537991</v>
      </c>
      <c r="S239" s="40">
        <v>0.547820058201059</v>
      </c>
      <c r="T239" s="10">
        <v>5.4</v>
      </c>
      <c r="U239" s="40">
        <v>0.705882352941177</v>
      </c>
      <c r="V239" s="4">
        <v>0.6725</v>
      </c>
      <c r="W239" s="54">
        <f t="shared" si="6"/>
        <v>0.231219039674</v>
      </c>
      <c r="X239" s="4">
        <v>10.1599333375</v>
      </c>
      <c r="Y239" s="40">
        <v>0.230371386270141</v>
      </c>
      <c r="Z239" s="4">
        <v>0.282916666666667</v>
      </c>
      <c r="AA239" s="40">
        <v>0.0282291666666667</v>
      </c>
      <c r="AB239" s="9">
        <v>6.90766665833333</v>
      </c>
      <c r="AC239" s="57">
        <v>0.236816478464419</v>
      </c>
      <c r="AD239" s="9">
        <v>0.345458333333333</v>
      </c>
      <c r="AE239" s="57">
        <f t="shared" si="7"/>
        <v>0.593848887662</v>
      </c>
      <c r="AF239" s="4">
        <v>7.056291625</v>
      </c>
      <c r="AG239" s="70">
        <v>0.521602157738095</v>
      </c>
    </row>
    <row r="240" spans="1:33">
      <c r="A240" s="38">
        <v>45527</v>
      </c>
      <c r="B240" s="1">
        <v>42891</v>
      </c>
      <c r="C240" s="39">
        <v>0.328328736208626</v>
      </c>
      <c r="D240" s="1">
        <v>42634</v>
      </c>
      <c r="E240" s="40">
        <v>0.350702075702076</v>
      </c>
      <c r="F240" s="10">
        <v>104.2</v>
      </c>
      <c r="G240" s="40">
        <v>0.699859747545582</v>
      </c>
      <c r="H240" s="4">
        <v>271.333337145833</v>
      </c>
      <c r="I240" s="40">
        <v>0.879198608932526</v>
      </c>
      <c r="J240" s="4">
        <v>197.629167245833</v>
      </c>
      <c r="K240" s="40">
        <v>0.237021310797053</v>
      </c>
      <c r="L240" s="4">
        <v>38.6429164458333</v>
      </c>
      <c r="M240" s="40">
        <v>0.74839128929659</v>
      </c>
      <c r="N240" s="13">
        <v>40.4</v>
      </c>
      <c r="O240" s="44">
        <v>0.709163346613546</v>
      </c>
      <c r="P240" s="4">
        <v>4.62</v>
      </c>
      <c r="Q240" s="40">
        <v>0.657142857142857</v>
      </c>
      <c r="R240" s="4">
        <v>7.159040035</v>
      </c>
      <c r="S240" s="40">
        <v>0.560338642857143</v>
      </c>
      <c r="T240" s="10">
        <v>5.7</v>
      </c>
      <c r="U240" s="40">
        <v>0.794117647058824</v>
      </c>
      <c r="V240" s="4">
        <v>0.780416666666666</v>
      </c>
      <c r="W240" s="54">
        <f t="shared" si="6"/>
        <v>0.269221572985</v>
      </c>
      <c r="X240" s="4">
        <v>10.9910668583333</v>
      </c>
      <c r="Y240" s="40">
        <v>0.258864136384412</v>
      </c>
      <c r="Z240" s="4">
        <v>0.805249983333333</v>
      </c>
      <c r="AA240" s="40">
        <v>0.158812495833333</v>
      </c>
      <c r="AB240" s="9">
        <v>8.0850833</v>
      </c>
      <c r="AC240" s="57">
        <v>0.369110483146068</v>
      </c>
      <c r="AD240" s="9">
        <v>0.317008333333333</v>
      </c>
      <c r="AE240" s="57">
        <f t="shared" si="7"/>
        <v>0.527782568932</v>
      </c>
      <c r="AF240" s="4">
        <v>7.02747497916667</v>
      </c>
      <c r="AG240" s="70">
        <v>0.504449392361113</v>
      </c>
    </row>
    <row r="241" spans="1:33">
      <c r="A241" s="38">
        <v>45528</v>
      </c>
      <c r="B241" s="1">
        <v>45561</v>
      </c>
      <c r="C241" s="39">
        <v>0.412017301905717</v>
      </c>
      <c r="D241" s="1">
        <v>45169</v>
      </c>
      <c r="E241" s="40">
        <v>0.428083028083028</v>
      </c>
      <c r="F241" s="10">
        <v>103.7</v>
      </c>
      <c r="G241" s="40">
        <v>0.692847124824685</v>
      </c>
      <c r="H241" s="4">
        <v>269.853332525</v>
      </c>
      <c r="I241" s="40">
        <v>0.860626584577738</v>
      </c>
      <c r="J241" s="4">
        <v>217.241666320833</v>
      </c>
      <c r="K241" s="40">
        <v>0.284748415352573</v>
      </c>
      <c r="L241" s="4">
        <v>39.987499875</v>
      </c>
      <c r="M241" s="40">
        <v>0.7880194481285</v>
      </c>
      <c r="N241" s="13">
        <v>41.8</v>
      </c>
      <c r="O241" s="44">
        <v>0.764940239043824</v>
      </c>
      <c r="P241" s="4">
        <v>3.74</v>
      </c>
      <c r="Q241" s="40">
        <v>0.428571428571429</v>
      </c>
      <c r="R241" s="4">
        <v>7.20619998571429</v>
      </c>
      <c r="S241" s="40">
        <v>0.585290997732429</v>
      </c>
      <c r="T241" s="10">
        <v>5.8</v>
      </c>
      <c r="U241" s="40">
        <v>0.823529411764706</v>
      </c>
      <c r="V241" s="4">
        <v>0.882916666666666</v>
      </c>
      <c r="W241" s="54">
        <f t="shared" si="6"/>
        <v>0.305316643235</v>
      </c>
      <c r="X241" s="4">
        <v>11.9002000458333</v>
      </c>
      <c r="Y241" s="40">
        <v>0.290030855187977</v>
      </c>
      <c r="Z241" s="4">
        <v>1.02724999583333</v>
      </c>
      <c r="AA241" s="40">
        <v>0.214312498958333</v>
      </c>
      <c r="AB241" s="9">
        <v>9.12191679583333</v>
      </c>
      <c r="AC241" s="57">
        <v>0.485608628745318</v>
      </c>
      <c r="AD241" s="9">
        <v>0.272591666666667</v>
      </c>
      <c r="AE241" s="57">
        <f t="shared" si="7"/>
        <v>0.424638609109</v>
      </c>
      <c r="AF241" s="4">
        <v>6.40785829583333</v>
      </c>
      <c r="AG241" s="70">
        <v>0.13562993799603</v>
      </c>
    </row>
    <row r="242" spans="1:33">
      <c r="A242" s="38">
        <v>45529</v>
      </c>
      <c r="B242" s="1">
        <v>42654</v>
      </c>
      <c r="C242" s="39">
        <v>0.320900200601805</v>
      </c>
      <c r="D242" s="1">
        <v>42294</v>
      </c>
      <c r="E242" s="40">
        <v>0.340323565323565</v>
      </c>
      <c r="F242" s="10">
        <v>100.5</v>
      </c>
      <c r="G242" s="40">
        <v>0.64796633941094</v>
      </c>
      <c r="H242" s="4">
        <v>257.763338720833</v>
      </c>
      <c r="I242" s="40">
        <v>0.708913774888104</v>
      </c>
      <c r="J242" s="4">
        <v>207.716666533333</v>
      </c>
      <c r="K242" s="40">
        <v>0.261569285604198</v>
      </c>
      <c r="L242" s="4">
        <v>37.6887497833333</v>
      </c>
      <c r="M242" s="40">
        <v>0.720269666470183</v>
      </c>
      <c r="N242" s="13">
        <v>42.4</v>
      </c>
      <c r="O242" s="44">
        <v>0.788844621513944</v>
      </c>
      <c r="P242" s="4">
        <v>4.05</v>
      </c>
      <c r="Q242" s="40">
        <v>0.509090909090909</v>
      </c>
      <c r="R242" s="4">
        <v>7.19653340476191</v>
      </c>
      <c r="S242" s="40">
        <v>0.580176404635931</v>
      </c>
      <c r="T242" s="10">
        <v>5.2</v>
      </c>
      <c r="U242" s="40">
        <v>0.647058823529412</v>
      </c>
      <c r="V242" s="4">
        <v>0.878958333333333</v>
      </c>
      <c r="W242" s="54">
        <f t="shared" si="6"/>
        <v>0.30392272792</v>
      </c>
      <c r="X242" s="4">
        <v>11.7502667875</v>
      </c>
      <c r="Y242" s="40">
        <v>0.284890873757285</v>
      </c>
      <c r="Z242" s="4">
        <v>1.08491665833333</v>
      </c>
      <c r="AA242" s="40">
        <v>0.228729164583333</v>
      </c>
      <c r="AB242" s="9">
        <v>9.74583322916667</v>
      </c>
      <c r="AC242" s="57">
        <v>0.555711598782772</v>
      </c>
      <c r="AD242" s="9">
        <v>0.364008333333333</v>
      </c>
      <c r="AE242" s="57">
        <f t="shared" si="7"/>
        <v>0.636925520789</v>
      </c>
      <c r="AF242" s="4">
        <v>6.35640842083333</v>
      </c>
      <c r="AG242" s="70">
        <v>0.105005012400792</v>
      </c>
    </row>
    <row r="243" spans="1:33">
      <c r="A243" s="38">
        <v>45530</v>
      </c>
      <c r="B243" s="1">
        <v>46570</v>
      </c>
      <c r="C243" s="39">
        <v>0.443643430290873</v>
      </c>
      <c r="D243" s="1">
        <v>46380</v>
      </c>
      <c r="E243" s="40">
        <v>0.46504884004884</v>
      </c>
      <c r="F243" s="10">
        <v>102.4</v>
      </c>
      <c r="G243" s="40">
        <v>0.674614305750351</v>
      </c>
      <c r="H243" s="4">
        <v>269.8699995625</v>
      </c>
      <c r="I243" s="40">
        <v>0.860835732996612</v>
      </c>
      <c r="J243" s="4">
        <v>212.845831870833</v>
      </c>
      <c r="K243" s="40">
        <v>0.274051132482012</v>
      </c>
      <c r="L243" s="4">
        <v>36.3424999208333</v>
      </c>
      <c r="M243" s="40">
        <v>0.680592393776401</v>
      </c>
      <c r="N243" s="13">
        <v>43.5</v>
      </c>
      <c r="O243" s="44">
        <v>0.832669322709163</v>
      </c>
      <c r="P243" s="4">
        <v>3.6</v>
      </c>
      <c r="Q243" s="40">
        <v>0.392207792207792</v>
      </c>
      <c r="R243" s="4">
        <v>7.21095447272727</v>
      </c>
      <c r="S243" s="40">
        <v>0.587806599326598</v>
      </c>
      <c r="T243" s="10">
        <v>5.5</v>
      </c>
      <c r="U243" s="40">
        <v>0.735294117647059</v>
      </c>
      <c r="V243" s="4">
        <v>0.788541666666666</v>
      </c>
      <c r="W243" s="54">
        <f t="shared" si="6"/>
        <v>0.272082767578</v>
      </c>
      <c r="X243" s="4">
        <v>12.6836667458333</v>
      </c>
      <c r="Y243" s="40">
        <v>0.316889501057021</v>
      </c>
      <c r="Z243" s="4">
        <v>1.22449997916667</v>
      </c>
      <c r="AA243" s="40">
        <v>0.263624994791668</v>
      </c>
      <c r="AB243" s="4">
        <v>11.1675832708333</v>
      </c>
      <c r="AC243" s="40">
        <v>0.715458794475652</v>
      </c>
      <c r="AD243" s="4">
        <v>0.361841666666667</v>
      </c>
      <c r="AE243" s="57">
        <f t="shared" si="7"/>
        <v>0.631894108115</v>
      </c>
      <c r="AF243" s="4">
        <v>6.33890835833333</v>
      </c>
      <c r="AG243" s="70">
        <v>0.0945883085317443</v>
      </c>
    </row>
    <row r="244" spans="1:33">
      <c r="A244" s="38">
        <v>45531</v>
      </c>
      <c r="B244" s="1">
        <v>47365</v>
      </c>
      <c r="C244" s="39">
        <v>0.468561935807422</v>
      </c>
      <c r="D244" s="1">
        <v>47132</v>
      </c>
      <c r="E244" s="40">
        <v>0.488003663003663</v>
      </c>
      <c r="F244" s="10">
        <v>89.6</v>
      </c>
      <c r="G244" s="40">
        <v>0.495091164095372</v>
      </c>
      <c r="H244" s="4">
        <v>251.650002166667</v>
      </c>
      <c r="I244" s="40">
        <v>0.632199801313427</v>
      </c>
      <c r="J244" s="4">
        <v>157.037500220833</v>
      </c>
      <c r="K244" s="40">
        <v>0.138241306842608</v>
      </c>
      <c r="L244" s="4">
        <v>38.8037505083333</v>
      </c>
      <c r="M244" s="40">
        <v>0.753131462078789</v>
      </c>
      <c r="N244" s="13">
        <v>39.8</v>
      </c>
      <c r="O244" s="44">
        <v>0.685258964143426</v>
      </c>
      <c r="P244" s="4">
        <v>3.74</v>
      </c>
      <c r="Q244" s="40">
        <v>0.428571428571429</v>
      </c>
      <c r="R244" s="4">
        <v>7.19386664285714</v>
      </c>
      <c r="S244" s="40">
        <v>0.578765419501132</v>
      </c>
      <c r="T244" s="11">
        <v>5.9</v>
      </c>
      <c r="U244" s="40">
        <v>0.852941176470588</v>
      </c>
      <c r="V244" s="4">
        <v>1.07458333333333</v>
      </c>
      <c r="W244" s="54">
        <f t="shared" si="6"/>
        <v>0.372811490042</v>
      </c>
      <c r="X244" s="4">
        <v>13.363999925</v>
      </c>
      <c r="Y244" s="40">
        <v>0.340212544566335</v>
      </c>
      <c r="Z244" s="4">
        <v>1.70325001666667</v>
      </c>
      <c r="AA244" s="40">
        <v>0.383312504166668</v>
      </c>
      <c r="AB244" s="4">
        <v>11.5053333375</v>
      </c>
      <c r="AC244" s="40">
        <v>0.753408240168539</v>
      </c>
      <c r="AD244" s="4">
        <v>0.365583333333333</v>
      </c>
      <c r="AE244" s="57">
        <f t="shared" si="7"/>
        <v>0.640582970772</v>
      </c>
      <c r="AF244" s="4">
        <v>6.94850430434783</v>
      </c>
      <c r="AG244" s="70">
        <v>0.45744303830228</v>
      </c>
    </row>
    <row r="245" spans="1:33">
      <c r="A245" s="38">
        <v>45532</v>
      </c>
      <c r="B245" s="1">
        <v>44915</v>
      </c>
      <c r="C245" s="39">
        <v>0.391769057171515</v>
      </c>
      <c r="D245" s="1">
        <v>44773</v>
      </c>
      <c r="E245" s="40">
        <v>0.415995115995116</v>
      </c>
      <c r="F245" s="10">
        <v>83.4</v>
      </c>
      <c r="G245" s="40">
        <v>0.408134642356241</v>
      </c>
      <c r="H245" s="4">
        <v>250.456668220833</v>
      </c>
      <c r="I245" s="40">
        <v>0.617225100023001</v>
      </c>
      <c r="J245" s="4">
        <v>161.3416657375</v>
      </c>
      <c r="K245" s="40">
        <v>0.148715512952328</v>
      </c>
      <c r="L245" s="4">
        <v>40.6550002</v>
      </c>
      <c r="M245" s="40">
        <v>0.807692313586796</v>
      </c>
      <c r="N245" s="13">
        <v>40.2</v>
      </c>
      <c r="O245" s="44">
        <v>0.701195219123506</v>
      </c>
      <c r="P245" s="4">
        <v>4.16</v>
      </c>
      <c r="Q245" s="40">
        <v>0.537662337662338</v>
      </c>
      <c r="R245" s="4">
        <v>7.17715822916667</v>
      </c>
      <c r="S245" s="40">
        <v>0.569924988977074</v>
      </c>
      <c r="T245" s="10">
        <v>6.1</v>
      </c>
      <c r="U245" s="40">
        <v>0.911764705882353</v>
      </c>
      <c r="V245" s="4">
        <v>0.885208333333333</v>
      </c>
      <c r="W245" s="54">
        <f t="shared" si="6"/>
        <v>0.306123646838</v>
      </c>
      <c r="X245" s="4">
        <v>12.9922001</v>
      </c>
      <c r="Y245" s="40">
        <v>0.327466578676723</v>
      </c>
      <c r="Z245" s="4">
        <v>1.95708334583333</v>
      </c>
      <c r="AA245" s="40">
        <v>0.446770836458333</v>
      </c>
      <c r="AB245" s="4">
        <v>12.2632500333333</v>
      </c>
      <c r="AC245" s="40">
        <v>0.838567419475652</v>
      </c>
      <c r="AD245" s="4">
        <v>0.364925</v>
      </c>
      <c r="AE245" s="57">
        <f t="shared" si="7"/>
        <v>0.639054195382</v>
      </c>
      <c r="AF245" s="4">
        <v>6.90516845263158</v>
      </c>
      <c r="AG245" s="70">
        <v>0.431647888471179</v>
      </c>
    </row>
    <row r="246" spans="1:33">
      <c r="A246" s="38">
        <v>45533</v>
      </c>
      <c r="B246" s="1">
        <v>38918</v>
      </c>
      <c r="C246" s="39">
        <v>0.20379889669007</v>
      </c>
      <c r="D246" s="1">
        <v>38718</v>
      </c>
      <c r="E246" s="40">
        <v>0.231166056166056</v>
      </c>
      <c r="F246" s="10">
        <v>74.5</v>
      </c>
      <c r="G246" s="40">
        <v>0.283309957924264</v>
      </c>
      <c r="H246" s="4">
        <v>253.383335741667</v>
      </c>
      <c r="I246" s="40">
        <v>0.653950755950144</v>
      </c>
      <c r="J246" s="4">
        <v>146.624999845833</v>
      </c>
      <c r="K246" s="40">
        <v>0.112902440429837</v>
      </c>
      <c r="L246" s="4">
        <v>29.3562499708333</v>
      </c>
      <c r="M246" s="40">
        <v>0.474690538486098</v>
      </c>
      <c r="N246" s="13">
        <v>42.5</v>
      </c>
      <c r="O246" s="44">
        <v>0.792828685258964</v>
      </c>
      <c r="P246" s="4">
        <v>3.76</v>
      </c>
      <c r="Q246" s="40">
        <v>0.433766233766234</v>
      </c>
      <c r="R246" s="4">
        <v>7.16345005</v>
      </c>
      <c r="S246" s="40">
        <v>0.562671984126984</v>
      </c>
      <c r="T246" s="10">
        <v>6.3</v>
      </c>
      <c r="U246" s="40">
        <v>0.970588235294118</v>
      </c>
      <c r="V246" s="4">
        <v>0.784166666666666</v>
      </c>
      <c r="W246" s="54">
        <f t="shared" si="6"/>
        <v>0.270542124336</v>
      </c>
      <c r="X246" s="4">
        <v>12.6906000083333</v>
      </c>
      <c r="Y246" s="40">
        <v>0.317127185750199</v>
      </c>
      <c r="Z246" s="4">
        <v>1.80275001666667</v>
      </c>
      <c r="AA246" s="40">
        <v>0.408187504166667</v>
      </c>
      <c r="AB246" s="4">
        <v>11.2648333291667</v>
      </c>
      <c r="AC246" s="40">
        <v>0.726385767322101</v>
      </c>
      <c r="AD246" s="4">
        <v>0.326208333333333</v>
      </c>
      <c r="AE246" s="57">
        <f t="shared" si="7"/>
        <v>0.54914672121</v>
      </c>
      <c r="AF246" s="4">
        <v>6.89556002</v>
      </c>
      <c r="AG246" s="70">
        <v>0.425928583333333</v>
      </c>
    </row>
    <row r="247" spans="1:33">
      <c r="A247" s="38">
        <v>45534</v>
      </c>
      <c r="B247" s="1">
        <v>41653</v>
      </c>
      <c r="C247" s="39">
        <v>0.28952482447342</v>
      </c>
      <c r="D247" s="1">
        <v>41142</v>
      </c>
      <c r="E247" s="40">
        <v>0.30515873015873</v>
      </c>
      <c r="F247" s="11">
        <v>79.6</v>
      </c>
      <c r="G247" s="40">
        <v>0.354838709677419</v>
      </c>
      <c r="H247" s="4">
        <v>255.00999895</v>
      </c>
      <c r="I247" s="40">
        <v>0.674363144058226</v>
      </c>
      <c r="J247" s="4">
        <v>156.7375003375</v>
      </c>
      <c r="K247" s="40">
        <v>0.137511255779573</v>
      </c>
      <c r="L247" s="4">
        <v>36.9887498291667</v>
      </c>
      <c r="M247" s="40">
        <v>0.699638957535122</v>
      </c>
      <c r="N247" s="13">
        <v>40.5</v>
      </c>
      <c r="O247" s="44">
        <v>0.713147410358566</v>
      </c>
      <c r="P247" s="4">
        <v>4.33</v>
      </c>
      <c r="Q247" s="40">
        <v>0.581818181818182</v>
      </c>
      <c r="R247" s="4">
        <v>7.14297494166667</v>
      </c>
      <c r="S247" s="40">
        <v>0.551838593474429</v>
      </c>
      <c r="T247" s="13">
        <v>6.4</v>
      </c>
      <c r="U247" s="40">
        <v>1</v>
      </c>
      <c r="V247" s="4">
        <v>1.08770833333333</v>
      </c>
      <c r="W247" s="54">
        <f t="shared" si="6"/>
        <v>0.37743341977</v>
      </c>
      <c r="X247" s="4">
        <v>13.0597999</v>
      </c>
      <c r="Y247" s="40">
        <v>0.329784021254714</v>
      </c>
      <c r="Z247" s="4">
        <v>1.23458332083333</v>
      </c>
      <c r="AA247" s="40">
        <v>0.266145830208332</v>
      </c>
      <c r="AB247" s="4">
        <v>10.2483332666667</v>
      </c>
      <c r="AC247" s="40">
        <v>0.612172277153562</v>
      </c>
      <c r="AD247" s="4">
        <v>0.237775</v>
      </c>
      <c r="AE247" s="57">
        <f t="shared" si="7"/>
        <v>0.343787677751</v>
      </c>
      <c r="AF247" s="4">
        <v>6.97386662916667</v>
      </c>
      <c r="AG247" s="70">
        <v>0.472539660218256</v>
      </c>
    </row>
    <row r="248" spans="1:33">
      <c r="A248" s="38">
        <v>45535</v>
      </c>
      <c r="B248" s="1">
        <v>44028</v>
      </c>
      <c r="C248" s="39">
        <v>0.363966900702106</v>
      </c>
      <c r="D248" s="1">
        <v>43879</v>
      </c>
      <c r="E248" s="40">
        <v>0.388705738705739</v>
      </c>
      <c r="F248" s="11">
        <v>78.3</v>
      </c>
      <c r="G248" s="40">
        <v>0.336605890603086</v>
      </c>
      <c r="H248" s="4">
        <v>257.283334720833</v>
      </c>
      <c r="I248" s="40">
        <v>0.702890384249379</v>
      </c>
      <c r="J248" s="4">
        <v>180.187500479166</v>
      </c>
      <c r="K248" s="40">
        <v>0.194576936410498</v>
      </c>
      <c r="L248" s="4">
        <v>39.2600005541667</v>
      </c>
      <c r="M248" s="40">
        <v>0.766578265669517</v>
      </c>
      <c r="N248" s="13">
        <v>39.2</v>
      </c>
      <c r="O248" s="44">
        <v>0.661354581673307</v>
      </c>
      <c r="P248" s="4">
        <v>3.24</v>
      </c>
      <c r="Q248" s="40">
        <v>0.298701298701299</v>
      </c>
      <c r="R248" s="4">
        <v>7.1333500375</v>
      </c>
      <c r="S248" s="40">
        <v>0.546746051587302</v>
      </c>
      <c r="T248" s="13">
        <v>6.1</v>
      </c>
      <c r="U248" s="40">
        <v>0.911764705882353</v>
      </c>
      <c r="V248" s="4">
        <v>1.091875</v>
      </c>
      <c r="W248" s="54">
        <f t="shared" si="6"/>
        <v>0.378900699048</v>
      </c>
      <c r="X248" s="4">
        <v>13.7591999708333</v>
      </c>
      <c r="Y248" s="40">
        <v>0.353760712061478</v>
      </c>
      <c r="Z248" s="4">
        <v>1.1490000125</v>
      </c>
      <c r="AA248" s="40">
        <v>0.244750003125</v>
      </c>
      <c r="AB248" s="4">
        <v>10.6024167083333</v>
      </c>
      <c r="AC248" s="40">
        <v>0.651956933520595</v>
      </c>
      <c r="AD248" s="4">
        <v>0.231333333333333</v>
      </c>
      <c r="AE248" s="57">
        <f t="shared" si="7"/>
        <v>0.328828900838</v>
      </c>
      <c r="AF248" s="4">
        <v>6.94009165</v>
      </c>
      <c r="AG248" s="70">
        <v>0.452435505952381</v>
      </c>
    </row>
    <row r="249" spans="1:33">
      <c r="A249" s="38">
        <v>45536</v>
      </c>
      <c r="B249" s="1">
        <v>45846</v>
      </c>
      <c r="C249" s="39">
        <v>0.420950351053159</v>
      </c>
      <c r="D249" s="1">
        <v>44779</v>
      </c>
      <c r="E249" s="40">
        <v>0.416178266178266</v>
      </c>
      <c r="F249" s="10">
        <v>77.4</v>
      </c>
      <c r="G249" s="40">
        <v>0.32398316970547</v>
      </c>
      <c r="H249" s="4">
        <v>254.7533346875</v>
      </c>
      <c r="I249" s="40">
        <v>0.671142360239679</v>
      </c>
      <c r="J249" s="4">
        <v>172.512500120833</v>
      </c>
      <c r="K249" s="40">
        <v>0.175899788579157</v>
      </c>
      <c r="L249" s="4">
        <v>29.8800000291667</v>
      </c>
      <c r="M249" s="40">
        <v>0.490126732365656</v>
      </c>
      <c r="N249" s="13">
        <v>37.6</v>
      </c>
      <c r="O249" s="44">
        <v>0.597609561752988</v>
      </c>
      <c r="P249" s="4">
        <v>3.63</v>
      </c>
      <c r="Q249" s="40">
        <v>0.4</v>
      </c>
      <c r="R249" s="4">
        <v>7.493141675</v>
      </c>
      <c r="S249" s="40">
        <v>0.737111997354498</v>
      </c>
      <c r="T249" s="11">
        <v>5.6</v>
      </c>
      <c r="U249" s="40">
        <v>0.764705882352941</v>
      </c>
      <c r="V249" s="4">
        <v>2.7564583375</v>
      </c>
      <c r="W249" s="54">
        <f t="shared" si="6"/>
        <v>0.965078772248</v>
      </c>
      <c r="X249" s="4">
        <v>14.5634667875</v>
      </c>
      <c r="Y249" s="40">
        <v>0.381332423294481</v>
      </c>
      <c r="Z249" s="4">
        <v>2.00433332083333</v>
      </c>
      <c r="AA249" s="40">
        <v>0.458583330208333</v>
      </c>
      <c r="AB249" s="9">
        <v>11.4238332875</v>
      </c>
      <c r="AC249" s="57">
        <v>0.744250931179775</v>
      </c>
      <c r="AD249" s="9">
        <v>0.249308333333333</v>
      </c>
      <c r="AE249" s="57">
        <f t="shared" si="7"/>
        <v>0.370570274448</v>
      </c>
      <c r="AF249" s="4">
        <v>6.94236663333333</v>
      </c>
      <c r="AG249" s="70">
        <v>0.453789662698411</v>
      </c>
    </row>
    <row r="250" spans="1:33">
      <c r="A250" s="38">
        <v>45537</v>
      </c>
      <c r="B250" s="1">
        <v>40223</v>
      </c>
      <c r="C250" s="39">
        <v>0.244702858575727</v>
      </c>
      <c r="D250" s="1">
        <v>40133</v>
      </c>
      <c r="E250" s="40">
        <v>0.274358974358974</v>
      </c>
      <c r="F250" s="10">
        <v>76.5</v>
      </c>
      <c r="G250" s="40">
        <v>0.311360448807854</v>
      </c>
      <c r="H250" s="4">
        <v>257.9500039375</v>
      </c>
      <c r="I250" s="40">
        <v>0.711256166865353</v>
      </c>
      <c r="J250" s="4">
        <v>183.0958326625</v>
      </c>
      <c r="K250" s="40">
        <v>0.201654375836517</v>
      </c>
      <c r="L250" s="4">
        <v>27.2312502541667</v>
      </c>
      <c r="M250" s="40">
        <v>0.412061604897339</v>
      </c>
      <c r="N250" s="13">
        <v>38.8</v>
      </c>
      <c r="O250" s="44">
        <v>0.645418326693227</v>
      </c>
      <c r="P250" s="4">
        <v>3.61</v>
      </c>
      <c r="Q250" s="40">
        <v>0.394805194805195</v>
      </c>
      <c r="R250" s="4">
        <v>7.4383052368421</v>
      </c>
      <c r="S250" s="40">
        <v>0.708098008911164</v>
      </c>
      <c r="T250" s="10">
        <v>5.2</v>
      </c>
      <c r="U250" s="40">
        <v>0.647058823529412</v>
      </c>
      <c r="V250" s="4">
        <v>2.4910416625</v>
      </c>
      <c r="W250" s="54">
        <f t="shared" si="6"/>
        <v>0.871613079277</v>
      </c>
      <c r="X250" s="4">
        <v>14.5695333416667</v>
      </c>
      <c r="Y250" s="40">
        <v>0.381540395669068</v>
      </c>
      <c r="Z250" s="4">
        <v>1.77608333333333</v>
      </c>
      <c r="AA250" s="40">
        <v>0.401520833333332</v>
      </c>
      <c r="AB250" s="9">
        <v>11.3804167583333</v>
      </c>
      <c r="AC250" s="57">
        <v>0.739372669475652</v>
      </c>
      <c r="AD250" s="9">
        <v>0.3124</v>
      </c>
      <c r="AE250" s="57">
        <f t="shared" si="7"/>
        <v>0.517081141205</v>
      </c>
      <c r="AF250" s="4">
        <v>6.94493332916667</v>
      </c>
      <c r="AG250" s="70">
        <v>0.455317457837304</v>
      </c>
    </row>
    <row r="251" spans="1:33">
      <c r="A251" s="38">
        <v>45538</v>
      </c>
      <c r="B251" s="1">
        <v>41214</v>
      </c>
      <c r="C251" s="39">
        <v>0.275764794383149</v>
      </c>
      <c r="D251" s="1">
        <v>40990</v>
      </c>
      <c r="E251" s="40">
        <v>0.300518925518926</v>
      </c>
      <c r="F251" s="10">
        <v>80.9</v>
      </c>
      <c r="G251" s="40">
        <v>0.373071528751753</v>
      </c>
      <c r="H251" s="4">
        <v>264.270001095833</v>
      </c>
      <c r="I251" s="40">
        <v>0.790563447055251</v>
      </c>
      <c r="J251" s="4">
        <v>182.512500758333</v>
      </c>
      <c r="K251" s="40">
        <v>0.200234835028674</v>
      </c>
      <c r="L251" s="4">
        <v>26.2087503416667</v>
      </c>
      <c r="M251" s="40">
        <v>0.381926034237156</v>
      </c>
      <c r="N251" s="13">
        <v>34.5</v>
      </c>
      <c r="O251" s="44">
        <v>0.47410358565737</v>
      </c>
      <c r="P251" s="4">
        <v>4.33</v>
      </c>
      <c r="Q251" s="40">
        <v>0.581818181818182</v>
      </c>
      <c r="R251" s="4">
        <v>7.50428340833333</v>
      </c>
      <c r="S251" s="40">
        <v>0.743007094356259</v>
      </c>
      <c r="T251" s="10">
        <v>4.8</v>
      </c>
      <c r="U251" s="40">
        <v>0.529411764705882</v>
      </c>
      <c r="V251" s="4">
        <v>2.85562495</v>
      </c>
      <c r="W251" s="54">
        <f t="shared" si="6"/>
        <v>1</v>
      </c>
      <c r="X251" s="4">
        <v>11.0084000916667</v>
      </c>
      <c r="Y251" s="40">
        <v>0.259458350759914</v>
      </c>
      <c r="Z251" s="4">
        <v>1.19158332083333</v>
      </c>
      <c r="AA251" s="40">
        <v>0.255395830208333</v>
      </c>
      <c r="AB251" s="9">
        <v>12.638750075</v>
      </c>
      <c r="AC251" s="57">
        <v>0.880758435393258</v>
      </c>
      <c r="AD251" s="9">
        <v>0.369666666666667</v>
      </c>
      <c r="AE251" s="57">
        <f t="shared" si="7"/>
        <v>0.650065248504</v>
      </c>
      <c r="AF251" s="4">
        <v>6.94009174166667</v>
      </c>
      <c r="AG251" s="70">
        <v>0.452435560515875</v>
      </c>
    </row>
    <row r="252" spans="1:33">
      <c r="A252" s="38">
        <v>45539</v>
      </c>
      <c r="B252" s="1">
        <v>50429</v>
      </c>
      <c r="C252" s="39">
        <v>0.564600050150451</v>
      </c>
      <c r="D252" s="1">
        <v>50039</v>
      </c>
      <c r="E252" s="40">
        <v>0.576739926739927</v>
      </c>
      <c r="F252" s="10">
        <v>81.6</v>
      </c>
      <c r="G252" s="40">
        <v>0.38288920056101</v>
      </c>
      <c r="H252" s="4">
        <v>259.853335054167</v>
      </c>
      <c r="I252" s="40">
        <v>0.735140357060698</v>
      </c>
      <c r="J252" s="4">
        <v>191.333333658333</v>
      </c>
      <c r="K252" s="40">
        <v>0.221700371494739</v>
      </c>
      <c r="L252" s="4">
        <v>31.02124985</v>
      </c>
      <c r="M252" s="40">
        <v>0.523762152961981</v>
      </c>
      <c r="N252" s="13">
        <v>36.8</v>
      </c>
      <c r="O252" s="44">
        <v>0.565737051792829</v>
      </c>
      <c r="P252" s="4">
        <v>4.12</v>
      </c>
      <c r="Q252" s="40">
        <v>0.527272727272727</v>
      </c>
      <c r="R252" s="4">
        <v>7.35384164583333</v>
      </c>
      <c r="S252" s="40">
        <v>0.663408278218693</v>
      </c>
      <c r="T252" s="10">
        <v>4.6</v>
      </c>
      <c r="U252" s="40">
        <v>0.470588235294118</v>
      </c>
      <c r="V252" s="4">
        <v>2.18604169166667</v>
      </c>
      <c r="W252" s="54">
        <f t="shared" si="6"/>
        <v>0.764208246367</v>
      </c>
      <c r="X252" s="4">
        <v>14.9543336375</v>
      </c>
      <c r="Y252" s="40">
        <v>0.394732041052451</v>
      </c>
      <c r="Z252" s="4">
        <v>0.43225</v>
      </c>
      <c r="AA252" s="40">
        <v>0.0655625</v>
      </c>
      <c r="AB252" s="9">
        <v>12.1624167833333</v>
      </c>
      <c r="AC252" s="57">
        <v>0.827237840823966</v>
      </c>
      <c r="AD252" s="9">
        <v>0.321183333333333</v>
      </c>
      <c r="AE252" s="57">
        <f t="shared" si="7"/>
        <v>0.537477714123</v>
      </c>
      <c r="AF252" s="4">
        <v>6.89424164583333</v>
      </c>
      <c r="AG252" s="70">
        <v>0.425143836805554</v>
      </c>
    </row>
    <row r="253" spans="1:33">
      <c r="A253" s="38">
        <v>45540</v>
      </c>
      <c r="B253" s="1">
        <v>42011</v>
      </c>
      <c r="C253" s="39">
        <v>0.300745987963892</v>
      </c>
      <c r="D253" s="1">
        <v>41481</v>
      </c>
      <c r="E253" s="40">
        <v>0.315506715506715</v>
      </c>
      <c r="F253" s="10">
        <v>72.4</v>
      </c>
      <c r="G253" s="40">
        <v>0.253856942496494</v>
      </c>
      <c r="H253" s="4">
        <v>256.0466677375</v>
      </c>
      <c r="I253" s="40">
        <v>0.687371912881164</v>
      </c>
      <c r="J253" s="4">
        <v>140.995833083333</v>
      </c>
      <c r="K253" s="40">
        <v>0.0992038378393716</v>
      </c>
      <c r="L253" s="4">
        <v>29.89125005</v>
      </c>
      <c r="M253" s="40">
        <v>0.490458297966401</v>
      </c>
      <c r="N253" s="13">
        <v>35.3</v>
      </c>
      <c r="O253" s="44">
        <v>0.50597609561753</v>
      </c>
      <c r="P253" s="4">
        <v>4.19</v>
      </c>
      <c r="Q253" s="40">
        <v>0.545454545454546</v>
      </c>
      <c r="R253" s="4">
        <v>7.431250025</v>
      </c>
      <c r="S253" s="40">
        <v>0.704365092592593</v>
      </c>
      <c r="T253" s="10">
        <v>4.8</v>
      </c>
      <c r="U253" s="40">
        <v>0.529411764705882</v>
      </c>
      <c r="V253" s="4">
        <v>1.66625019583333</v>
      </c>
      <c r="W253" s="54">
        <f t="shared" si="6"/>
        <v>0.581165216542</v>
      </c>
      <c r="X253" s="4">
        <v>6.90213337083334</v>
      </c>
      <c r="Y253" s="40">
        <v>0.11868815121129</v>
      </c>
      <c r="Z253" s="4">
        <v>0.658333320833333</v>
      </c>
      <c r="AA253" s="40">
        <v>0.122083330208333</v>
      </c>
      <c r="AB253" s="9">
        <v>12.8443332041667</v>
      </c>
      <c r="AC253" s="57">
        <v>0.903857663389517</v>
      </c>
      <c r="AD253" s="9">
        <v>0.294516666666667</v>
      </c>
      <c r="AE253" s="57">
        <f t="shared" si="7"/>
        <v>0.475552635055</v>
      </c>
      <c r="AF253" s="4">
        <v>6.90859160833333</v>
      </c>
      <c r="AG253" s="70">
        <v>0.433685481150792</v>
      </c>
    </row>
    <row r="254" spans="1:33">
      <c r="A254" s="38">
        <v>45541</v>
      </c>
      <c r="B254" s="1">
        <v>44310</v>
      </c>
      <c r="C254" s="39">
        <v>0.37280591775326</v>
      </c>
      <c r="D254" s="1">
        <v>43794</v>
      </c>
      <c r="E254" s="40">
        <v>0.386111111111111</v>
      </c>
      <c r="F254" s="10">
        <v>69.8</v>
      </c>
      <c r="G254" s="40">
        <v>0.217391304347826</v>
      </c>
      <c r="H254" s="4">
        <v>257.413332</v>
      </c>
      <c r="I254" s="40">
        <v>0.704521671476974</v>
      </c>
      <c r="J254" s="4">
        <v>141.22499975</v>
      </c>
      <c r="K254" s="40">
        <v>0.0997615159516219</v>
      </c>
      <c r="L254" s="4">
        <v>27.2279166333333</v>
      </c>
      <c r="M254" s="40">
        <v>0.411963354946457</v>
      </c>
      <c r="N254" s="13">
        <v>34.3</v>
      </c>
      <c r="O254" s="44">
        <v>0.46613545816733</v>
      </c>
      <c r="P254" s="4">
        <v>4.39</v>
      </c>
      <c r="Q254" s="40">
        <v>0.597402597402597</v>
      </c>
      <c r="R254" s="4">
        <v>7.4464166625</v>
      </c>
      <c r="S254" s="40">
        <v>0.712389768518519</v>
      </c>
      <c r="T254" s="10">
        <v>4.9</v>
      </c>
      <c r="U254" s="40">
        <v>0.558823529411765</v>
      </c>
      <c r="V254" s="4">
        <v>2.308125</v>
      </c>
      <c r="W254" s="54">
        <f t="shared" si="6"/>
        <v>0.807199520422</v>
      </c>
      <c r="X254" s="4">
        <v>6.81373336666667</v>
      </c>
      <c r="Y254" s="40">
        <v>0.115657640269684</v>
      </c>
      <c r="Z254" s="4">
        <v>0.903</v>
      </c>
      <c r="AA254" s="40">
        <v>0.18325</v>
      </c>
      <c r="AB254" s="9">
        <v>11.3100834208333</v>
      </c>
      <c r="AC254" s="57">
        <v>0.73147004728464</v>
      </c>
      <c r="AD254" s="9">
        <v>0.373091666666667</v>
      </c>
      <c r="AE254" s="57">
        <f t="shared" si="7"/>
        <v>0.658018750847</v>
      </c>
      <c r="AF254" s="4">
        <v>6.8823416625</v>
      </c>
      <c r="AG254" s="70">
        <v>0.418060513392857</v>
      </c>
    </row>
    <row r="255" spans="1:33">
      <c r="A255" s="38">
        <v>45542</v>
      </c>
      <c r="B255" s="1">
        <v>39556</v>
      </c>
      <c r="C255" s="39">
        <v>0.223796389167502</v>
      </c>
      <c r="D255" s="1">
        <v>39223</v>
      </c>
      <c r="E255" s="40">
        <v>0.246581196581197</v>
      </c>
      <c r="F255" s="10">
        <v>62.4</v>
      </c>
      <c r="G255" s="40">
        <v>0.113604488078541</v>
      </c>
      <c r="H255" s="4">
        <v>262.5300038625</v>
      </c>
      <c r="I255" s="40">
        <v>0.768728872662818</v>
      </c>
      <c r="J255" s="4">
        <v>199.124999995833</v>
      </c>
      <c r="K255" s="40">
        <v>0.240661426510192</v>
      </c>
      <c r="L255" s="4">
        <v>26.0187502666667</v>
      </c>
      <c r="M255" s="40">
        <v>0.376326267806269</v>
      </c>
      <c r="N255" s="13">
        <v>32.9</v>
      </c>
      <c r="O255" s="44">
        <v>0.410358565737052</v>
      </c>
      <c r="P255" s="4">
        <v>3.69</v>
      </c>
      <c r="Q255" s="40">
        <v>0.415584415584416</v>
      </c>
      <c r="R255" s="4">
        <v>7.44040840833333</v>
      </c>
      <c r="S255" s="40">
        <v>0.709210798059963</v>
      </c>
      <c r="T255" s="10">
        <v>5</v>
      </c>
      <c r="U255" s="40">
        <v>0.588235294117647</v>
      </c>
      <c r="V255" s="4">
        <v>2.05604165833333</v>
      </c>
      <c r="W255" s="54">
        <f t="shared" si="6"/>
        <v>0.718429121142</v>
      </c>
      <c r="X255" s="4">
        <v>8.34773340416667</v>
      </c>
      <c r="Y255" s="40">
        <v>0.168245917180894</v>
      </c>
      <c r="Z255" s="4">
        <v>1.8154999875</v>
      </c>
      <c r="AA255" s="40">
        <v>0.411374996875</v>
      </c>
      <c r="AB255" s="9">
        <v>10.7545000958333</v>
      </c>
      <c r="AC255" s="57">
        <v>0.669044954588011</v>
      </c>
      <c r="AD255" s="9">
        <v>0.266483333333333</v>
      </c>
      <c r="AE255" s="57">
        <f t="shared" si="7"/>
        <v>0.410453895685</v>
      </c>
      <c r="AF255" s="4">
        <v>6.8879999375</v>
      </c>
      <c r="AG255" s="70">
        <v>0.421428534226191</v>
      </c>
    </row>
    <row r="256" spans="1:33">
      <c r="A256" s="38">
        <v>45543</v>
      </c>
      <c r="B256" s="1">
        <v>47728</v>
      </c>
      <c r="C256" s="39">
        <v>0.479939819458375</v>
      </c>
      <c r="D256" s="1">
        <v>47522</v>
      </c>
      <c r="E256" s="40">
        <v>0.499908424908425</v>
      </c>
      <c r="F256" s="10">
        <v>58.9</v>
      </c>
      <c r="G256" s="40">
        <v>0.0645161290322581</v>
      </c>
      <c r="H256" s="4">
        <v>256.186669666667</v>
      </c>
      <c r="I256" s="40">
        <v>0.689128744719124</v>
      </c>
      <c r="J256" s="4">
        <v>108.1000003875</v>
      </c>
      <c r="K256" s="40">
        <v>0.0191516812778332</v>
      </c>
      <c r="L256" s="4">
        <v>21.39250005</v>
      </c>
      <c r="M256" s="40">
        <v>0.239979370763336</v>
      </c>
      <c r="N256" s="13">
        <v>29.6</v>
      </c>
      <c r="O256" s="44">
        <v>0.278884462151394</v>
      </c>
      <c r="P256" s="4">
        <v>4.57</v>
      </c>
      <c r="Q256" s="40">
        <v>0.644155844155844</v>
      </c>
      <c r="R256" s="4">
        <v>7.49926665833333</v>
      </c>
      <c r="S256" s="40">
        <v>0.740352729276894</v>
      </c>
      <c r="T256" s="11">
        <v>5.1</v>
      </c>
      <c r="U256" s="40">
        <v>0.617647058823529</v>
      </c>
      <c r="V256" s="4">
        <v>1.19062498333333</v>
      </c>
      <c r="W256" s="54">
        <f t="shared" si="6"/>
        <v>0.413675212078</v>
      </c>
      <c r="X256" s="4">
        <v>11.6549333208333</v>
      </c>
      <c r="Y256" s="40">
        <v>0.28162267126614</v>
      </c>
      <c r="Z256" s="4">
        <v>0.307333333333333</v>
      </c>
      <c r="AA256" s="40">
        <v>0.0343333333333333</v>
      </c>
      <c r="AB256" s="9">
        <v>10.319999975</v>
      </c>
      <c r="AC256" s="57">
        <v>0.620224716292135</v>
      </c>
      <c r="AD256" s="9">
        <v>0.307458333333333</v>
      </c>
      <c r="AE256" s="57">
        <f t="shared" si="7"/>
        <v>0.50560564999</v>
      </c>
      <c r="AF256" s="4">
        <v>6.82704164583333</v>
      </c>
      <c r="AG256" s="70">
        <v>0.385143836805554</v>
      </c>
    </row>
    <row r="257" spans="1:33">
      <c r="A257" s="38">
        <v>45544</v>
      </c>
      <c r="B257" s="1">
        <v>43357</v>
      </c>
      <c r="C257" s="39">
        <v>0.342935055165496</v>
      </c>
      <c r="D257" s="1">
        <v>43165</v>
      </c>
      <c r="E257" s="40">
        <v>0.366910866910867</v>
      </c>
      <c r="F257" s="10">
        <v>57.2</v>
      </c>
      <c r="G257" s="40">
        <v>0.0406732117812063</v>
      </c>
      <c r="H257" s="4">
        <v>267.0966695125</v>
      </c>
      <c r="I257" s="40">
        <v>0.826034251631321</v>
      </c>
      <c r="J257" s="4">
        <v>144.387500770833</v>
      </c>
      <c r="K257" s="40">
        <v>0.107457476384866</v>
      </c>
      <c r="L257" s="4">
        <v>37.3675002625</v>
      </c>
      <c r="M257" s="40">
        <v>0.710801658193339</v>
      </c>
      <c r="N257" s="13">
        <v>27.9</v>
      </c>
      <c r="O257" s="44">
        <v>0.211155378486056</v>
      </c>
      <c r="P257" s="4">
        <v>4.05</v>
      </c>
      <c r="Q257" s="40">
        <v>0.509090909090909</v>
      </c>
      <c r="R257" s="4">
        <v>7.51513330416667</v>
      </c>
      <c r="S257" s="40">
        <v>0.748747779982365</v>
      </c>
      <c r="T257" s="10">
        <v>4.9</v>
      </c>
      <c r="U257" s="40">
        <v>0.558823529411765</v>
      </c>
      <c r="V257" s="4">
        <v>1.6958334625</v>
      </c>
      <c r="W257" s="54">
        <f t="shared" si="6"/>
        <v>0.591582875942</v>
      </c>
      <c r="X257" s="4">
        <v>13.2547998916667</v>
      </c>
      <c r="Y257" s="40">
        <v>0.336468971260429</v>
      </c>
      <c r="Z257" s="4">
        <v>0.8978333125</v>
      </c>
      <c r="AA257" s="40">
        <v>0.181958328125</v>
      </c>
      <c r="AB257" s="9">
        <v>10.1435833333333</v>
      </c>
      <c r="AC257" s="57">
        <v>0.600402621722843</v>
      </c>
      <c r="AD257" s="9">
        <v>0.332233333333333</v>
      </c>
      <c r="AE257" s="57">
        <f t="shared" si="7"/>
        <v>0.563137918762</v>
      </c>
      <c r="AF257" s="4">
        <v>6.86559994166667</v>
      </c>
      <c r="AG257" s="70">
        <v>0.408095203373018</v>
      </c>
    </row>
    <row r="258" spans="1:33">
      <c r="A258" s="38">
        <v>45545</v>
      </c>
      <c r="B258" s="1">
        <v>38679</v>
      </c>
      <c r="C258" s="39">
        <v>0.196307673019057</v>
      </c>
      <c r="D258" s="1">
        <v>38580</v>
      </c>
      <c r="E258" s="40">
        <v>0.226953601953602</v>
      </c>
      <c r="F258" s="10">
        <v>54.3</v>
      </c>
      <c r="G258" s="40">
        <v>0</v>
      </c>
      <c r="H258" s="4">
        <v>258.726665495833</v>
      </c>
      <c r="I258" s="40">
        <v>0.72100220223156</v>
      </c>
      <c r="J258" s="4">
        <v>100.233334858333</v>
      </c>
      <c r="K258" s="40">
        <v>8.11539272623336e-6</v>
      </c>
      <c r="L258" s="19">
        <v>23.7710512070991</v>
      </c>
      <c r="M258" s="55">
        <v>0.31008108479514</v>
      </c>
      <c r="N258" s="13">
        <v>28.5</v>
      </c>
      <c r="O258" s="44">
        <v>0.235059760956175</v>
      </c>
      <c r="P258" s="16">
        <v>2.54</v>
      </c>
      <c r="Q258" s="40">
        <v>0.116883116883117</v>
      </c>
      <c r="R258" s="4">
        <v>7.50854162083333</v>
      </c>
      <c r="S258" s="40">
        <v>0.745260116843032</v>
      </c>
      <c r="T258" s="10">
        <v>5.3</v>
      </c>
      <c r="U258" s="40">
        <v>0.676470588235294</v>
      </c>
      <c r="V258" s="4">
        <v>1.24479177083333</v>
      </c>
      <c r="W258" s="54">
        <f t="shared" si="6"/>
        <v>0.432749885248</v>
      </c>
      <c r="X258" s="4">
        <v>13.8415332958333</v>
      </c>
      <c r="Y258" s="40">
        <v>0.356583246343274</v>
      </c>
      <c r="Z258" s="4">
        <v>1.61450000833333</v>
      </c>
      <c r="AA258" s="40">
        <v>0.361125002083333</v>
      </c>
      <c r="AB258" s="9">
        <v>9.65524994583333</v>
      </c>
      <c r="AC258" s="57">
        <v>0.545533701779026</v>
      </c>
      <c r="AD258" s="9">
        <v>0.345833333333333</v>
      </c>
      <c r="AE258" s="57">
        <f t="shared" si="7"/>
        <v>0.594719709087</v>
      </c>
      <c r="AF258" s="4">
        <v>6.86939168333333</v>
      </c>
      <c r="AG258" s="70">
        <v>0.410352192460316</v>
      </c>
    </row>
    <row r="259" spans="1:33">
      <c r="A259" s="38">
        <v>45546</v>
      </c>
      <c r="B259" s="1">
        <v>52871</v>
      </c>
      <c r="C259" s="39">
        <v>0.641142176529589</v>
      </c>
      <c r="D259" s="1">
        <v>52608</v>
      </c>
      <c r="E259" s="40">
        <v>0.65515873015873</v>
      </c>
      <c r="F259" s="10">
        <v>58.9</v>
      </c>
      <c r="G259" s="40">
        <v>0.0645161290322581</v>
      </c>
      <c r="H259" s="4">
        <v>250.013334920833</v>
      </c>
      <c r="I259" s="40">
        <v>0.611661876281001</v>
      </c>
      <c r="J259" s="4">
        <v>135.491667108333</v>
      </c>
      <c r="K259" s="40">
        <v>0.0858094252265179</v>
      </c>
      <c r="L259" s="19">
        <v>27.4696602356307</v>
      </c>
      <c r="M259" s="55">
        <v>0.419088129549976</v>
      </c>
      <c r="N259" s="13">
        <v>29.4</v>
      </c>
      <c r="O259" s="44">
        <v>0.270916334661354</v>
      </c>
      <c r="P259" s="17">
        <v>2.09</v>
      </c>
      <c r="Q259" s="71">
        <v>0</v>
      </c>
      <c r="R259" s="4">
        <v>7.49955839166667</v>
      </c>
      <c r="S259" s="40">
        <v>0.740507085537921</v>
      </c>
      <c r="T259" s="10">
        <v>5.2</v>
      </c>
      <c r="U259" s="40">
        <v>0.647058823529412</v>
      </c>
      <c r="V259" s="4">
        <v>1.87145830833333</v>
      </c>
      <c r="W259" s="54">
        <f t="shared" si="6"/>
        <v>0.653428643239</v>
      </c>
      <c r="X259" s="4">
        <v>13.9368670083333</v>
      </c>
      <c r="Y259" s="40">
        <v>0.359851457262026</v>
      </c>
      <c r="Z259" s="4">
        <v>2.5735832875</v>
      </c>
      <c r="AA259" s="40">
        <v>0.600895821875</v>
      </c>
      <c r="AB259" s="9">
        <v>11.2801666666667</v>
      </c>
      <c r="AC259" s="57">
        <v>0.728108614232214</v>
      </c>
      <c r="AD259" s="9">
        <v>0.330941666666667</v>
      </c>
      <c r="AE259" s="57">
        <f t="shared" si="7"/>
        <v>0.560138422745</v>
      </c>
      <c r="AF259" s="4">
        <v>6.89826655416667</v>
      </c>
      <c r="AG259" s="70">
        <v>0.427539615575399</v>
      </c>
    </row>
    <row r="260" spans="1:33">
      <c r="A260" s="38">
        <v>45547</v>
      </c>
      <c r="B260" s="1">
        <v>52748</v>
      </c>
      <c r="C260" s="39">
        <v>0.637286860581745</v>
      </c>
      <c r="D260" s="1">
        <v>52428</v>
      </c>
      <c r="E260" s="40">
        <v>0.649664224664225</v>
      </c>
      <c r="F260" s="10">
        <v>56.3</v>
      </c>
      <c r="G260" s="40">
        <v>0.0280504908835905</v>
      </c>
      <c r="H260" s="4">
        <v>262.53666815</v>
      </c>
      <c r="I260" s="40">
        <v>0.768812500313716</v>
      </c>
      <c r="J260" s="4">
        <v>137.125000954167</v>
      </c>
      <c r="K260" s="40">
        <v>0.089784150473723</v>
      </c>
      <c r="L260" s="19">
        <v>22.2976197482066</v>
      </c>
      <c r="M260" s="55">
        <v>0.266655459717259</v>
      </c>
      <c r="N260" s="13">
        <v>30.4</v>
      </c>
      <c r="O260" s="44">
        <v>0.310756972111554</v>
      </c>
      <c r="P260" s="17">
        <v>3.312</v>
      </c>
      <c r="Q260" s="71">
        <v>0.317402597402597</v>
      </c>
      <c r="R260" s="4">
        <v>7.48334167083333</v>
      </c>
      <c r="S260" s="40">
        <v>0.731926809964725</v>
      </c>
      <c r="T260" s="10">
        <v>4.9</v>
      </c>
      <c r="U260" s="40">
        <v>0.558823529411765</v>
      </c>
      <c r="V260" s="4">
        <v>2.63500001666667</v>
      </c>
      <c r="W260" s="54">
        <f t="shared" si="6"/>
        <v>0.922307585684</v>
      </c>
      <c r="X260" s="4">
        <v>13.919533325</v>
      </c>
      <c r="Y260" s="40">
        <v>0.359257227459719</v>
      </c>
      <c r="Z260" s="4">
        <v>1.51708334583333</v>
      </c>
      <c r="AA260" s="40">
        <v>0.336770836458333</v>
      </c>
      <c r="AB260" s="9">
        <v>10.4240834333333</v>
      </c>
      <c r="AC260" s="57">
        <v>0.631919486891382</v>
      </c>
      <c r="AD260" s="9">
        <v>0.292525</v>
      </c>
      <c r="AE260" s="57">
        <f t="shared" si="7"/>
        <v>0.470927605712</v>
      </c>
      <c r="AF260" s="4">
        <v>6.82855832916667</v>
      </c>
      <c r="AG260" s="70">
        <v>0.38604662450397</v>
      </c>
    </row>
    <row r="261" spans="1:33">
      <c r="A261" s="38">
        <v>45548</v>
      </c>
      <c r="B261" s="1">
        <v>51024</v>
      </c>
      <c r="C261" s="39">
        <v>0.583249749247743</v>
      </c>
      <c r="D261" s="1">
        <v>50440</v>
      </c>
      <c r="E261" s="40">
        <v>0.588980463980464</v>
      </c>
      <c r="F261" s="10">
        <v>58.9</v>
      </c>
      <c r="G261" s="40">
        <v>0.0645161290322581</v>
      </c>
      <c r="H261" s="4">
        <v>263.646668125</v>
      </c>
      <c r="I261" s="40">
        <v>0.782741474777262</v>
      </c>
      <c r="J261" s="4">
        <v>146.9375006375</v>
      </c>
      <c r="K261" s="40">
        <v>0.11366291250943</v>
      </c>
      <c r="L261" s="19">
        <v>26.4685823396682</v>
      </c>
      <c r="M261" s="55">
        <v>0.389583918056829</v>
      </c>
      <c r="N261" s="13">
        <v>31.8</v>
      </c>
      <c r="O261" s="44">
        <v>0.366533864541833</v>
      </c>
      <c r="P261" s="16">
        <v>2.44</v>
      </c>
      <c r="Q261" s="40">
        <v>0.0909090909090909</v>
      </c>
      <c r="R261" s="4">
        <v>7.52324165416667</v>
      </c>
      <c r="S261" s="40">
        <v>0.753037912257497</v>
      </c>
      <c r="T261" s="10">
        <v>4.6</v>
      </c>
      <c r="U261" s="40">
        <v>0.470588235294118</v>
      </c>
      <c r="V261" s="4">
        <v>1.99270834583333</v>
      </c>
      <c r="W261" s="54">
        <f t="shared" si="6"/>
        <v>0.696126483446</v>
      </c>
      <c r="X261" s="4">
        <v>13.1768000083333</v>
      </c>
      <c r="Y261" s="40">
        <v>0.333794995143411</v>
      </c>
      <c r="Z261" s="4">
        <v>0.5575</v>
      </c>
      <c r="AA261" s="40">
        <v>0.096875</v>
      </c>
      <c r="AB261" s="9">
        <v>8.49458325833333</v>
      </c>
      <c r="AC261" s="57">
        <v>0.415121714419475</v>
      </c>
      <c r="AD261" s="9">
        <v>0.269833333333333</v>
      </c>
      <c r="AE261" s="57">
        <f t="shared" si="7"/>
        <v>0.418233233743</v>
      </c>
      <c r="AF261" s="4">
        <v>6.89634167083333</v>
      </c>
      <c r="AG261" s="70">
        <v>0.426393851686506</v>
      </c>
    </row>
    <row r="262" spans="1:33">
      <c r="A262" s="38">
        <v>45549</v>
      </c>
      <c r="B262" s="1">
        <v>53112</v>
      </c>
      <c r="C262" s="39">
        <v>0.648696088264794</v>
      </c>
      <c r="D262" s="1">
        <v>52583</v>
      </c>
      <c r="E262" s="40">
        <v>0.654395604395604</v>
      </c>
      <c r="F262" s="10">
        <v>60.4</v>
      </c>
      <c r="G262" s="40">
        <v>0.0855539971949509</v>
      </c>
      <c r="H262" s="4">
        <v>275.276669833333</v>
      </c>
      <c r="I262" s="40">
        <v>0.928682015727607</v>
      </c>
      <c r="J262" s="4">
        <v>135.4625002625</v>
      </c>
      <c r="K262" s="40">
        <v>0.0857384475762295</v>
      </c>
      <c r="L262" s="19">
        <v>32.2569572867012</v>
      </c>
      <c r="M262" s="55">
        <v>0.560181470282971</v>
      </c>
      <c r="N262" s="13">
        <v>29.6</v>
      </c>
      <c r="O262" s="44">
        <v>0.278884462151394</v>
      </c>
      <c r="P262" s="16">
        <v>2.75</v>
      </c>
      <c r="Q262" s="40">
        <v>0.171428571428571</v>
      </c>
      <c r="R262" s="4">
        <v>7.49985005</v>
      </c>
      <c r="S262" s="40">
        <v>0.740661402116402</v>
      </c>
      <c r="T262" s="10">
        <v>4.4</v>
      </c>
      <c r="U262" s="40">
        <v>0.411764705882353</v>
      </c>
      <c r="V262" s="4">
        <v>2.22666660833333</v>
      </c>
      <c r="W262" s="54">
        <f t="shared" ref="W262:W325" si="8">ROUND((V262-MIN($V$5:$V$370))/(MAX($V$5:$V$370)-MIN($V$5:$V$2370)),12)</f>
        <v>0.778514189986</v>
      </c>
      <c r="X262" s="4">
        <v>13.8337335541667</v>
      </c>
      <c r="Y262" s="40">
        <v>0.356315857187751</v>
      </c>
      <c r="Z262" s="4">
        <v>1.00000000416667</v>
      </c>
      <c r="AA262" s="40">
        <v>0.207500001041667</v>
      </c>
      <c r="AB262" s="9">
        <v>8.64683327083334</v>
      </c>
      <c r="AC262" s="57">
        <v>0.432228457397005</v>
      </c>
      <c r="AD262" s="9">
        <v>0.28905</v>
      </c>
      <c r="AE262" s="57">
        <f t="shared" ref="AE262:AE325" si="9">ROUND((AD262-MIN($AD$5:$AD$370))/(MAX($AD$5:$AD$370)-MIN($AD$5:$AD$2370)),12)</f>
        <v>0.462857993846</v>
      </c>
      <c r="AF262" s="4">
        <v>6.90240834166667</v>
      </c>
      <c r="AG262" s="70">
        <v>0.43000496527778</v>
      </c>
    </row>
    <row r="263" spans="1:33">
      <c r="A263" s="38">
        <v>45550</v>
      </c>
      <c r="B263" s="1">
        <v>52347</v>
      </c>
      <c r="C263" s="39">
        <v>0.624717903711133</v>
      </c>
      <c r="D263" s="1">
        <v>52187</v>
      </c>
      <c r="E263" s="40">
        <v>0.642307692307692</v>
      </c>
      <c r="F263" s="10">
        <v>61.2</v>
      </c>
      <c r="G263" s="40">
        <v>0.0967741935483872</v>
      </c>
      <c r="H263" s="4">
        <v>265.13666915</v>
      </c>
      <c r="I263" s="40">
        <v>0.80143894026854</v>
      </c>
      <c r="J263" s="4">
        <v>137.745833395833</v>
      </c>
      <c r="K263" s="40">
        <v>0.0912949490079405</v>
      </c>
      <c r="L263" s="19">
        <v>27.1164579830068</v>
      </c>
      <c r="M263" s="55">
        <v>0.408678396198255</v>
      </c>
      <c r="N263" s="13">
        <v>31.2</v>
      </c>
      <c r="O263" s="44">
        <v>0.342629482071713</v>
      </c>
      <c r="P263" s="16">
        <v>3.37</v>
      </c>
      <c r="Q263" s="40">
        <v>0.332467532467533</v>
      </c>
      <c r="R263" s="4">
        <v>7.539808275</v>
      </c>
      <c r="S263" s="40">
        <v>0.761803320105821</v>
      </c>
      <c r="T263" s="11">
        <v>4.1</v>
      </c>
      <c r="U263" s="40">
        <v>0.323529411764706</v>
      </c>
      <c r="V263" s="4">
        <v>2.20041667916667</v>
      </c>
      <c r="W263" s="54">
        <f t="shared" si="8"/>
        <v>0.769270355476</v>
      </c>
      <c r="X263" s="4">
        <v>14.7593335208333</v>
      </c>
      <c r="Y263" s="40">
        <v>0.388047086761512</v>
      </c>
      <c r="Z263" s="4">
        <v>1.60608333333333</v>
      </c>
      <c r="AA263" s="40">
        <v>0.359020833333333</v>
      </c>
      <c r="AB263" s="9">
        <v>8.343166725</v>
      </c>
      <c r="AC263" s="57">
        <v>0.398108620786517</v>
      </c>
      <c r="AD263" s="9">
        <v>0.30535</v>
      </c>
      <c r="AE263" s="57">
        <f t="shared" si="9"/>
        <v>0.500709698427</v>
      </c>
      <c r="AF263" s="4">
        <v>6.94726674166667</v>
      </c>
      <c r="AG263" s="70">
        <v>0.456706393849209</v>
      </c>
    </row>
    <row r="264" spans="1:33">
      <c r="A264" s="38">
        <v>45551</v>
      </c>
      <c r="B264" s="1">
        <v>55471</v>
      </c>
      <c r="C264" s="39">
        <v>0.72263665997994</v>
      </c>
      <c r="D264" s="1">
        <v>55371</v>
      </c>
      <c r="E264" s="40">
        <v>0.73949938949939</v>
      </c>
      <c r="F264" s="10">
        <v>68.7</v>
      </c>
      <c r="G264" s="40">
        <v>0.201963534361851</v>
      </c>
      <c r="H264" s="4">
        <v>265.3466676125</v>
      </c>
      <c r="I264" s="40">
        <v>0.804074132419375</v>
      </c>
      <c r="J264" s="4">
        <v>124.858331991667</v>
      </c>
      <c r="K264" s="40">
        <v>0.0599331564783953</v>
      </c>
      <c r="L264" s="19">
        <v>33.9875939456669</v>
      </c>
      <c r="M264" s="55">
        <v>0.611187561027613</v>
      </c>
      <c r="N264" s="13">
        <v>33.7</v>
      </c>
      <c r="O264" s="44">
        <v>0.442231075697211</v>
      </c>
      <c r="P264" s="4">
        <v>4.28398035711634</v>
      </c>
      <c r="Q264" s="40">
        <v>0.569865027822426</v>
      </c>
      <c r="R264" s="4">
        <v>7.54744997916667</v>
      </c>
      <c r="S264" s="40">
        <v>0.765846549823635</v>
      </c>
      <c r="T264" s="10">
        <v>4</v>
      </c>
      <c r="U264" s="40">
        <v>0.294117647058824</v>
      </c>
      <c r="V264" s="4">
        <v>2.0106250125</v>
      </c>
      <c r="W264" s="54">
        <f t="shared" si="8"/>
        <v>0.702435784344</v>
      </c>
      <c r="X264" s="4">
        <v>15.722199875</v>
      </c>
      <c r="Y264" s="40">
        <v>0.421055875042852</v>
      </c>
      <c r="Z264" s="4">
        <v>2.09433333333333</v>
      </c>
      <c r="AA264" s="40">
        <v>0.481083333333333</v>
      </c>
      <c r="AB264" s="9">
        <v>9.951249975</v>
      </c>
      <c r="AC264" s="57">
        <v>0.578792132022472</v>
      </c>
      <c r="AD264" s="9">
        <v>0.306941666666667</v>
      </c>
      <c r="AE264" s="57">
        <f t="shared" si="9"/>
        <v>0.504405851583</v>
      </c>
      <c r="AF264" s="4">
        <v>6.92113335416667</v>
      </c>
      <c r="AG264" s="70">
        <v>0.44115080605159</v>
      </c>
    </row>
    <row r="265" spans="1:33">
      <c r="A265" s="38">
        <v>45552</v>
      </c>
      <c r="B265" s="1">
        <v>59624</v>
      </c>
      <c r="C265" s="39">
        <v>0.852808425275827</v>
      </c>
      <c r="D265" s="1">
        <v>59369</v>
      </c>
      <c r="E265" s="40">
        <v>0.861538461538462</v>
      </c>
      <c r="F265" s="10">
        <v>70.1</v>
      </c>
      <c r="G265" s="40">
        <v>0.221598877980365</v>
      </c>
      <c r="H265" s="4">
        <v>253.613334025</v>
      </c>
      <c r="I265" s="40">
        <v>0.656836918371188</v>
      </c>
      <c r="J265" s="4">
        <v>175.370833883333</v>
      </c>
      <c r="K265" s="40">
        <v>0.182855556623593</v>
      </c>
      <c r="L265" s="19">
        <v>25.3686619072717</v>
      </c>
      <c r="M265" s="55">
        <v>0.357166575516407</v>
      </c>
      <c r="N265" s="13">
        <v>32.5</v>
      </c>
      <c r="O265" s="44">
        <v>0.394422310756972</v>
      </c>
      <c r="P265" s="4">
        <v>4.18713612539446</v>
      </c>
      <c r="Q265" s="40">
        <v>0.544710681920639</v>
      </c>
      <c r="R265" s="4">
        <v>7.38936668333333</v>
      </c>
      <c r="S265" s="40">
        <v>0.68220459435626</v>
      </c>
      <c r="T265" s="10">
        <v>3.7</v>
      </c>
      <c r="U265" s="40">
        <v>0.205882352941177</v>
      </c>
      <c r="V265" s="4">
        <v>2.27770832916667</v>
      </c>
      <c r="W265" s="54">
        <f t="shared" si="8"/>
        <v>0.796488380222</v>
      </c>
      <c r="X265" s="4">
        <v>14.9456666333333</v>
      </c>
      <c r="Y265" s="40">
        <v>0.394434920580504</v>
      </c>
      <c r="Z265" s="4">
        <v>1.00758333333333</v>
      </c>
      <c r="AA265" s="40">
        <v>0.209395833333332</v>
      </c>
      <c r="AB265" s="9">
        <v>9.93691666666667</v>
      </c>
      <c r="AC265" s="57">
        <v>0.577181647940075</v>
      </c>
      <c r="AD265" s="9">
        <v>0.292175</v>
      </c>
      <c r="AE265" s="57">
        <f t="shared" si="9"/>
        <v>0.470114839049</v>
      </c>
      <c r="AF265" s="4">
        <v>6.873416675</v>
      </c>
      <c r="AG265" s="70">
        <v>0.412748020833333</v>
      </c>
    </row>
    <row r="266" spans="1:33">
      <c r="A266" s="38">
        <v>45553</v>
      </c>
      <c r="B266" s="1">
        <v>60241</v>
      </c>
      <c r="C266" s="39">
        <v>0.872147693079238</v>
      </c>
      <c r="D266" s="1">
        <v>59880</v>
      </c>
      <c r="E266" s="40">
        <v>0.877136752136752</v>
      </c>
      <c r="F266" s="10">
        <v>78.6</v>
      </c>
      <c r="G266" s="40">
        <v>0.340813464235624</v>
      </c>
      <c r="H266" s="4">
        <v>252.6533317625</v>
      </c>
      <c r="I266" s="40">
        <v>0.644790209091479</v>
      </c>
      <c r="J266" s="4">
        <v>159.516666566666</v>
      </c>
      <c r="K266" s="40">
        <v>0.144274369276193</v>
      </c>
      <c r="L266" s="19">
        <v>35.5321905435447</v>
      </c>
      <c r="M266" s="55">
        <v>0.656710596626723</v>
      </c>
      <c r="N266" s="13">
        <v>28.4</v>
      </c>
      <c r="O266" s="44">
        <v>0.231075697211155</v>
      </c>
      <c r="P266" s="4">
        <v>3.76880559383775</v>
      </c>
      <c r="Q266" s="40">
        <v>0.436053400996818</v>
      </c>
      <c r="R266" s="4">
        <v>6.842995775</v>
      </c>
      <c r="S266" s="40">
        <v>0.393119457671958</v>
      </c>
      <c r="T266" s="10">
        <v>3.5</v>
      </c>
      <c r="U266" s="40">
        <v>0.147058823529412</v>
      </c>
      <c r="V266" s="4">
        <v>2.45590911363636</v>
      </c>
      <c r="W266" s="54">
        <f t="shared" si="8"/>
        <v>0.85924125665</v>
      </c>
      <c r="X266" s="4">
        <v>11.71473345</v>
      </c>
      <c r="Y266" s="40">
        <v>0.283672727116901</v>
      </c>
      <c r="Z266" s="4">
        <v>0.2135</v>
      </c>
      <c r="AA266" s="40">
        <v>0.010875</v>
      </c>
      <c r="AB266" s="9">
        <v>6.61341667916667</v>
      </c>
      <c r="AC266" s="57">
        <v>0.203754683052435</v>
      </c>
      <c r="AD266" s="9">
        <v>0.249033333333333</v>
      </c>
      <c r="AE266" s="57">
        <f t="shared" si="9"/>
        <v>0.36993167207</v>
      </c>
      <c r="AF266" s="4">
        <v>6.91792502083333</v>
      </c>
      <c r="AG266" s="70">
        <v>0.439241083829363</v>
      </c>
    </row>
    <row r="267" spans="1:33">
      <c r="A267" s="38">
        <v>45554</v>
      </c>
      <c r="B267" s="1">
        <v>50743</v>
      </c>
      <c r="C267" s="39">
        <v>0.574442076228686</v>
      </c>
      <c r="D267" s="1">
        <v>50506</v>
      </c>
      <c r="E267" s="40">
        <v>0.590995115995116</v>
      </c>
      <c r="F267" s="10">
        <v>83.5</v>
      </c>
      <c r="G267" s="40">
        <v>0.409537166900421</v>
      </c>
      <c r="H267" s="4">
        <v>269.743334445833</v>
      </c>
      <c r="I267" s="40">
        <v>0.859246259829753</v>
      </c>
      <c r="J267" s="4">
        <v>168.254165329166</v>
      </c>
      <c r="K267" s="40">
        <v>0.165537111744497</v>
      </c>
      <c r="L267" s="19">
        <v>26.0471120136235</v>
      </c>
      <c r="M267" s="55">
        <v>0.377162157784365</v>
      </c>
      <c r="N267" s="13">
        <v>29.3</v>
      </c>
      <c r="O267" s="44">
        <v>0.266932270916335</v>
      </c>
      <c r="P267" s="4">
        <v>3.97183385827587</v>
      </c>
      <c r="Q267" s="40">
        <v>0.48878801513659</v>
      </c>
      <c r="R267" s="4">
        <v>6.98868335</v>
      </c>
      <c r="S267" s="40">
        <v>0.470202830687831</v>
      </c>
      <c r="T267" s="11">
        <v>3.2</v>
      </c>
      <c r="U267" s="40">
        <v>0.0588235294117648</v>
      </c>
      <c r="V267" s="4">
        <v>1.75947370526316</v>
      </c>
      <c r="W267" s="54">
        <f t="shared" si="8"/>
        <v>0.613993598217</v>
      </c>
      <c r="X267" s="4">
        <v>11.9400667291667</v>
      </c>
      <c r="Y267" s="40">
        <v>0.291397556707806</v>
      </c>
      <c r="Z267" s="4">
        <v>0.355583333333333</v>
      </c>
      <c r="AA267" s="40">
        <v>0.0463958333333332</v>
      </c>
      <c r="AB267" s="9">
        <v>7.6621666625</v>
      </c>
      <c r="AC267" s="57">
        <v>0.321591759831461</v>
      </c>
      <c r="AD267" s="9">
        <v>0.253325</v>
      </c>
      <c r="AE267" s="57">
        <f t="shared" si="9"/>
        <v>0.379897739482</v>
      </c>
      <c r="AF267" s="4">
        <v>6.94808337916667</v>
      </c>
      <c r="AG267" s="70">
        <v>0.457192487599209</v>
      </c>
    </row>
    <row r="268" spans="1:33">
      <c r="A268" s="38">
        <v>45555</v>
      </c>
      <c r="B268" s="1">
        <v>50976</v>
      </c>
      <c r="C268" s="39">
        <v>0.581745235707121</v>
      </c>
      <c r="D268" s="1">
        <v>50711</v>
      </c>
      <c r="E268" s="40">
        <v>0.597252747252747</v>
      </c>
      <c r="F268" s="10">
        <v>92.4</v>
      </c>
      <c r="G268" s="40">
        <v>0.534361851332398</v>
      </c>
      <c r="H268" s="4">
        <v>266.553333279167</v>
      </c>
      <c r="I268" s="40">
        <v>0.819216128487477</v>
      </c>
      <c r="J268" s="4">
        <v>197.250000320833</v>
      </c>
      <c r="K268" s="40">
        <v>0.236098606382676</v>
      </c>
      <c r="L268" s="19">
        <v>27.781968084267</v>
      </c>
      <c r="M268" s="55">
        <v>0.428292604900295</v>
      </c>
      <c r="N268" s="13">
        <v>29.8</v>
      </c>
      <c r="O268" s="44">
        <v>0.286852589641434</v>
      </c>
      <c r="P268" s="4">
        <v>3.58879218718159</v>
      </c>
      <c r="Q268" s="40">
        <v>0.389296671995218</v>
      </c>
      <c r="R268" s="4">
        <v>6.90520206666667</v>
      </c>
      <c r="S268" s="40">
        <v>0.426032839506175</v>
      </c>
      <c r="T268" s="10">
        <v>3.8</v>
      </c>
      <c r="U268" s="40">
        <v>0.235294117647059</v>
      </c>
      <c r="V268" s="4">
        <v>1.31854168333333</v>
      </c>
      <c r="W268" s="54">
        <f t="shared" si="8"/>
        <v>0.458720697664</v>
      </c>
      <c r="X268" s="4">
        <v>24.34726675</v>
      </c>
      <c r="Y268" s="40">
        <v>0.716738661295852</v>
      </c>
      <c r="Z268" s="4">
        <v>1.2545</v>
      </c>
      <c r="AA268" s="40">
        <v>0.271125</v>
      </c>
      <c r="AB268" s="9">
        <v>7.8668333125</v>
      </c>
      <c r="AC268" s="57">
        <v>0.344588012640449</v>
      </c>
      <c r="AD268" s="9">
        <v>0.279191666666667</v>
      </c>
      <c r="AE268" s="57">
        <f t="shared" si="9"/>
        <v>0.439965066178</v>
      </c>
      <c r="AF268" s="4">
        <v>6.977541725</v>
      </c>
      <c r="AG268" s="70">
        <v>0.474727217261905</v>
      </c>
    </row>
    <row r="269" spans="1:33">
      <c r="A269" s="38">
        <v>45556</v>
      </c>
      <c r="B269" s="1">
        <v>54826</v>
      </c>
      <c r="C269" s="39">
        <v>0.702419759277834</v>
      </c>
      <c r="D269" s="1">
        <v>54603</v>
      </c>
      <c r="E269" s="40">
        <v>0.716056166056166</v>
      </c>
      <c r="F269" s="10">
        <v>90.7</v>
      </c>
      <c r="G269" s="40">
        <v>0.510518934081347</v>
      </c>
      <c r="H269" s="4">
        <v>259.246671675</v>
      </c>
      <c r="I269" s="40">
        <v>0.727527565252855</v>
      </c>
      <c r="J269" s="4">
        <v>177.7541666</v>
      </c>
      <c r="K269" s="40">
        <v>0.188655407490327</v>
      </c>
      <c r="L269" s="4">
        <v>27.64868765125</v>
      </c>
      <c r="M269" s="40">
        <v>0.424364504899794</v>
      </c>
      <c r="N269" s="13">
        <v>31.2</v>
      </c>
      <c r="O269" s="44">
        <v>0.342629482071713</v>
      </c>
      <c r="P269" s="4">
        <v>3.38014836053572</v>
      </c>
      <c r="Q269" s="40">
        <v>0.335103470269018</v>
      </c>
      <c r="R269" s="4">
        <v>7.51513330416667</v>
      </c>
      <c r="S269" s="40">
        <v>0.748747779982365</v>
      </c>
      <c r="T269" s="10">
        <v>4.1</v>
      </c>
      <c r="U269" s="40">
        <v>0.323529411764706</v>
      </c>
      <c r="V269" s="4">
        <v>1.45590911363636</v>
      </c>
      <c r="W269" s="54">
        <f t="shared" si="8"/>
        <v>0.507094229827</v>
      </c>
      <c r="X269" s="4">
        <v>14.4447333416667</v>
      </c>
      <c r="Y269" s="40">
        <v>0.377262027482575</v>
      </c>
      <c r="Z269" s="4">
        <v>0.382833333333333</v>
      </c>
      <c r="AA269" s="40">
        <v>0.0532083333333333</v>
      </c>
      <c r="AB269" s="9">
        <v>9.81308341666667</v>
      </c>
      <c r="AC269" s="57">
        <v>0.563267799625468</v>
      </c>
      <c r="AD269" s="9">
        <v>0.282183333333333</v>
      </c>
      <c r="AE269" s="57">
        <f t="shared" si="9"/>
        <v>0.446912285986</v>
      </c>
      <c r="AF269" s="4">
        <v>6.96628335833333</v>
      </c>
      <c r="AG269" s="70">
        <v>0.468025808531744</v>
      </c>
    </row>
    <row r="270" spans="1:33">
      <c r="A270" s="38">
        <v>45557</v>
      </c>
      <c r="B270" s="1">
        <v>55846</v>
      </c>
      <c r="C270" s="39">
        <v>0.734390672016048</v>
      </c>
      <c r="D270" s="1">
        <v>55760</v>
      </c>
      <c r="E270" s="40">
        <v>0.751373626373626</v>
      </c>
      <c r="F270" s="10">
        <v>89.4</v>
      </c>
      <c r="G270" s="40">
        <v>0.492286115007013</v>
      </c>
      <c r="H270" s="4">
        <v>260.576668425</v>
      </c>
      <c r="I270" s="40">
        <v>0.744217196950684</v>
      </c>
      <c r="J270" s="4">
        <v>174.47083425</v>
      </c>
      <c r="K270" s="40">
        <v>0.180665403475044</v>
      </c>
      <c r="L270" s="4">
        <v>34.77887467</v>
      </c>
      <c r="M270" s="40">
        <v>0.634508537282641</v>
      </c>
      <c r="N270" s="13">
        <v>30.9</v>
      </c>
      <c r="O270" s="44">
        <v>0.330677290836653</v>
      </c>
      <c r="P270" s="4">
        <v>3.50268362274257</v>
      </c>
      <c r="Q270" s="40">
        <v>0.366930811101966</v>
      </c>
      <c r="R270" s="4">
        <v>7.20854162083333</v>
      </c>
      <c r="S270" s="40">
        <v>0.586529958112873</v>
      </c>
      <c r="T270" s="10">
        <v>3.7</v>
      </c>
      <c r="U270" s="40">
        <v>0.205882352941177</v>
      </c>
      <c r="V270" s="4">
        <v>1.75947370526316</v>
      </c>
      <c r="W270" s="54">
        <f t="shared" si="8"/>
        <v>0.613993598217</v>
      </c>
      <c r="X270" s="4">
        <v>13.3908666875</v>
      </c>
      <c r="Y270" s="40">
        <v>0.341133585447377</v>
      </c>
      <c r="Z270" s="4">
        <v>0.5045</v>
      </c>
      <c r="AA270" s="40">
        <v>0.083625</v>
      </c>
      <c r="AB270" s="9">
        <v>10.7949999958333</v>
      </c>
      <c r="AC270" s="57">
        <v>0.673595505149809</v>
      </c>
      <c r="AD270" s="9">
        <v>0.277866666666667</v>
      </c>
      <c r="AE270" s="57">
        <f t="shared" si="9"/>
        <v>0.436888163812</v>
      </c>
      <c r="AF270" s="4">
        <v>6.95473340833333</v>
      </c>
      <c r="AG270" s="70">
        <v>0.461150838293649</v>
      </c>
    </row>
    <row r="271" spans="1:33">
      <c r="A271" s="38">
        <v>45558</v>
      </c>
      <c r="B271" s="1">
        <v>50314</v>
      </c>
      <c r="C271" s="39">
        <v>0.560995486459378</v>
      </c>
      <c r="D271" s="1">
        <v>49933</v>
      </c>
      <c r="E271" s="40">
        <v>0.573504273504273</v>
      </c>
      <c r="F271" s="10">
        <v>88.2</v>
      </c>
      <c r="G271" s="40">
        <v>0.475455820476858</v>
      </c>
      <c r="H271" s="4">
        <v>265.099999741667</v>
      </c>
      <c r="I271" s="40">
        <v>0.800978789580461</v>
      </c>
      <c r="J271" s="4">
        <v>185.704166408333</v>
      </c>
      <c r="K271" s="40">
        <v>0.20800176771794</v>
      </c>
      <c r="L271" s="4">
        <v>27.14731254125</v>
      </c>
      <c r="M271" s="40">
        <v>0.409587755415561</v>
      </c>
      <c r="N271" s="13">
        <v>32.8</v>
      </c>
      <c r="O271" s="44">
        <v>0.406374501992032</v>
      </c>
      <c r="P271" s="4">
        <v>4.12285556000486</v>
      </c>
      <c r="Q271" s="40">
        <v>0.528014431170094</v>
      </c>
      <c r="R271" s="4">
        <v>7.19955839166667</v>
      </c>
      <c r="S271" s="40">
        <v>0.581776926807762</v>
      </c>
      <c r="T271" s="10">
        <v>3.4</v>
      </c>
      <c r="U271" s="40">
        <v>0.117647058823529</v>
      </c>
      <c r="V271" s="4">
        <v>1.60575001</v>
      </c>
      <c r="W271" s="54">
        <f t="shared" si="8"/>
        <v>0.559860255978</v>
      </c>
      <c r="X271" s="4">
        <v>12.91680015</v>
      </c>
      <c r="Y271" s="40">
        <v>0.324881732944806</v>
      </c>
      <c r="Z271" s="4">
        <v>0.523583333333333</v>
      </c>
      <c r="AA271" s="40">
        <v>0.0883958333333332</v>
      </c>
      <c r="AB271" s="9">
        <v>10.9459166166667</v>
      </c>
      <c r="AC271" s="57">
        <v>0.690552428838955</v>
      </c>
      <c r="AD271" s="9">
        <v>0.291591666666667</v>
      </c>
      <c r="AE271" s="57">
        <f t="shared" si="9"/>
        <v>0.468760227945</v>
      </c>
      <c r="AF271" s="4">
        <v>6.9311083375</v>
      </c>
      <c r="AG271" s="70">
        <v>0.447088296130953</v>
      </c>
    </row>
    <row r="272" spans="1:33">
      <c r="A272" s="38">
        <v>45559</v>
      </c>
      <c r="B272" s="1">
        <v>50781</v>
      </c>
      <c r="C272" s="39">
        <v>0.575633149448345</v>
      </c>
      <c r="D272" s="1">
        <v>50628</v>
      </c>
      <c r="E272" s="40">
        <v>0.59471916971917</v>
      </c>
      <c r="F272" s="10">
        <v>85.4</v>
      </c>
      <c r="G272" s="40">
        <v>0.436185133239832</v>
      </c>
      <c r="H272" s="4">
        <v>256.6000054625</v>
      </c>
      <c r="I272" s="40">
        <v>0.694315541002635</v>
      </c>
      <c r="J272" s="4">
        <v>176.362500516666</v>
      </c>
      <c r="K272" s="40">
        <v>0.185268781828209</v>
      </c>
      <c r="L272" s="4">
        <v>27.726874835</v>
      </c>
      <c r="M272" s="40">
        <v>0.426668872236958</v>
      </c>
      <c r="N272" s="13">
        <v>30.5</v>
      </c>
      <c r="O272" s="44">
        <v>0.314741035856574</v>
      </c>
      <c r="P272" s="4">
        <v>3.50520624973322</v>
      </c>
      <c r="Q272" s="40">
        <v>0.367586038891746</v>
      </c>
      <c r="R272" s="4">
        <v>7.48334167083333</v>
      </c>
      <c r="S272" s="40">
        <v>0.731926809964725</v>
      </c>
      <c r="T272" s="10">
        <v>3.5</v>
      </c>
      <c r="U272" s="40">
        <v>0.147058823529412</v>
      </c>
      <c r="V272" s="4">
        <v>1.255000025</v>
      </c>
      <c r="W272" s="54">
        <f t="shared" si="8"/>
        <v>0.436344691602</v>
      </c>
      <c r="X272" s="4">
        <v>13.2963998625</v>
      </c>
      <c r="Y272" s="40">
        <v>0.337895092989373</v>
      </c>
      <c r="Z272" s="4">
        <v>0.772666670833333</v>
      </c>
      <c r="AA272" s="40">
        <v>0.150666667708333</v>
      </c>
      <c r="AB272" s="9">
        <v>11.8180833291667</v>
      </c>
      <c r="AC272" s="57">
        <v>0.788548688670416</v>
      </c>
      <c r="AD272" s="9">
        <v>0.305608333333333</v>
      </c>
      <c r="AE272" s="57">
        <f t="shared" si="9"/>
        <v>0.50130959763</v>
      </c>
      <c r="AF272" s="4">
        <v>6.918799975</v>
      </c>
      <c r="AG272" s="70">
        <v>0.439761889880952</v>
      </c>
    </row>
    <row r="273" spans="1:33">
      <c r="A273" s="38">
        <v>45560</v>
      </c>
      <c r="B273" s="1">
        <v>52473</v>
      </c>
      <c r="C273" s="39">
        <v>0.628667251755266</v>
      </c>
      <c r="D273" s="1">
        <v>51721</v>
      </c>
      <c r="E273" s="40">
        <v>0.628083028083028</v>
      </c>
      <c r="F273" s="10">
        <v>82.6</v>
      </c>
      <c r="G273" s="40">
        <v>0.396914446002805</v>
      </c>
      <c r="H273" s="4">
        <v>258.610006329167</v>
      </c>
      <c r="I273" s="40">
        <v>0.719538289988292</v>
      </c>
      <c r="J273" s="4">
        <v>171.20416705</v>
      </c>
      <c r="K273" s="40">
        <v>0.17271595417711</v>
      </c>
      <c r="L273" s="4">
        <v>30.23581276125</v>
      </c>
      <c r="M273" s="40">
        <v>0.50061340292514</v>
      </c>
      <c r="N273" s="13">
        <v>32.3</v>
      </c>
      <c r="O273" s="44">
        <v>0.386454183266932</v>
      </c>
      <c r="P273" s="4">
        <v>3.76</v>
      </c>
      <c r="Q273" s="40">
        <v>0.433766233766234</v>
      </c>
      <c r="R273" s="4">
        <v>6.6842811875</v>
      </c>
      <c r="S273" s="40">
        <v>0.309143485449736</v>
      </c>
      <c r="T273" s="10">
        <v>3.6</v>
      </c>
      <c r="U273" s="40">
        <v>0.176470588235294</v>
      </c>
      <c r="V273" s="4">
        <v>0.4969565173913</v>
      </c>
      <c r="W273" s="54">
        <f t="shared" si="8"/>
        <v>0.169401924195</v>
      </c>
      <c r="X273" s="4">
        <v>13.3042001666667</v>
      </c>
      <c r="Y273" s="40">
        <v>0.338162501428409</v>
      </c>
      <c r="Z273" s="4">
        <v>0.8116666625</v>
      </c>
      <c r="AA273" s="40">
        <v>0.160416665625</v>
      </c>
      <c r="AB273" s="9">
        <v>11.3514166708333</v>
      </c>
      <c r="AC273" s="57">
        <v>0.736114232677899</v>
      </c>
      <c r="AD273" s="9">
        <v>0.322091666666667</v>
      </c>
      <c r="AE273" s="57">
        <f t="shared" si="9"/>
        <v>0.539587037129</v>
      </c>
      <c r="AF273" s="4">
        <v>6.90847495833333</v>
      </c>
      <c r="AG273" s="70">
        <v>0.433616046626982</v>
      </c>
    </row>
    <row r="274" spans="1:33">
      <c r="A274" s="38">
        <v>45561</v>
      </c>
      <c r="B274" s="1">
        <v>49741</v>
      </c>
      <c r="C274" s="39">
        <v>0.543035356068205</v>
      </c>
      <c r="D274" s="1">
        <v>49199</v>
      </c>
      <c r="E274" s="40">
        <v>0.551098901098901</v>
      </c>
      <c r="F274" s="10">
        <v>84.4</v>
      </c>
      <c r="G274" s="40">
        <v>0.422159887798037</v>
      </c>
      <c r="H274" s="4">
        <v>256.553333916667</v>
      </c>
      <c r="I274" s="40">
        <v>0.693729877232614</v>
      </c>
      <c r="J274" s="4">
        <v>172.445833058333</v>
      </c>
      <c r="K274" s="40">
        <v>0.17573755398324</v>
      </c>
      <c r="L274" s="4">
        <v>29.96606276125</v>
      </c>
      <c r="M274" s="40">
        <v>0.492663211354259</v>
      </c>
      <c r="N274" s="13">
        <v>30.2</v>
      </c>
      <c r="O274" s="44">
        <v>0.302788844621514</v>
      </c>
      <c r="P274" s="4">
        <v>4.73</v>
      </c>
      <c r="Q274" s="40">
        <v>0.685714285714286</v>
      </c>
      <c r="R274" s="4">
        <v>6.79435623333333</v>
      </c>
      <c r="S274" s="40">
        <v>0.367384250440916</v>
      </c>
      <c r="T274" s="10">
        <v>3.8</v>
      </c>
      <c r="U274" s="40">
        <v>0.235294117647059</v>
      </c>
      <c r="V274" s="4">
        <v>1.18958334583333</v>
      </c>
      <c r="W274" s="54">
        <f t="shared" si="8"/>
        <v>0.413308402529</v>
      </c>
      <c r="X274" s="4">
        <v>12.4462000541667</v>
      </c>
      <c r="Y274" s="40">
        <v>0.308748716289568</v>
      </c>
      <c r="Z274" s="4">
        <v>1.0705000125</v>
      </c>
      <c r="AA274" s="40">
        <v>0.225125003125</v>
      </c>
      <c r="AB274" s="4">
        <v>12.3647500375</v>
      </c>
      <c r="AC274" s="40">
        <v>0.849971914325843</v>
      </c>
      <c r="AD274" s="4">
        <v>0.337091666666667</v>
      </c>
      <c r="AE274" s="57">
        <f t="shared" si="9"/>
        <v>0.574419894105</v>
      </c>
      <c r="AF274" s="4">
        <v>6.90194167916667</v>
      </c>
      <c r="AG274" s="70">
        <v>0.429727189980161</v>
      </c>
    </row>
    <row r="275" spans="1:33">
      <c r="A275" s="38">
        <v>45562</v>
      </c>
      <c r="B275" s="1">
        <v>48357</v>
      </c>
      <c r="C275" s="39">
        <v>0.499655215646941</v>
      </c>
      <c r="D275" s="1">
        <v>48175</v>
      </c>
      <c r="E275" s="40">
        <v>0.51984126984127</v>
      </c>
      <c r="F275" s="10">
        <v>87.9</v>
      </c>
      <c r="G275" s="40">
        <v>0.47124824684432</v>
      </c>
      <c r="H275" s="4">
        <v>263.7900034625</v>
      </c>
      <c r="I275" s="40">
        <v>0.784540136309449</v>
      </c>
      <c r="J275" s="4">
        <v>170.349999583333</v>
      </c>
      <c r="K275" s="40">
        <v>0.170637333811922</v>
      </c>
      <c r="L275" s="4">
        <v>26.30443787125</v>
      </c>
      <c r="M275" s="40">
        <v>0.38474617952402</v>
      </c>
      <c r="N275" s="13">
        <v>29.7</v>
      </c>
      <c r="O275" s="44">
        <v>0.282868525896414</v>
      </c>
      <c r="P275" s="4">
        <v>4.74</v>
      </c>
      <c r="Q275" s="40">
        <v>0.688311688311688</v>
      </c>
      <c r="R275" s="4">
        <v>6.84353539166666</v>
      </c>
      <c r="S275" s="40">
        <v>0.393404969135799</v>
      </c>
      <c r="T275" s="11">
        <v>4.1</v>
      </c>
      <c r="U275" s="40">
        <v>0.323529411764706</v>
      </c>
      <c r="V275" s="4">
        <v>1.61437499583333</v>
      </c>
      <c r="W275" s="54">
        <f t="shared" si="8"/>
        <v>0.562897519096</v>
      </c>
      <c r="X275" s="4">
        <v>12.8951331458333</v>
      </c>
      <c r="Y275" s="40">
        <v>0.324138949120099</v>
      </c>
      <c r="Z275" s="4">
        <v>1.27875</v>
      </c>
      <c r="AA275" s="40">
        <v>0.2771875</v>
      </c>
      <c r="AB275" s="4">
        <v>12.1648333416667</v>
      </c>
      <c r="AC275" s="40">
        <v>0.827509364232213</v>
      </c>
      <c r="AD275" s="4">
        <v>0.332283333333333</v>
      </c>
      <c r="AE275" s="57">
        <f t="shared" si="9"/>
        <v>0.563254028285</v>
      </c>
      <c r="AF275" s="4">
        <v>6.88105827916667</v>
      </c>
      <c r="AG275" s="70">
        <v>0.417296594742065</v>
      </c>
    </row>
    <row r="276" spans="1:33">
      <c r="A276" s="38">
        <v>45563</v>
      </c>
      <c r="B276" s="1">
        <v>37145</v>
      </c>
      <c r="C276" s="39">
        <v>0.14822592778335</v>
      </c>
      <c r="D276" s="1">
        <v>36823</v>
      </c>
      <c r="E276" s="40">
        <v>0.173321123321123</v>
      </c>
      <c r="F276" s="10">
        <v>86.2</v>
      </c>
      <c r="G276" s="40">
        <v>0.447405329593268</v>
      </c>
      <c r="H276" s="4">
        <v>271.3300031</v>
      </c>
      <c r="I276" s="40">
        <v>0.879156771238549</v>
      </c>
      <c r="J276" s="4">
        <v>149.583334141666</v>
      </c>
      <c r="K276" s="40">
        <v>0.120101560221123</v>
      </c>
      <c r="L276" s="4">
        <v>25.66193745875</v>
      </c>
      <c r="M276" s="40">
        <v>0.365810122568523</v>
      </c>
      <c r="N276" s="13">
        <v>28.8</v>
      </c>
      <c r="O276" s="44">
        <v>0.247011952191235</v>
      </c>
      <c r="P276" s="4">
        <v>4.72</v>
      </c>
      <c r="Q276" s="40">
        <v>0.683116883116883</v>
      </c>
      <c r="R276" s="4">
        <v>7.2300687625</v>
      </c>
      <c r="S276" s="40">
        <v>0.59791998015873</v>
      </c>
      <c r="T276" s="10">
        <v>4.5</v>
      </c>
      <c r="U276" s="40">
        <v>0.441176470588235</v>
      </c>
      <c r="V276" s="4">
        <v>1.54708332916667</v>
      </c>
      <c r="W276" s="54">
        <f t="shared" si="8"/>
        <v>0.539200958749</v>
      </c>
      <c r="X276" s="4">
        <v>10.0334001</v>
      </c>
      <c r="Y276" s="40">
        <v>0.226033599588618</v>
      </c>
      <c r="Z276" s="4">
        <v>0.560166666666667</v>
      </c>
      <c r="AA276" s="40">
        <v>0.0975416666666667</v>
      </c>
      <c r="AB276" s="4">
        <v>9.59591664166667</v>
      </c>
      <c r="AC276" s="40">
        <v>0.538867038389514</v>
      </c>
      <c r="AD276" s="4">
        <v>0.288316666666667</v>
      </c>
      <c r="AE276" s="57">
        <f t="shared" si="9"/>
        <v>0.461155054172</v>
      </c>
      <c r="AF276" s="4">
        <v>6.94913336666667</v>
      </c>
      <c r="AG276" s="70">
        <v>0.457817480158732</v>
      </c>
    </row>
    <row r="277" spans="1:33">
      <c r="A277" s="38">
        <v>45564</v>
      </c>
      <c r="B277" s="1">
        <v>54783</v>
      </c>
      <c r="C277" s="39">
        <v>0.701071965897693</v>
      </c>
      <c r="D277" s="1">
        <v>54591</v>
      </c>
      <c r="E277" s="40">
        <v>0.715689865689866</v>
      </c>
      <c r="F277" s="10">
        <v>88.5</v>
      </c>
      <c r="G277" s="40">
        <v>0.479663394109397</v>
      </c>
      <c r="H277" s="4">
        <v>268.096670795833</v>
      </c>
      <c r="I277" s="40">
        <v>0.838582893660848</v>
      </c>
      <c r="J277" s="4">
        <v>151.716666216666</v>
      </c>
      <c r="K277" s="40">
        <v>0.125293033403903</v>
      </c>
      <c r="L277" s="4">
        <v>28.31293734875</v>
      </c>
      <c r="M277" s="40">
        <v>0.443941566423519</v>
      </c>
      <c r="N277" s="13">
        <v>27.7</v>
      </c>
      <c r="O277" s="44">
        <v>0.203187250996016</v>
      </c>
      <c r="P277" s="4">
        <v>3.76</v>
      </c>
      <c r="Q277" s="40">
        <v>0.433766233766234</v>
      </c>
      <c r="R277" s="4">
        <v>6.877066625</v>
      </c>
      <c r="S277" s="40">
        <v>0.411146362433863</v>
      </c>
      <c r="T277" s="10">
        <v>4.4</v>
      </c>
      <c r="U277" s="40">
        <v>0.411764705882353</v>
      </c>
      <c r="V277" s="4">
        <v>1.57604166666667</v>
      </c>
      <c r="W277" s="54">
        <f t="shared" si="8"/>
        <v>0.549398551202</v>
      </c>
      <c r="X277" s="4">
        <v>9.50560017083333</v>
      </c>
      <c r="Y277" s="40">
        <v>0.207939669894869</v>
      </c>
      <c r="Z277" s="4">
        <v>0.283166666666667</v>
      </c>
      <c r="AA277" s="40">
        <v>0.0282916666666667</v>
      </c>
      <c r="AB277" s="4">
        <v>4.79558330833333</v>
      </c>
      <c r="AC277" s="40">
        <v>-0.000496257490637044</v>
      </c>
      <c r="AD277" s="4">
        <v>0.270291666666667</v>
      </c>
      <c r="AE277" s="57">
        <f t="shared" si="9"/>
        <v>0.419297571039</v>
      </c>
      <c r="AF277" s="4">
        <v>6.98226667916667</v>
      </c>
      <c r="AG277" s="70">
        <v>0.477539689980161</v>
      </c>
    </row>
    <row r="278" spans="1:33">
      <c r="A278" s="38">
        <v>45565</v>
      </c>
      <c r="B278" s="1">
        <v>55741</v>
      </c>
      <c r="C278" s="39">
        <v>0.731099548645938</v>
      </c>
      <c r="D278" s="1">
        <v>55269</v>
      </c>
      <c r="E278" s="40">
        <v>0.736385836385836</v>
      </c>
      <c r="F278" s="11">
        <v>90.5</v>
      </c>
      <c r="G278" s="40">
        <v>0.507713884992987</v>
      </c>
      <c r="H278" s="4">
        <v>256.103331875</v>
      </c>
      <c r="I278" s="40">
        <v>0.688082969946041</v>
      </c>
      <c r="J278" s="4">
        <v>186.30416695</v>
      </c>
      <c r="K278" s="40">
        <v>0.209461871729978</v>
      </c>
      <c r="L278" s="4">
        <v>25.2425623625</v>
      </c>
      <c r="M278" s="40">
        <v>0.353450113837312</v>
      </c>
      <c r="N278" s="13">
        <v>28.4</v>
      </c>
      <c r="O278" s="44">
        <v>0.231075697211155</v>
      </c>
      <c r="P278" s="4">
        <v>4.33</v>
      </c>
      <c r="Q278" s="40">
        <v>0.581818181818182</v>
      </c>
      <c r="R278" s="4">
        <v>6.83767700416667</v>
      </c>
      <c r="S278" s="40">
        <v>0.390305293209878</v>
      </c>
      <c r="T278" s="13">
        <v>4.7</v>
      </c>
      <c r="U278" s="40">
        <v>0.5</v>
      </c>
      <c r="V278" s="4">
        <v>1.09854166666666</v>
      </c>
      <c r="W278" s="54">
        <f t="shared" si="8"/>
        <v>0.381248345893</v>
      </c>
      <c r="X278" s="4">
        <v>13.0147335166667</v>
      </c>
      <c r="Y278" s="40">
        <v>0.328239064678324</v>
      </c>
      <c r="Z278" s="4">
        <v>0.855999995833333</v>
      </c>
      <c r="AA278" s="40">
        <v>0.171499998958333</v>
      </c>
      <c r="AB278" s="4">
        <v>6.63091665833333</v>
      </c>
      <c r="AC278" s="40">
        <v>0.205720972846442</v>
      </c>
      <c r="AD278" s="4">
        <v>0.283283333333333</v>
      </c>
      <c r="AE278" s="57">
        <f t="shared" si="9"/>
        <v>0.449466695498</v>
      </c>
      <c r="AF278" s="4">
        <v>6.91395835833333</v>
      </c>
      <c r="AG278" s="70">
        <v>0.436879975198411</v>
      </c>
    </row>
    <row r="279" spans="1:33">
      <c r="A279" s="38">
        <v>45566</v>
      </c>
      <c r="B279" s="1">
        <v>52897</v>
      </c>
      <c r="C279" s="39">
        <v>0.641957121364092</v>
      </c>
      <c r="D279" s="1">
        <v>52485</v>
      </c>
      <c r="E279" s="40">
        <v>0.651404151404151</v>
      </c>
      <c r="F279" s="10">
        <v>92.5</v>
      </c>
      <c r="G279" s="40">
        <v>0.535764375876578</v>
      </c>
      <c r="H279" s="4">
        <v>249.14666685</v>
      </c>
      <c r="I279" s="40">
        <v>0.600786382858577</v>
      </c>
      <c r="J279" s="4">
        <v>141.170832883333</v>
      </c>
      <c r="K279" s="40">
        <v>0.0996297006383885</v>
      </c>
      <c r="L279" s="4">
        <v>27.779999925</v>
      </c>
      <c r="M279" s="40">
        <v>0.42823459843796</v>
      </c>
      <c r="N279" s="13">
        <v>29.4</v>
      </c>
      <c r="O279" s="44">
        <v>0.270916334661354</v>
      </c>
      <c r="P279" s="4">
        <v>4.29</v>
      </c>
      <c r="Q279" s="40">
        <v>0.571428571428572</v>
      </c>
      <c r="R279" s="4">
        <v>7.44040840833333</v>
      </c>
      <c r="S279" s="40">
        <v>0.709210798059963</v>
      </c>
      <c r="T279" s="11">
        <v>4.9</v>
      </c>
      <c r="U279" s="40">
        <v>0.558823529411765</v>
      </c>
      <c r="V279" s="4">
        <v>1.35354165833333</v>
      </c>
      <c r="W279" s="54">
        <f t="shared" si="8"/>
        <v>0.471045834799</v>
      </c>
      <c r="X279" s="4">
        <v>12.1038667</v>
      </c>
      <c r="Y279" s="40">
        <v>0.297012913952691</v>
      </c>
      <c r="Z279" s="4">
        <v>0.5193333375</v>
      </c>
      <c r="AA279" s="40">
        <v>0.087333334375</v>
      </c>
      <c r="AB279" s="9">
        <v>8.96649995833333</v>
      </c>
      <c r="AC279" s="57">
        <v>0.468146062734082</v>
      </c>
      <c r="AD279" s="9">
        <v>0.246866666666667</v>
      </c>
      <c r="AE279" s="57">
        <f t="shared" si="9"/>
        <v>0.364900259395</v>
      </c>
      <c r="AF279" s="4">
        <v>6.872191625</v>
      </c>
      <c r="AG279" s="70">
        <v>0.412018824404762</v>
      </c>
    </row>
    <row r="280" spans="1:33">
      <c r="A280" s="38">
        <v>45567</v>
      </c>
      <c r="B280" s="1">
        <v>53247</v>
      </c>
      <c r="C280" s="39">
        <v>0.652927532597793</v>
      </c>
      <c r="D280" s="1">
        <v>52813</v>
      </c>
      <c r="E280" s="40">
        <v>0.661416361416361</v>
      </c>
      <c r="F280" s="10">
        <v>78.6</v>
      </c>
      <c r="G280" s="40">
        <v>0.340813464235624</v>
      </c>
      <c r="H280" s="4">
        <v>248.436670308333</v>
      </c>
      <c r="I280" s="40">
        <v>0.591876901848826</v>
      </c>
      <c r="J280" s="4">
        <v>139.108333275</v>
      </c>
      <c r="K280" s="40">
        <v>0.0946105985812669</v>
      </c>
      <c r="L280" s="4">
        <v>21.4675000708333</v>
      </c>
      <c r="M280" s="40">
        <v>0.242189804622261</v>
      </c>
      <c r="N280" s="13">
        <v>30.5</v>
      </c>
      <c r="O280" s="44">
        <v>0.314741035856574</v>
      </c>
      <c r="P280" s="4">
        <v>4.52</v>
      </c>
      <c r="Q280" s="40">
        <v>0.631168831168831</v>
      </c>
      <c r="R280" s="4">
        <v>7.49926665833333</v>
      </c>
      <c r="S280" s="40">
        <v>0.740352729276894</v>
      </c>
      <c r="T280" s="10">
        <v>4.6</v>
      </c>
      <c r="U280" s="40">
        <v>0.470588235294118</v>
      </c>
      <c r="V280" s="4">
        <v>1.38937500833333</v>
      </c>
      <c r="W280" s="54">
        <f t="shared" si="8"/>
        <v>0.483664442462</v>
      </c>
      <c r="X280" s="4">
        <v>8.82440010833333</v>
      </c>
      <c r="Y280" s="40">
        <v>0.184586908067649</v>
      </c>
      <c r="Z280" s="4">
        <v>0.277</v>
      </c>
      <c r="AA280" s="40">
        <v>0.02675</v>
      </c>
      <c r="AB280" s="9">
        <v>9.31516664583333</v>
      </c>
      <c r="AC280" s="57">
        <v>0.507322095037453</v>
      </c>
      <c r="AD280" s="9">
        <v>0.237175</v>
      </c>
      <c r="AE280" s="57">
        <f t="shared" si="9"/>
        <v>0.342394363472</v>
      </c>
      <c r="AF280" s="4">
        <v>6.87044165416667</v>
      </c>
      <c r="AG280" s="70">
        <v>0.410977175099208</v>
      </c>
    </row>
    <row r="281" spans="1:33">
      <c r="A281" s="38">
        <v>45568</v>
      </c>
      <c r="B281" s="1">
        <v>53641</v>
      </c>
      <c r="C281" s="39">
        <v>0.665277081243731</v>
      </c>
      <c r="D281" s="1">
        <v>53216</v>
      </c>
      <c r="E281" s="40">
        <v>0.673717948717949</v>
      </c>
      <c r="F281" s="10">
        <v>80.3</v>
      </c>
      <c r="G281" s="40">
        <v>0.364656381486676</v>
      </c>
      <c r="H281" s="4">
        <v>253.230002079167</v>
      </c>
      <c r="I281" s="40">
        <v>0.652026629177651</v>
      </c>
      <c r="J281" s="4">
        <v>161.970832816666</v>
      </c>
      <c r="K281" s="40">
        <v>0.150246593864322</v>
      </c>
      <c r="L281" s="4">
        <v>27.9099999958333</v>
      </c>
      <c r="M281" s="40">
        <v>0.432066018150112</v>
      </c>
      <c r="N281" s="13">
        <v>31.6</v>
      </c>
      <c r="O281" s="44">
        <v>0.358565737051793</v>
      </c>
      <c r="P281" s="4">
        <v>4.31</v>
      </c>
      <c r="Q281" s="40">
        <v>0.576623376623377</v>
      </c>
      <c r="R281" s="4">
        <v>7.51513330416667</v>
      </c>
      <c r="S281" s="40">
        <v>0.748747779982365</v>
      </c>
      <c r="T281" s="10">
        <v>4.3</v>
      </c>
      <c r="U281" s="40">
        <v>0.382352941176471</v>
      </c>
      <c r="V281" s="4">
        <v>1.46437498333333</v>
      </c>
      <c r="W281" s="54">
        <f t="shared" si="8"/>
        <v>0.51007546067</v>
      </c>
      <c r="X281" s="4">
        <v>9.829733325</v>
      </c>
      <c r="Y281" s="40">
        <v>0.219051536681522</v>
      </c>
      <c r="Z281" s="4">
        <v>0.32175</v>
      </c>
      <c r="AA281" s="40">
        <v>0.0379375</v>
      </c>
      <c r="AB281" s="9">
        <v>11.826666675</v>
      </c>
      <c r="AC281" s="57">
        <v>0.789513109550562</v>
      </c>
      <c r="AD281" s="9">
        <v>0.234458333333333</v>
      </c>
      <c r="AE281" s="57">
        <f t="shared" si="9"/>
        <v>0.336085746042</v>
      </c>
      <c r="AF281" s="4">
        <v>6.851891675</v>
      </c>
      <c r="AG281" s="70">
        <v>0.399935520833334</v>
      </c>
    </row>
    <row r="282" spans="1:33">
      <c r="A282" s="38">
        <v>45569</v>
      </c>
      <c r="B282" s="1">
        <v>44871</v>
      </c>
      <c r="C282" s="39">
        <v>0.390389919759278</v>
      </c>
      <c r="D282" s="1">
        <v>44100</v>
      </c>
      <c r="E282" s="40">
        <v>0.39545177045177</v>
      </c>
      <c r="F282" s="10">
        <v>76.4</v>
      </c>
      <c r="G282" s="40">
        <v>0.309957924263675</v>
      </c>
      <c r="H282" s="4">
        <v>245.009997683333</v>
      </c>
      <c r="I282" s="40">
        <v>0.548876868908684</v>
      </c>
      <c r="J282" s="4">
        <v>158.787499583333</v>
      </c>
      <c r="K282" s="40">
        <v>0.142499938148427</v>
      </c>
      <c r="L282" s="4">
        <v>25.846250525</v>
      </c>
      <c r="M282" s="40">
        <v>0.371242278956675</v>
      </c>
      <c r="N282" s="13">
        <v>30.8</v>
      </c>
      <c r="O282" s="44">
        <v>0.326693227091633</v>
      </c>
      <c r="P282" s="4">
        <v>3.96</v>
      </c>
      <c r="Q282" s="40">
        <v>0.485714285714286</v>
      </c>
      <c r="R282" s="4">
        <v>7.50854162083333</v>
      </c>
      <c r="S282" s="40">
        <v>0.745260116843032</v>
      </c>
      <c r="T282" s="10">
        <v>3.9</v>
      </c>
      <c r="U282" s="40">
        <v>0.264705882352941</v>
      </c>
      <c r="V282" s="4">
        <v>1.50562499583333</v>
      </c>
      <c r="W282" s="54">
        <f t="shared" si="8"/>
        <v>0.524601529929</v>
      </c>
      <c r="X282" s="4">
        <v>11.2467333166667</v>
      </c>
      <c r="Y282" s="40">
        <v>0.267628841846647</v>
      </c>
      <c r="Z282" s="4">
        <v>0.547166670833333</v>
      </c>
      <c r="AA282" s="40">
        <v>0.0942916677083332</v>
      </c>
      <c r="AB282" s="9">
        <v>12.3552500083333</v>
      </c>
      <c r="AC282" s="57">
        <v>0.848904495318348</v>
      </c>
      <c r="AD282" s="9">
        <v>0.232775</v>
      </c>
      <c r="AE282" s="57">
        <f t="shared" si="9"/>
        <v>0.332176725425</v>
      </c>
      <c r="AF282" s="4">
        <v>6.8693916125</v>
      </c>
      <c r="AG282" s="70">
        <v>0.410352150297619</v>
      </c>
    </row>
    <row r="283" spans="1:33">
      <c r="A283" s="38">
        <v>45570</v>
      </c>
      <c r="B283" s="1">
        <v>41865</v>
      </c>
      <c r="C283" s="39">
        <v>0.296169759277834</v>
      </c>
      <c r="D283" s="1">
        <v>41421</v>
      </c>
      <c r="E283" s="40">
        <v>0.313675213675214</v>
      </c>
      <c r="F283" s="10">
        <v>74.2</v>
      </c>
      <c r="G283" s="40">
        <v>0.279102384291725</v>
      </c>
      <c r="H283" s="4">
        <v>251.266667679167</v>
      </c>
      <c r="I283" s="40">
        <v>0.627389480225461</v>
      </c>
      <c r="J283" s="4">
        <v>149.687499358333</v>
      </c>
      <c r="K283" s="40">
        <v>0.120355046743565</v>
      </c>
      <c r="L283" s="4">
        <v>29.4200000791667</v>
      </c>
      <c r="M283" s="40">
        <v>0.476569409937126</v>
      </c>
      <c r="N283" s="13">
        <v>31.2</v>
      </c>
      <c r="O283" s="44">
        <v>0.342629482071713</v>
      </c>
      <c r="P283" s="4">
        <v>3.81</v>
      </c>
      <c r="Q283" s="40">
        <v>0.446753246753247</v>
      </c>
      <c r="R283" s="4">
        <v>7.49955839166667</v>
      </c>
      <c r="S283" s="40">
        <v>0.740507085537921</v>
      </c>
      <c r="T283" s="10">
        <v>4.2</v>
      </c>
      <c r="U283" s="40">
        <v>0.352941176470588</v>
      </c>
      <c r="V283" s="4">
        <v>1.74083332083333</v>
      </c>
      <c r="W283" s="54">
        <f t="shared" si="8"/>
        <v>0.607429442262</v>
      </c>
      <c r="X283" s="4">
        <v>11.0161999083333</v>
      </c>
      <c r="Y283" s="40">
        <v>0.259725742486572</v>
      </c>
      <c r="Z283" s="4">
        <v>0.5378333375</v>
      </c>
      <c r="AA283" s="40">
        <v>0.091958334375</v>
      </c>
      <c r="AB283" s="9">
        <v>12.0695000458333</v>
      </c>
      <c r="AC283" s="57">
        <v>0.816797757958798</v>
      </c>
      <c r="AD283" s="9">
        <v>0.23845</v>
      </c>
      <c r="AE283" s="57">
        <f t="shared" si="9"/>
        <v>0.345355156315</v>
      </c>
      <c r="AF283" s="4">
        <v>6.8710833</v>
      </c>
      <c r="AG283" s="70">
        <v>0.411359107142857</v>
      </c>
    </row>
    <row r="284" spans="1:33">
      <c r="A284" s="38">
        <v>45571</v>
      </c>
      <c r="B284" s="1">
        <v>46103</v>
      </c>
      <c r="C284" s="39">
        <v>0.429005767301906</v>
      </c>
      <c r="D284" s="1">
        <v>45729</v>
      </c>
      <c r="E284" s="40">
        <v>0.445177045177045</v>
      </c>
      <c r="F284" s="10">
        <v>78.6</v>
      </c>
      <c r="G284" s="40">
        <v>0.340813464235624</v>
      </c>
      <c r="H284" s="4">
        <v>245.060003275</v>
      </c>
      <c r="I284" s="40">
        <v>0.549504370372694</v>
      </c>
      <c r="J284" s="4">
        <v>165.424999566666</v>
      </c>
      <c r="K284" s="40">
        <v>0.15865232415902</v>
      </c>
      <c r="L284" s="4">
        <v>31.4324996541667</v>
      </c>
      <c r="M284" s="40">
        <v>0.535882689483251</v>
      </c>
      <c r="N284" s="13">
        <v>33.6</v>
      </c>
      <c r="O284" s="44">
        <v>0.438247011952191</v>
      </c>
      <c r="P284" s="4">
        <v>3.73</v>
      </c>
      <c r="Q284" s="40">
        <v>0.425974025974026</v>
      </c>
      <c r="R284" s="4">
        <v>7.48334167083333</v>
      </c>
      <c r="S284" s="40">
        <v>0.731926809964725</v>
      </c>
      <c r="T284" s="10">
        <v>3.8</v>
      </c>
      <c r="U284" s="40">
        <v>0.235294117647059</v>
      </c>
      <c r="V284" s="4">
        <v>1.63187500833333</v>
      </c>
      <c r="W284" s="54">
        <f t="shared" si="8"/>
        <v>0.569060096467</v>
      </c>
      <c r="X284" s="4">
        <v>11.8074666208333</v>
      </c>
      <c r="Y284" s="40">
        <v>0.286851786795794</v>
      </c>
      <c r="Z284" s="4">
        <v>0.824999995833333</v>
      </c>
      <c r="AA284" s="40">
        <v>0.163749998958333</v>
      </c>
      <c r="AB284" s="9">
        <v>11.9278333666667</v>
      </c>
      <c r="AC284" s="57">
        <v>0.800880153558056</v>
      </c>
      <c r="AD284" s="9">
        <v>0.24115</v>
      </c>
      <c r="AE284" s="57">
        <f t="shared" si="9"/>
        <v>0.35162507057</v>
      </c>
      <c r="AF284" s="4">
        <v>6.85848334583333</v>
      </c>
      <c r="AG284" s="70">
        <v>0.403859134424601</v>
      </c>
    </row>
    <row r="285" spans="1:33">
      <c r="A285" s="38">
        <v>45572</v>
      </c>
      <c r="B285" s="1">
        <v>43851</v>
      </c>
      <c r="C285" s="39">
        <v>0.358419007021063</v>
      </c>
      <c r="D285" s="1">
        <v>43196</v>
      </c>
      <c r="E285" s="40">
        <v>0.367857142857143</v>
      </c>
      <c r="F285" s="10">
        <v>80.2</v>
      </c>
      <c r="G285" s="40">
        <v>0.363253856942497</v>
      </c>
      <c r="H285" s="4">
        <v>252.949999491667</v>
      </c>
      <c r="I285" s="40">
        <v>0.648512981448952</v>
      </c>
      <c r="J285" s="4">
        <v>160.804166795833</v>
      </c>
      <c r="K285" s="40">
        <v>0.14740750686451</v>
      </c>
      <c r="L285" s="4">
        <v>25.9275001583333</v>
      </c>
      <c r="M285" s="40">
        <v>0.373636904165438</v>
      </c>
      <c r="N285" s="13">
        <v>28.7</v>
      </c>
      <c r="O285" s="44">
        <v>0.243027888446215</v>
      </c>
      <c r="P285" s="4">
        <v>4.23</v>
      </c>
      <c r="Q285" s="40">
        <v>0.555844155844156</v>
      </c>
      <c r="R285" s="4">
        <v>7.52324165416667</v>
      </c>
      <c r="S285" s="40">
        <v>0.753037912257497</v>
      </c>
      <c r="T285" s="10">
        <v>3.5</v>
      </c>
      <c r="U285" s="40">
        <v>0.147058823529412</v>
      </c>
      <c r="V285" s="4">
        <v>1.88270834166667</v>
      </c>
      <c r="W285" s="54">
        <f t="shared" si="8"/>
        <v>0.657390309029</v>
      </c>
      <c r="X285" s="4">
        <v>11.9660666458333</v>
      </c>
      <c r="Y285" s="40">
        <v>0.292288880556507</v>
      </c>
      <c r="Z285" s="4">
        <v>1.56175000416667</v>
      </c>
      <c r="AA285" s="40">
        <v>0.347937501041668</v>
      </c>
      <c r="AB285" s="9">
        <v>12.7211667333333</v>
      </c>
      <c r="AC285" s="57">
        <v>0.890018734082393</v>
      </c>
      <c r="AD285" s="9">
        <v>0.224325</v>
      </c>
      <c r="AE285" s="57">
        <f t="shared" si="9"/>
        <v>0.312554215996</v>
      </c>
      <c r="AF285" s="4">
        <v>6.85165837916667</v>
      </c>
      <c r="AG285" s="70">
        <v>0.399796654265875</v>
      </c>
    </row>
    <row r="286" spans="1:33">
      <c r="A286" s="38">
        <v>45573</v>
      </c>
      <c r="B286" s="1">
        <v>37541</v>
      </c>
      <c r="C286" s="39">
        <v>0.16063816449348</v>
      </c>
      <c r="D286" s="1">
        <v>36840</v>
      </c>
      <c r="E286" s="40">
        <v>0.173840048840049</v>
      </c>
      <c r="F286" s="10">
        <v>84.9</v>
      </c>
      <c r="G286" s="40">
        <v>0.429172510518934</v>
      </c>
      <c r="H286" s="4">
        <v>259.733335495833</v>
      </c>
      <c r="I286" s="40">
        <v>0.733634527491944</v>
      </c>
      <c r="J286" s="4">
        <v>132.274999854166</v>
      </c>
      <c r="K286" s="40">
        <v>0.0779816510212591</v>
      </c>
      <c r="L286" s="4">
        <v>19.411249825</v>
      </c>
      <c r="M286" s="40">
        <v>0.181587085912172</v>
      </c>
      <c r="N286" s="13">
        <v>26.9</v>
      </c>
      <c r="O286" s="44">
        <v>0.171314741035856</v>
      </c>
      <c r="P286" s="4">
        <v>4.43</v>
      </c>
      <c r="Q286" s="40">
        <v>0.607792207792208</v>
      </c>
      <c r="R286" s="4">
        <v>7.49985005</v>
      </c>
      <c r="S286" s="40">
        <v>0.740661402116402</v>
      </c>
      <c r="T286" s="11">
        <v>3.7</v>
      </c>
      <c r="U286" s="40">
        <v>0.205882352941177</v>
      </c>
      <c r="V286" s="4">
        <v>1.15104166666667</v>
      </c>
      <c r="W286" s="54">
        <f t="shared" si="8"/>
        <v>0.399736064802</v>
      </c>
      <c r="X286" s="4">
        <v>12.0024667916667</v>
      </c>
      <c r="Y286" s="40">
        <v>0.293536742943665</v>
      </c>
      <c r="Z286" s="4">
        <v>0.8751666625</v>
      </c>
      <c r="AA286" s="40">
        <v>0.176291665625</v>
      </c>
      <c r="AB286" s="9">
        <v>11.7419166875</v>
      </c>
      <c r="AC286" s="57">
        <v>0.779990639044944</v>
      </c>
      <c r="AD286" s="9">
        <v>0.22125</v>
      </c>
      <c r="AE286" s="57">
        <f t="shared" si="9"/>
        <v>0.305413480316</v>
      </c>
      <c r="AF286" s="4">
        <v>6.86104997083333</v>
      </c>
      <c r="AG286" s="70">
        <v>0.405386887400792</v>
      </c>
    </row>
    <row r="287" spans="1:33">
      <c r="A287" s="38">
        <v>45574</v>
      </c>
      <c r="B287" s="1">
        <v>37431</v>
      </c>
      <c r="C287" s="39">
        <v>0.157190320962889</v>
      </c>
      <c r="D287" s="1">
        <v>37070</v>
      </c>
      <c r="E287" s="40">
        <v>0.180860805860806</v>
      </c>
      <c r="F287" s="10">
        <v>88.1</v>
      </c>
      <c r="G287" s="40">
        <v>0.474053295932679</v>
      </c>
      <c r="H287" s="4">
        <v>246.890002570833</v>
      </c>
      <c r="I287" s="40">
        <v>0.57246834697996</v>
      </c>
      <c r="J287" s="4">
        <v>148.908332975</v>
      </c>
      <c r="K287" s="40">
        <v>0.11845894185141</v>
      </c>
      <c r="L287" s="4">
        <v>20.5762501166667</v>
      </c>
      <c r="M287" s="40">
        <v>0.215922490912664</v>
      </c>
      <c r="N287" s="13">
        <v>23.8</v>
      </c>
      <c r="O287" s="44">
        <v>0.047808764940239</v>
      </c>
      <c r="P287" s="4">
        <v>4.33</v>
      </c>
      <c r="Q287" s="40">
        <v>0.581818181818182</v>
      </c>
      <c r="R287" s="4">
        <v>7.539808275</v>
      </c>
      <c r="S287" s="40">
        <v>0.761803320105821</v>
      </c>
      <c r="T287" s="10">
        <v>3.3</v>
      </c>
      <c r="U287" s="40">
        <v>0.088235294117647</v>
      </c>
      <c r="V287" s="4">
        <v>1.8625000125</v>
      </c>
      <c r="W287" s="54">
        <f t="shared" si="8"/>
        <v>0.650274005995</v>
      </c>
      <c r="X287" s="4">
        <v>11.9088668125</v>
      </c>
      <c r="Y287" s="40">
        <v>0.290327967517998</v>
      </c>
      <c r="Z287" s="4">
        <v>0.545000004166667</v>
      </c>
      <c r="AA287" s="40">
        <v>0.0937500010416668</v>
      </c>
      <c r="AB287" s="9">
        <v>10.2370000625</v>
      </c>
      <c r="AC287" s="57">
        <v>0.610898883426966</v>
      </c>
      <c r="AD287" s="9">
        <v>0.2094</v>
      </c>
      <c r="AE287" s="57">
        <f t="shared" si="9"/>
        <v>0.277895523305</v>
      </c>
      <c r="AF287" s="4">
        <v>6.90829997916667</v>
      </c>
      <c r="AG287" s="70">
        <v>0.433511892361113</v>
      </c>
    </row>
    <row r="288" spans="1:33">
      <c r="A288" s="38">
        <v>45575</v>
      </c>
      <c r="B288" s="1">
        <v>36204</v>
      </c>
      <c r="C288" s="39">
        <v>0.118731193580742</v>
      </c>
      <c r="D288" s="1">
        <v>35894</v>
      </c>
      <c r="E288" s="40">
        <v>0.14496336996337</v>
      </c>
      <c r="F288" s="10">
        <v>87.3</v>
      </c>
      <c r="G288" s="40">
        <v>0.462833099579243</v>
      </c>
      <c r="H288" s="4">
        <v>253.323334379167</v>
      </c>
      <c r="I288" s="40">
        <v>0.653197821297114</v>
      </c>
      <c r="J288" s="4">
        <v>158.583333333333</v>
      </c>
      <c r="K288" s="40">
        <v>0.142003098662383</v>
      </c>
      <c r="L288" s="4">
        <v>20.3437500333333</v>
      </c>
      <c r="M288" s="40">
        <v>0.209070145397386</v>
      </c>
      <c r="N288" s="13">
        <v>24.9</v>
      </c>
      <c r="O288" s="44">
        <v>0.091633466135458</v>
      </c>
      <c r="P288" s="4">
        <v>4.17</v>
      </c>
      <c r="Q288" s="40">
        <v>0.54025974025974</v>
      </c>
      <c r="R288" s="4">
        <v>7.54744997916667</v>
      </c>
      <c r="S288" s="40">
        <v>0.765846549823635</v>
      </c>
      <c r="T288" s="10">
        <v>3.9</v>
      </c>
      <c r="U288" s="40">
        <v>0.264705882352941</v>
      </c>
      <c r="V288" s="4">
        <v>1.81145829166667</v>
      </c>
      <c r="W288" s="54">
        <f t="shared" si="8"/>
        <v>0.63229981576</v>
      </c>
      <c r="X288" s="4">
        <v>19.2165998666667</v>
      </c>
      <c r="Y288" s="40">
        <v>0.540850183978975</v>
      </c>
      <c r="Z288" s="4">
        <v>0.699000004166667</v>
      </c>
      <c r="AA288" s="40">
        <v>0.132250001041667</v>
      </c>
      <c r="AB288" s="9">
        <v>8.84883330833333</v>
      </c>
      <c r="AC288" s="57">
        <v>0.45492509082397</v>
      </c>
      <c r="AD288" s="9">
        <v>0.177091666666667</v>
      </c>
      <c r="AE288" s="57">
        <f t="shared" si="9"/>
        <v>0.202869419696</v>
      </c>
      <c r="AF288" s="4">
        <v>6.93005831666667</v>
      </c>
      <c r="AG288" s="70">
        <v>0.446463283730161</v>
      </c>
    </row>
    <row r="289" spans="1:33">
      <c r="A289" s="38">
        <v>45576</v>
      </c>
      <c r="B289" s="1">
        <v>45682</v>
      </c>
      <c r="C289" s="39">
        <v>0.415809929789368</v>
      </c>
      <c r="D289" s="1">
        <v>44950</v>
      </c>
      <c r="E289" s="40">
        <v>0.421398046398046</v>
      </c>
      <c r="F289" s="10">
        <v>86.2</v>
      </c>
      <c r="G289" s="40">
        <v>0.447405329593268</v>
      </c>
      <c r="H289" s="4">
        <v>256.036668775</v>
      </c>
      <c r="I289" s="40">
        <v>0.687246439641109</v>
      </c>
      <c r="J289" s="4">
        <v>185.037499591666</v>
      </c>
      <c r="K289" s="40">
        <v>0.206379431026369</v>
      </c>
      <c r="L289" s="4">
        <v>21.0699998291667</v>
      </c>
      <c r="M289" s="40">
        <v>0.230474501301701</v>
      </c>
      <c r="N289" s="13">
        <v>22.6</v>
      </c>
      <c r="O289" s="44">
        <v>0</v>
      </c>
      <c r="P289" s="4">
        <v>4.19</v>
      </c>
      <c r="Q289" s="40">
        <v>0.545454545454546</v>
      </c>
      <c r="R289" s="4">
        <v>7.38936668333333</v>
      </c>
      <c r="S289" s="40">
        <v>0.68220459435626</v>
      </c>
      <c r="T289" s="10">
        <v>3.8</v>
      </c>
      <c r="U289" s="40">
        <v>0.235294117647059</v>
      </c>
      <c r="V289" s="4">
        <v>1.55229167083333</v>
      </c>
      <c r="W289" s="54">
        <f t="shared" si="8"/>
        <v>0.541035060782</v>
      </c>
      <c r="X289" s="4">
        <v>24.7762665875</v>
      </c>
      <c r="Y289" s="40">
        <v>0.731445546366129</v>
      </c>
      <c r="Z289" s="4">
        <v>0.414666666666667</v>
      </c>
      <c r="AA289" s="40">
        <v>0.0611666666666668</v>
      </c>
      <c r="AB289" s="9">
        <v>6.2963333125</v>
      </c>
      <c r="AC289" s="57">
        <v>0.168127338483146</v>
      </c>
      <c r="AD289" s="9">
        <v>0.123133333333333</v>
      </c>
      <c r="AE289" s="57">
        <f t="shared" si="9"/>
        <v>0.07756789252</v>
      </c>
      <c r="AF289" s="4">
        <v>6.92066669166667</v>
      </c>
      <c r="AG289" s="70">
        <v>0.440873030753971</v>
      </c>
    </row>
    <row r="290" spans="1:33">
      <c r="A290" s="38">
        <v>45577</v>
      </c>
      <c r="B290" s="1">
        <v>47981</v>
      </c>
      <c r="C290" s="39">
        <v>0.487869859578736</v>
      </c>
      <c r="D290" s="1">
        <v>47520</v>
      </c>
      <c r="E290" s="40">
        <v>0.499847374847375</v>
      </c>
      <c r="F290" s="10">
        <v>79.6</v>
      </c>
      <c r="G290" s="40">
        <v>0.354838709677419</v>
      </c>
      <c r="H290" s="4">
        <v>231.4066670625</v>
      </c>
      <c r="I290" s="40">
        <v>0.378173761607479</v>
      </c>
      <c r="J290" s="4">
        <v>180.849999095833</v>
      </c>
      <c r="K290" s="40">
        <v>0.196189129768654</v>
      </c>
      <c r="L290" s="4">
        <v>29.6300001125</v>
      </c>
      <c r="M290" s="40">
        <v>0.482758624005305</v>
      </c>
      <c r="N290" s="13">
        <v>25.5</v>
      </c>
      <c r="O290" s="44">
        <v>0.115537848605578</v>
      </c>
      <c r="P290" s="4">
        <v>3.71</v>
      </c>
      <c r="Q290" s="40">
        <v>0.420779220779221</v>
      </c>
      <c r="R290" s="4">
        <v>7.47593329583333</v>
      </c>
      <c r="S290" s="40">
        <v>0.72800703483245</v>
      </c>
      <c r="T290" s="10">
        <v>3.9</v>
      </c>
      <c r="U290" s="40">
        <v>0.264705882352941</v>
      </c>
      <c r="V290" s="4">
        <v>1.17145832916667</v>
      </c>
      <c r="W290" s="54">
        <f t="shared" si="8"/>
        <v>0.406925731799</v>
      </c>
      <c r="X290" s="4">
        <v>17.2839334</v>
      </c>
      <c r="Y290" s="40">
        <v>0.47459490572506</v>
      </c>
      <c r="Z290" s="4">
        <v>0.760749995833333</v>
      </c>
      <c r="AA290" s="40">
        <v>0.147687498958333</v>
      </c>
      <c r="AB290" s="9">
        <v>11.4335833416667</v>
      </c>
      <c r="AC290" s="57">
        <v>0.745346442883899</v>
      </c>
      <c r="AD290" s="9">
        <v>0.215608333333333</v>
      </c>
      <c r="AE290" s="57">
        <f t="shared" si="9"/>
        <v>0.292312455775</v>
      </c>
      <c r="AF290" s="4">
        <v>6.90205830833333</v>
      </c>
      <c r="AG290" s="70">
        <v>0.429796612103173</v>
      </c>
    </row>
    <row r="291" spans="1:33">
      <c r="A291" s="38">
        <v>45578</v>
      </c>
      <c r="B291" s="1">
        <v>51327</v>
      </c>
      <c r="C291" s="39">
        <v>0.592746990972919</v>
      </c>
      <c r="D291" s="1">
        <v>50936</v>
      </c>
      <c r="E291" s="40">
        <v>0.604120879120879</v>
      </c>
      <c r="F291" s="10">
        <v>75.2</v>
      </c>
      <c r="G291" s="40">
        <v>0.29312762973352</v>
      </c>
      <c r="H291" s="4">
        <v>237.993331908333</v>
      </c>
      <c r="I291" s="40">
        <v>0.460827354854223</v>
      </c>
      <c r="J291" s="4">
        <v>183.150000258333</v>
      </c>
      <c r="K291" s="40">
        <v>0.201786192924179</v>
      </c>
      <c r="L291" s="4">
        <v>23.0224998375</v>
      </c>
      <c r="M291" s="40">
        <v>0.288019447023283</v>
      </c>
      <c r="N291" s="13">
        <v>26.8</v>
      </c>
      <c r="O291" s="44">
        <v>0.167330677290837</v>
      </c>
      <c r="P291" s="4">
        <v>3.52</v>
      </c>
      <c r="Q291" s="40">
        <v>0.371428571428571</v>
      </c>
      <c r="R291" s="4">
        <v>7.54400825416667</v>
      </c>
      <c r="S291" s="40">
        <v>0.764025531305117</v>
      </c>
      <c r="T291" s="10">
        <v>4.1</v>
      </c>
      <c r="U291" s="40">
        <v>0.323529411764706</v>
      </c>
      <c r="V291" s="4">
        <v>1.57395832916667</v>
      </c>
      <c r="W291" s="54">
        <f t="shared" si="8"/>
        <v>0.548664910095</v>
      </c>
      <c r="X291" s="4">
        <v>16.8419334791667</v>
      </c>
      <c r="Y291" s="40">
        <v>0.459442354445207</v>
      </c>
      <c r="Z291" s="4">
        <v>1.82866665</v>
      </c>
      <c r="AA291" s="40">
        <v>0.4146666625</v>
      </c>
      <c r="AB291" s="9">
        <v>11.3305832875</v>
      </c>
      <c r="AC291" s="57">
        <v>0.733773403089888</v>
      </c>
      <c r="AD291" s="9">
        <v>0.219933333333333</v>
      </c>
      <c r="AE291" s="57">
        <f t="shared" si="9"/>
        <v>0.302355929537</v>
      </c>
      <c r="AF291" s="4">
        <v>6.94365000416666</v>
      </c>
      <c r="AG291" s="70">
        <v>0.454553573908726</v>
      </c>
    </row>
    <row r="292" spans="1:33">
      <c r="A292" s="38">
        <v>45579</v>
      </c>
      <c r="B292" s="1">
        <v>52941</v>
      </c>
      <c r="C292" s="39">
        <v>0.643336258776329</v>
      </c>
      <c r="D292" s="1">
        <v>52249</v>
      </c>
      <c r="E292" s="40">
        <v>0.644200244200244</v>
      </c>
      <c r="F292" s="10">
        <v>71.4</v>
      </c>
      <c r="G292" s="40">
        <v>0.239831697054699</v>
      </c>
      <c r="H292" s="4">
        <v>242.2966740875</v>
      </c>
      <c r="I292" s="40">
        <v>0.514828386089848</v>
      </c>
      <c r="J292" s="4">
        <v>185.537500225</v>
      </c>
      <c r="K292" s="40">
        <v>0.207596184812498</v>
      </c>
      <c r="L292" s="4">
        <v>28.6387501458333</v>
      </c>
      <c r="M292" s="40">
        <v>0.453544065600746</v>
      </c>
      <c r="N292" s="13">
        <v>29.4</v>
      </c>
      <c r="O292" s="44">
        <v>0.270916334661354</v>
      </c>
      <c r="P292" s="4">
        <v>4.14</v>
      </c>
      <c r="Q292" s="40">
        <v>0.532467532467532</v>
      </c>
      <c r="R292" s="4">
        <v>7.5934166625</v>
      </c>
      <c r="S292" s="40">
        <v>0.790167546296297</v>
      </c>
      <c r="T292" s="10">
        <v>4.3</v>
      </c>
      <c r="U292" s="40">
        <v>0.382352941176471</v>
      </c>
      <c r="V292" s="4">
        <v>1.40145840416667</v>
      </c>
      <c r="W292" s="54">
        <f t="shared" si="8"/>
        <v>0.487919574379</v>
      </c>
      <c r="X292" s="4">
        <v>16.2179334083333</v>
      </c>
      <c r="Y292" s="40">
        <v>0.438050511084446</v>
      </c>
      <c r="Z292" s="4">
        <v>1.85350000833333</v>
      </c>
      <c r="AA292" s="40">
        <v>0.420875002083333</v>
      </c>
      <c r="AB292" s="9">
        <v>12.196916675</v>
      </c>
      <c r="AC292" s="57">
        <v>0.831114233146067</v>
      </c>
      <c r="AD292" s="9">
        <v>0.246333333333333</v>
      </c>
      <c r="AE292" s="57">
        <f t="shared" si="9"/>
        <v>0.363661757814</v>
      </c>
      <c r="AF292" s="4">
        <v>6.90894173333333</v>
      </c>
      <c r="AG292" s="70">
        <v>0.433893888888887</v>
      </c>
    </row>
    <row r="293" spans="1:33">
      <c r="A293" s="38">
        <v>45580</v>
      </c>
      <c r="B293" s="1">
        <v>52314</v>
      </c>
      <c r="C293" s="39">
        <v>0.623683550651956</v>
      </c>
      <c r="D293" s="1">
        <v>51703</v>
      </c>
      <c r="E293" s="40">
        <v>0.627533577533578</v>
      </c>
      <c r="F293" s="10">
        <v>67.5</v>
      </c>
      <c r="G293" s="40">
        <v>0.185133239831697</v>
      </c>
      <c r="H293" s="4">
        <v>252.497393408696</v>
      </c>
      <c r="I293" s="40">
        <v>0.642833397022161</v>
      </c>
      <c r="J293" s="4">
        <v>208.31739276087</v>
      </c>
      <c r="K293" s="40">
        <v>0.263031155576059</v>
      </c>
      <c r="L293" s="4">
        <v>23.0899999782609</v>
      </c>
      <c r="M293" s="40">
        <v>0.290008841092275</v>
      </c>
      <c r="N293" s="13">
        <v>27.3</v>
      </c>
      <c r="O293" s="44">
        <v>0.187250996015936</v>
      </c>
      <c r="P293" s="4">
        <v>4.43</v>
      </c>
      <c r="Q293" s="40">
        <v>0.607792207792208</v>
      </c>
      <c r="R293" s="4">
        <v>7.62164995833333</v>
      </c>
      <c r="S293" s="40">
        <v>0.805105798059963</v>
      </c>
      <c r="T293" s="11">
        <v>3.8</v>
      </c>
      <c r="U293" s="40">
        <v>0.235294117647059</v>
      </c>
      <c r="V293" s="4">
        <v>1.50020841666667</v>
      </c>
      <c r="W293" s="54">
        <f t="shared" si="8"/>
        <v>0.52269409768</v>
      </c>
      <c r="X293" s="4">
        <v>16.3650783130435</v>
      </c>
      <c r="Y293" s="40">
        <v>0.443094902744035</v>
      </c>
      <c r="Z293" s="4">
        <v>0.703652169565217</v>
      </c>
      <c r="AA293" s="40">
        <v>0.133413042391304</v>
      </c>
      <c r="AB293" s="9">
        <v>8.96069556086957</v>
      </c>
      <c r="AC293" s="57">
        <v>0.467493883243772</v>
      </c>
      <c r="AD293" s="9">
        <v>0.265052173913043</v>
      </c>
      <c r="AE293" s="57">
        <f t="shared" si="9"/>
        <v>0.407130470925</v>
      </c>
      <c r="AF293" s="4">
        <v>6.89688696956522</v>
      </c>
      <c r="AG293" s="70">
        <v>0.426718434265012</v>
      </c>
    </row>
    <row r="294" spans="1:33">
      <c r="A294" s="38">
        <v>45581</v>
      </c>
      <c r="B294" s="1">
        <v>51643</v>
      </c>
      <c r="C294" s="39">
        <v>0.602651705115346</v>
      </c>
      <c r="D294" s="1">
        <v>51226</v>
      </c>
      <c r="E294" s="40">
        <v>0.612973137973138</v>
      </c>
      <c r="F294" s="10">
        <v>61.2</v>
      </c>
      <c r="G294" s="40">
        <v>0.0967741935483872</v>
      </c>
      <c r="H294" s="4">
        <v>253.168700495652</v>
      </c>
      <c r="I294" s="40">
        <v>0.651257378537483</v>
      </c>
      <c r="J294" s="4">
        <v>212.778261434783</v>
      </c>
      <c r="K294" s="40">
        <v>0.273886699522505</v>
      </c>
      <c r="L294" s="4">
        <v>27.7734780521739</v>
      </c>
      <c r="M294" s="40">
        <v>0.428042382911108</v>
      </c>
      <c r="N294" s="13">
        <v>29.5</v>
      </c>
      <c r="O294" s="44">
        <v>0.274900398406374</v>
      </c>
      <c r="P294" s="4">
        <v>4.69</v>
      </c>
      <c r="Q294" s="40">
        <v>0.675324675324675</v>
      </c>
      <c r="R294" s="13">
        <v>7.11</v>
      </c>
      <c r="S294" s="40">
        <v>0.534391534391535</v>
      </c>
      <c r="T294" s="10">
        <v>3.6</v>
      </c>
      <c r="U294" s="40">
        <v>0.176470588235294</v>
      </c>
      <c r="V294" s="4">
        <v>1.18166668333333</v>
      </c>
      <c r="W294" s="54">
        <f t="shared" si="8"/>
        <v>0.410520573367</v>
      </c>
      <c r="X294" s="4">
        <v>16.8877913869565</v>
      </c>
      <c r="Y294" s="40">
        <v>0.461014445901834</v>
      </c>
      <c r="Z294" s="4">
        <v>0.724173904347826</v>
      </c>
      <c r="AA294" s="40">
        <v>0.138543476086956</v>
      </c>
      <c r="AB294" s="9">
        <v>5.81426086521739</v>
      </c>
      <c r="AC294" s="57">
        <v>0.113961894968246</v>
      </c>
      <c r="AD294" s="9">
        <v>0.182652173913044</v>
      </c>
      <c r="AE294" s="57">
        <f t="shared" si="9"/>
        <v>0.215781976605</v>
      </c>
      <c r="AF294" s="4">
        <v>6.92616518695652</v>
      </c>
      <c r="AG294" s="70">
        <v>0.444145944616976</v>
      </c>
    </row>
    <row r="295" spans="1:33">
      <c r="A295" s="38">
        <v>45582</v>
      </c>
      <c r="B295" s="1">
        <v>51324</v>
      </c>
      <c r="C295" s="39">
        <v>0.59265295887663</v>
      </c>
      <c r="D295" s="1">
        <v>50886</v>
      </c>
      <c r="E295" s="40">
        <v>0.602594627594628</v>
      </c>
      <c r="F295" s="10">
        <v>68.4</v>
      </c>
      <c r="G295" s="40">
        <v>0.197755960729313</v>
      </c>
      <c r="H295" s="4">
        <v>253.872729218182</v>
      </c>
      <c r="I295" s="40">
        <v>0.660091971617292</v>
      </c>
      <c r="J295" s="4">
        <v>160.504545377272</v>
      </c>
      <c r="K295" s="40">
        <v>0.146678376797197</v>
      </c>
      <c r="L295" s="4">
        <v>37.9977274636364</v>
      </c>
      <c r="M295" s="40">
        <v>0.729375993623236</v>
      </c>
      <c r="N295" s="13">
        <v>33.6</v>
      </c>
      <c r="O295" s="44">
        <v>0.438247011952191</v>
      </c>
      <c r="P295" s="4">
        <v>4.19</v>
      </c>
      <c r="Q295" s="40">
        <v>0.545454545454546</v>
      </c>
      <c r="R295" s="13">
        <v>7.11</v>
      </c>
      <c r="S295" s="40">
        <v>0.534391534391535</v>
      </c>
      <c r="T295" s="10">
        <v>3.5</v>
      </c>
      <c r="U295" s="40">
        <v>0.147058823529412</v>
      </c>
      <c r="V295" s="4">
        <v>1.46</v>
      </c>
      <c r="W295" s="54">
        <f t="shared" si="8"/>
        <v>0.508534823297</v>
      </c>
      <c r="X295" s="4">
        <v>13.8735999681818</v>
      </c>
      <c r="Y295" s="40">
        <v>0.357682549474865</v>
      </c>
      <c r="Z295" s="4">
        <v>0.449636363636364</v>
      </c>
      <c r="AA295" s="40">
        <v>0.069909090909091</v>
      </c>
      <c r="AB295" s="9">
        <v>12.2947273318182</v>
      </c>
      <c r="AC295" s="57">
        <v>0.842104194586315</v>
      </c>
      <c r="AD295" s="9">
        <v>0.259181818181818</v>
      </c>
      <c r="AE295" s="57">
        <f t="shared" si="9"/>
        <v>0.39349838682</v>
      </c>
      <c r="AF295" s="4">
        <v>6.95125462727273</v>
      </c>
      <c r="AG295" s="70">
        <v>0.459080135281387</v>
      </c>
    </row>
    <row r="296" spans="1:33">
      <c r="A296" s="38">
        <v>45583</v>
      </c>
      <c r="B296" s="1">
        <v>42873</v>
      </c>
      <c r="C296" s="39">
        <v>0.327764543630893</v>
      </c>
      <c r="D296" s="1">
        <v>42500</v>
      </c>
      <c r="E296" s="40">
        <v>0.346611721611722</v>
      </c>
      <c r="F296" s="10">
        <v>65.9</v>
      </c>
      <c r="G296" s="40">
        <v>0.162692847124825</v>
      </c>
      <c r="H296" s="4">
        <v>237.325221847826</v>
      </c>
      <c r="I296" s="40">
        <v>0.452443491627883</v>
      </c>
      <c r="J296" s="4">
        <v>158.743478026087</v>
      </c>
      <c r="K296" s="40">
        <v>0.14239281149122</v>
      </c>
      <c r="L296" s="4">
        <v>42.2743477130435</v>
      </c>
      <c r="M296" s="40">
        <v>0.855418441292175</v>
      </c>
      <c r="N296" s="13">
        <v>37.9</v>
      </c>
      <c r="O296" s="44">
        <v>0.609561752988048</v>
      </c>
      <c r="P296" s="4">
        <v>5.18</v>
      </c>
      <c r="Q296" s="40">
        <v>0.802597402597403</v>
      </c>
      <c r="R296" s="13">
        <v>7.22</v>
      </c>
      <c r="S296" s="40">
        <v>0.592592592592593</v>
      </c>
      <c r="T296" s="10">
        <v>3.9</v>
      </c>
      <c r="U296" s="40">
        <v>0.264705882352941</v>
      </c>
      <c r="V296" s="4">
        <v>0.82</v>
      </c>
      <c r="W296" s="54">
        <f t="shared" si="8"/>
        <v>0.28316072613</v>
      </c>
      <c r="X296" s="4">
        <v>13.4386088826087</v>
      </c>
      <c r="Y296" s="40">
        <v>0.342770273658166</v>
      </c>
      <c r="Z296" s="4">
        <v>0.328086956521739</v>
      </c>
      <c r="AA296" s="40">
        <v>0.0395217391304348</v>
      </c>
      <c r="AB296" s="9">
        <v>11.5534783652174</v>
      </c>
      <c r="AC296" s="57">
        <v>0.758817793844652</v>
      </c>
      <c r="AD296" s="9">
        <v>0.260347826086957</v>
      </c>
      <c r="AE296" s="57">
        <f t="shared" si="9"/>
        <v>0.396206079259</v>
      </c>
      <c r="AF296" s="4">
        <v>6.95495656086956</v>
      </c>
      <c r="AG296" s="70">
        <v>0.461283667184262</v>
      </c>
    </row>
    <row r="297" spans="1:33">
      <c r="A297" s="38">
        <v>45584</v>
      </c>
      <c r="B297" s="1">
        <v>49561</v>
      </c>
      <c r="C297" s="39">
        <v>0.537393430290873</v>
      </c>
      <c r="D297" s="1">
        <v>48934</v>
      </c>
      <c r="E297" s="40">
        <v>0.543009768009768</v>
      </c>
      <c r="F297" s="10">
        <v>72.7</v>
      </c>
      <c r="G297" s="40">
        <v>0.258064516129032</v>
      </c>
      <c r="H297" s="4">
        <v>252.240001041667</v>
      </c>
      <c r="I297" s="40">
        <v>0.639603476492245</v>
      </c>
      <c r="J297" s="4">
        <v>159.145834125</v>
      </c>
      <c r="K297" s="40">
        <v>0.143371946864429</v>
      </c>
      <c r="L297" s="4">
        <v>44.9837500291667</v>
      </c>
      <c r="M297" s="40">
        <v>0.935271147337657</v>
      </c>
      <c r="N297" s="13">
        <v>42.5</v>
      </c>
      <c r="O297" s="44">
        <v>0.792828685258964</v>
      </c>
      <c r="P297" s="4">
        <v>4.18</v>
      </c>
      <c r="Q297" s="40">
        <v>0.542857142857143</v>
      </c>
      <c r="R297" s="13">
        <v>7.14</v>
      </c>
      <c r="S297" s="40">
        <v>0.55026455026455</v>
      </c>
      <c r="T297" s="11">
        <v>3.4</v>
      </c>
      <c r="U297" s="40">
        <v>0.117647058823529</v>
      </c>
      <c r="V297" s="4">
        <v>1.68</v>
      </c>
      <c r="W297" s="54">
        <f t="shared" si="8"/>
        <v>0.586007169198</v>
      </c>
      <c r="X297" s="4">
        <v>13.5069998458333</v>
      </c>
      <c r="Y297" s="40">
        <v>0.345114838732715</v>
      </c>
      <c r="Z297" s="4">
        <v>0.461666670833333</v>
      </c>
      <c r="AA297" s="40">
        <v>0.0729166677083332</v>
      </c>
      <c r="AB297" s="9">
        <v>11.1938333125</v>
      </c>
      <c r="AC297" s="57">
        <v>0.718408237359551</v>
      </c>
      <c r="AD297" s="9">
        <v>0.262258333333333</v>
      </c>
      <c r="AE297" s="57">
        <f t="shared" si="9"/>
        <v>0.40064264097</v>
      </c>
      <c r="AF297" s="4">
        <v>7.02012505416667</v>
      </c>
      <c r="AG297" s="70">
        <v>0.500074437003971</v>
      </c>
    </row>
    <row r="298" spans="1:33">
      <c r="A298" s="38">
        <v>45585</v>
      </c>
      <c r="B298" s="1">
        <v>56487</v>
      </c>
      <c r="C298" s="39">
        <v>0.754482196589769</v>
      </c>
      <c r="D298" s="1">
        <v>56102</v>
      </c>
      <c r="E298" s="40">
        <v>0.761813186813187</v>
      </c>
      <c r="F298" s="10">
        <v>75.6</v>
      </c>
      <c r="G298" s="40">
        <v>0.298737727910238</v>
      </c>
      <c r="H298" s="4">
        <v>253.240004216667</v>
      </c>
      <c r="I298" s="40">
        <v>0.652152142259593</v>
      </c>
      <c r="J298" s="4">
        <v>166.820833054166</v>
      </c>
      <c r="K298" s="40">
        <v>0.162049091217886</v>
      </c>
      <c r="L298" s="4">
        <v>36.9129166583333</v>
      </c>
      <c r="M298" s="40">
        <v>0.697403968710088</v>
      </c>
      <c r="N298" s="13">
        <v>38.4</v>
      </c>
      <c r="O298" s="44">
        <v>0.629482071713147</v>
      </c>
      <c r="P298" s="4">
        <v>4.33</v>
      </c>
      <c r="Q298" s="40">
        <v>0.581818181818182</v>
      </c>
      <c r="R298" s="13">
        <v>7.17</v>
      </c>
      <c r="S298" s="40">
        <v>0.566137566137566</v>
      </c>
      <c r="T298" s="10">
        <v>3.7</v>
      </c>
      <c r="U298" s="40">
        <v>0.205882352941177</v>
      </c>
      <c r="V298" s="4">
        <v>1.34</v>
      </c>
      <c r="W298" s="54">
        <f t="shared" si="8"/>
        <v>0.466277180078</v>
      </c>
      <c r="X298" s="4">
        <v>11.9617332166667</v>
      </c>
      <c r="Y298" s="40">
        <v>0.29214032282025</v>
      </c>
      <c r="Z298" s="4">
        <v>0.454916675</v>
      </c>
      <c r="AA298" s="40">
        <v>0.07122916875</v>
      </c>
      <c r="AB298" s="9">
        <v>12.1163332416667</v>
      </c>
      <c r="AC298" s="57">
        <v>0.822059914794011</v>
      </c>
      <c r="AD298" s="9">
        <v>0.266575</v>
      </c>
      <c r="AE298" s="57">
        <f t="shared" si="9"/>
        <v>0.410666763144</v>
      </c>
      <c r="AF298" s="4">
        <v>7.0289333125</v>
      </c>
      <c r="AG298" s="70">
        <v>0.505317447916667</v>
      </c>
    </row>
    <row r="299" spans="1:33">
      <c r="A299" s="38">
        <v>45586</v>
      </c>
      <c r="B299" s="1">
        <v>47852</v>
      </c>
      <c r="C299" s="39">
        <v>0.483826479438315</v>
      </c>
      <c r="D299" s="1">
        <v>47237</v>
      </c>
      <c r="E299" s="40">
        <v>0.491208791208791</v>
      </c>
      <c r="F299" s="10">
        <v>79.3</v>
      </c>
      <c r="G299" s="40">
        <v>0.350631136044881</v>
      </c>
      <c r="H299" s="4">
        <v>252.7233352625</v>
      </c>
      <c r="I299" s="40">
        <v>0.645668656826452</v>
      </c>
      <c r="J299" s="4">
        <v>181.654167333333</v>
      </c>
      <c r="K299" s="40">
        <v>0.198146076785177</v>
      </c>
      <c r="L299" s="4">
        <v>40.3708332333333</v>
      </c>
      <c r="M299" s="40">
        <v>0.799317218783769</v>
      </c>
      <c r="N299" s="13">
        <v>41.3</v>
      </c>
      <c r="O299" s="44">
        <v>0.745019920318725</v>
      </c>
      <c r="P299" s="4">
        <v>3.35</v>
      </c>
      <c r="Q299" s="40">
        <v>0.327272727272727</v>
      </c>
      <c r="R299" s="13">
        <v>7.39</v>
      </c>
      <c r="S299" s="40">
        <v>0.682539682539683</v>
      </c>
      <c r="T299" s="10">
        <v>3.2</v>
      </c>
      <c r="U299" s="40">
        <v>0.0588235294117648</v>
      </c>
      <c r="V299" s="4">
        <v>2.09</v>
      </c>
      <c r="W299" s="54">
        <f t="shared" si="8"/>
        <v>0.730387450196</v>
      </c>
      <c r="X299" s="4">
        <v>12.1974665708333</v>
      </c>
      <c r="Y299" s="40">
        <v>0.300221685664494</v>
      </c>
      <c r="Z299" s="4">
        <v>0.930166658333333</v>
      </c>
      <c r="AA299" s="40">
        <v>0.190041664583333</v>
      </c>
      <c r="AB299" s="9">
        <v>11.8166666833333</v>
      </c>
      <c r="AC299" s="57">
        <v>0.78838951498127</v>
      </c>
      <c r="AD299" s="9">
        <v>0.2803</v>
      </c>
      <c r="AE299" s="57">
        <f t="shared" si="9"/>
        <v>0.442538827277</v>
      </c>
      <c r="AF299" s="4">
        <v>6.9538583375</v>
      </c>
      <c r="AG299" s="70">
        <v>0.460629962797619</v>
      </c>
    </row>
    <row r="300" spans="1:33">
      <c r="A300" s="38">
        <v>45587</v>
      </c>
      <c r="B300" s="1">
        <v>50934</v>
      </c>
      <c r="C300" s="39">
        <v>0.580428786359077</v>
      </c>
      <c r="D300" s="1">
        <v>50573</v>
      </c>
      <c r="E300" s="40">
        <v>0.593040293040293</v>
      </c>
      <c r="F300" s="10">
        <v>80.2</v>
      </c>
      <c r="G300" s="40">
        <v>0.363253856942497</v>
      </c>
      <c r="H300" s="4">
        <v>250.376663841667</v>
      </c>
      <c r="I300" s="40">
        <v>0.616221154996449</v>
      </c>
      <c r="J300" s="4">
        <v>163.637499495833</v>
      </c>
      <c r="K300" s="40">
        <v>0.154302434711102</v>
      </c>
      <c r="L300" s="4">
        <v>42.8466661791667</v>
      </c>
      <c r="M300" s="40">
        <v>0.872286064814816</v>
      </c>
      <c r="N300" s="13">
        <v>42.2</v>
      </c>
      <c r="O300" s="44">
        <v>0.780876494023904</v>
      </c>
      <c r="P300" s="4">
        <v>4.14</v>
      </c>
      <c r="Q300" s="40">
        <v>0.532467532467532</v>
      </c>
      <c r="R300" s="13">
        <v>7.59</v>
      </c>
      <c r="S300" s="40">
        <v>0.788359788359788</v>
      </c>
      <c r="T300" s="10">
        <v>3.6</v>
      </c>
      <c r="U300" s="40">
        <v>0.176470588235294</v>
      </c>
      <c r="V300" s="4">
        <v>1.04</v>
      </c>
      <c r="W300" s="54">
        <f t="shared" si="8"/>
        <v>0.360633072032</v>
      </c>
      <c r="X300" s="4">
        <v>13.4255333375</v>
      </c>
      <c r="Y300" s="40">
        <v>0.342322020483373</v>
      </c>
      <c r="Z300" s="4">
        <v>1.041333325</v>
      </c>
      <c r="AA300" s="40">
        <v>0.21783333125</v>
      </c>
      <c r="AB300" s="9">
        <v>10.1665000458333</v>
      </c>
      <c r="AC300" s="57">
        <v>0.602977533239697</v>
      </c>
      <c r="AD300" s="9">
        <v>0.277975</v>
      </c>
      <c r="AE300" s="57">
        <f t="shared" si="9"/>
        <v>0.437139734446</v>
      </c>
      <c r="AF300" s="4">
        <v>6.9409084125</v>
      </c>
      <c r="AG300" s="70">
        <v>0.452921674107143</v>
      </c>
    </row>
    <row r="301" spans="1:33">
      <c r="A301" s="38">
        <v>45588</v>
      </c>
      <c r="B301" s="1">
        <v>53146</v>
      </c>
      <c r="C301" s="39">
        <v>0.649761785356068</v>
      </c>
      <c r="D301" s="1">
        <v>52342</v>
      </c>
      <c r="E301" s="40">
        <v>0.647039072039072</v>
      </c>
      <c r="F301" s="10">
        <v>83.1</v>
      </c>
      <c r="G301" s="40">
        <v>0.403927068723703</v>
      </c>
      <c r="H301" s="4">
        <v>249.523337041667</v>
      </c>
      <c r="I301" s="40">
        <v>0.605513076191078</v>
      </c>
      <c r="J301" s="4">
        <v>159.637499979166</v>
      </c>
      <c r="K301" s="40">
        <v>0.144568417928032</v>
      </c>
      <c r="L301" s="4">
        <v>43.8925000833333</v>
      </c>
      <c r="M301" s="40">
        <v>0.903109345220551</v>
      </c>
      <c r="N301" s="13">
        <v>43.7</v>
      </c>
      <c r="O301" s="44">
        <v>0.840637450199203</v>
      </c>
      <c r="P301" s="4">
        <v>3.98</v>
      </c>
      <c r="Q301" s="40">
        <v>0.490909090909091</v>
      </c>
      <c r="R301" s="13">
        <v>7.59</v>
      </c>
      <c r="S301" s="40">
        <v>0.788359788359788</v>
      </c>
      <c r="T301" s="10">
        <v>3.8</v>
      </c>
      <c r="U301" s="40">
        <v>0.235294117647059</v>
      </c>
      <c r="V301" s="4">
        <v>1.72</v>
      </c>
      <c r="W301" s="54">
        <f t="shared" si="8"/>
        <v>0.600093050271</v>
      </c>
      <c r="X301" s="4">
        <v>11.9140666333333</v>
      </c>
      <c r="Y301" s="40">
        <v>0.290506226716946</v>
      </c>
      <c r="Z301" s="4">
        <v>0.633000008333333</v>
      </c>
      <c r="AA301" s="40">
        <v>0.115750002083333</v>
      </c>
      <c r="AB301" s="9">
        <v>12.4421666458333</v>
      </c>
      <c r="AC301" s="57">
        <v>0.858670409644191</v>
      </c>
      <c r="AD301" s="9">
        <v>0.294783333333333</v>
      </c>
      <c r="AE301" s="57">
        <f t="shared" si="9"/>
        <v>0.476171885846</v>
      </c>
      <c r="AF301" s="4">
        <v>6.9211916875</v>
      </c>
      <c r="AG301" s="70">
        <v>0.44118552827381</v>
      </c>
    </row>
    <row r="302" spans="1:33">
      <c r="A302" s="38">
        <v>45589</v>
      </c>
      <c r="B302" s="1">
        <v>50615</v>
      </c>
      <c r="C302" s="39">
        <v>0.570430040120361</v>
      </c>
      <c r="D302" s="1">
        <v>50333</v>
      </c>
      <c r="E302" s="40">
        <v>0.585714285714286</v>
      </c>
      <c r="F302" s="10">
        <v>79.4</v>
      </c>
      <c r="G302" s="40">
        <v>0.35203366058906</v>
      </c>
      <c r="H302" s="4">
        <v>231.453337345833</v>
      </c>
      <c r="I302" s="40">
        <v>0.37875940953486</v>
      </c>
      <c r="J302" s="4">
        <v>157.8916665625</v>
      </c>
      <c r="K302" s="40">
        <v>0.140319924470104</v>
      </c>
      <c r="L302" s="4">
        <v>41.8275001958333</v>
      </c>
      <c r="M302" s="40">
        <v>0.842248753192847</v>
      </c>
      <c r="N302" s="13">
        <v>44.9</v>
      </c>
      <c r="O302" s="44">
        <v>0.888446215139442</v>
      </c>
      <c r="P302" s="4">
        <v>4.85</v>
      </c>
      <c r="Q302" s="40">
        <v>0.716883116883117</v>
      </c>
      <c r="R302" s="13">
        <v>7.23</v>
      </c>
      <c r="S302" s="40">
        <v>0.597883597883598</v>
      </c>
      <c r="T302" s="10">
        <v>3.9</v>
      </c>
      <c r="U302" s="40">
        <v>0.264705882352941</v>
      </c>
      <c r="V302" s="4">
        <v>1.3</v>
      </c>
      <c r="W302" s="54">
        <f t="shared" si="8"/>
        <v>0.452191299006</v>
      </c>
      <c r="X302" s="4">
        <v>11.3247334625</v>
      </c>
      <c r="Y302" s="40">
        <v>0.270302826962633</v>
      </c>
      <c r="Z302" s="4">
        <v>0.562</v>
      </c>
      <c r="AA302" s="40">
        <v>0.098</v>
      </c>
      <c r="AB302" s="9">
        <v>11.5857499875</v>
      </c>
      <c r="AC302" s="57">
        <v>0.762443818820225</v>
      </c>
      <c r="AD302" s="9">
        <v>0.298741666666667</v>
      </c>
      <c r="AE302" s="57">
        <f t="shared" si="9"/>
        <v>0.48536388977</v>
      </c>
      <c r="AF302" s="4">
        <v>6.87814160833333</v>
      </c>
      <c r="AG302" s="70">
        <v>0.415560481150792</v>
      </c>
    </row>
    <row r="303" spans="1:33">
      <c r="A303" s="38">
        <v>45590</v>
      </c>
      <c r="B303" s="1">
        <v>46547</v>
      </c>
      <c r="C303" s="39">
        <v>0.442922517552658</v>
      </c>
      <c r="D303" s="1">
        <v>46234</v>
      </c>
      <c r="E303" s="40">
        <v>0.460592185592186</v>
      </c>
      <c r="F303" s="10">
        <v>77.2</v>
      </c>
      <c r="G303" s="40">
        <v>0.321178120617111</v>
      </c>
      <c r="H303" s="4">
        <v>251.676670070833</v>
      </c>
      <c r="I303" s="40">
        <v>0.632534446867022</v>
      </c>
      <c r="J303" s="4">
        <v>159.133333520833</v>
      </c>
      <c r="K303" s="40">
        <v>0.143341526588064</v>
      </c>
      <c r="L303" s="4">
        <v>42.9795832625</v>
      </c>
      <c r="M303" s="40">
        <v>0.876203456012378</v>
      </c>
      <c r="N303" s="13">
        <v>42.4</v>
      </c>
      <c r="O303" s="44">
        <v>0.788844621513944</v>
      </c>
      <c r="P303" s="4">
        <v>4.18</v>
      </c>
      <c r="Q303" s="40">
        <v>0.542857142857143</v>
      </c>
      <c r="R303" s="13">
        <v>7.31</v>
      </c>
      <c r="S303" s="40">
        <v>0.64021164021164</v>
      </c>
      <c r="T303" s="10">
        <v>4.2</v>
      </c>
      <c r="U303" s="40">
        <v>0.352941176470588</v>
      </c>
      <c r="V303" s="4">
        <v>2.09</v>
      </c>
      <c r="W303" s="54">
        <f t="shared" si="8"/>
        <v>0.730387450196</v>
      </c>
      <c r="X303" s="4">
        <v>12.3473999208333</v>
      </c>
      <c r="Y303" s="40">
        <v>0.305361670237686</v>
      </c>
      <c r="Z303" s="4">
        <v>0.553916670833334</v>
      </c>
      <c r="AA303" s="40">
        <v>0.0959791677083335</v>
      </c>
      <c r="AB303" s="9">
        <v>11.4550832875</v>
      </c>
      <c r="AC303" s="57">
        <v>0.747762167134832</v>
      </c>
      <c r="AD303" s="9">
        <v>0.291066666666667</v>
      </c>
      <c r="AE303" s="57">
        <f t="shared" si="9"/>
        <v>0.467541077951</v>
      </c>
      <c r="AF303" s="4">
        <v>6.88391665416667</v>
      </c>
      <c r="AG303" s="70">
        <v>0.418998008432542</v>
      </c>
    </row>
    <row r="304" spans="1:33">
      <c r="A304" s="38">
        <v>45591</v>
      </c>
      <c r="B304" s="1">
        <v>44352</v>
      </c>
      <c r="C304" s="39">
        <v>0.374122367101304</v>
      </c>
      <c r="D304" s="1">
        <v>43932</v>
      </c>
      <c r="E304" s="40">
        <v>0.390323565323565</v>
      </c>
      <c r="F304" s="10">
        <v>76.6</v>
      </c>
      <c r="G304" s="40">
        <v>0.312762973352034</v>
      </c>
      <c r="H304" s="4">
        <v>250.653337466667</v>
      </c>
      <c r="I304" s="40">
        <v>0.619693028820015</v>
      </c>
      <c r="J304" s="4">
        <v>158.520833333333</v>
      </c>
      <c r="K304" s="40">
        <v>0.141851004631769</v>
      </c>
      <c r="L304" s="4">
        <v>43.7116661125</v>
      </c>
      <c r="M304" s="40">
        <v>0.897779726274683</v>
      </c>
      <c r="N304" s="13">
        <v>44.5</v>
      </c>
      <c r="O304" s="44">
        <v>0.872509960159362</v>
      </c>
      <c r="P304" s="4">
        <v>3.33</v>
      </c>
      <c r="Q304" s="40">
        <v>0.322077922077922</v>
      </c>
      <c r="R304" s="13">
        <v>7.11</v>
      </c>
      <c r="S304" s="40">
        <v>0.534391534391535</v>
      </c>
      <c r="T304" s="10">
        <v>3.1</v>
      </c>
      <c r="U304" s="40">
        <v>0.0294117647058824</v>
      </c>
      <c r="V304" s="4">
        <v>1.75</v>
      </c>
      <c r="W304" s="54">
        <f t="shared" si="8"/>
        <v>0.610657461076</v>
      </c>
      <c r="X304" s="4">
        <v>12.8292668291667</v>
      </c>
      <c r="Y304" s="40">
        <v>0.321880933464748</v>
      </c>
      <c r="Z304" s="4">
        <v>0.433916666666667</v>
      </c>
      <c r="AA304" s="40">
        <v>0.0659791666666668</v>
      </c>
      <c r="AB304" s="4">
        <v>11.1747500458333</v>
      </c>
      <c r="AC304" s="40">
        <v>0.716264050093629</v>
      </c>
      <c r="AD304" s="4">
        <v>0.293358333333333</v>
      </c>
      <c r="AE304" s="57">
        <f t="shared" si="9"/>
        <v>0.472862764433</v>
      </c>
      <c r="AF304" s="4">
        <v>6.8098917</v>
      </c>
      <c r="AG304" s="70">
        <v>0.374935535714286</v>
      </c>
    </row>
    <row r="305" spans="1:33">
      <c r="A305" s="38">
        <v>45592</v>
      </c>
      <c r="B305" s="1">
        <v>45871</v>
      </c>
      <c r="C305" s="39">
        <v>0.421733951855567</v>
      </c>
      <c r="D305" s="1">
        <v>45493</v>
      </c>
      <c r="E305" s="40">
        <v>0.437973137973138</v>
      </c>
      <c r="F305" s="10">
        <v>83.1</v>
      </c>
      <c r="G305" s="40">
        <v>0.403927068723703</v>
      </c>
      <c r="H305" s="4">
        <v>252.120003379167</v>
      </c>
      <c r="I305" s="40">
        <v>0.638097670713603</v>
      </c>
      <c r="J305" s="4">
        <v>168.079167041666</v>
      </c>
      <c r="K305" s="40">
        <v>0.165111252626155</v>
      </c>
      <c r="L305" s="4">
        <v>29.6516666416667</v>
      </c>
      <c r="M305" s="40">
        <v>0.483397189556932</v>
      </c>
      <c r="N305" s="13">
        <v>40.6</v>
      </c>
      <c r="O305" s="44">
        <v>0.717131474103586</v>
      </c>
      <c r="P305" s="4">
        <v>3.35</v>
      </c>
      <c r="Q305" s="40">
        <v>0.327272727272727</v>
      </c>
      <c r="R305" s="13">
        <v>7.14</v>
      </c>
      <c r="S305" s="40">
        <v>0.55026455026455</v>
      </c>
      <c r="T305" s="11">
        <v>3.3</v>
      </c>
      <c r="U305" s="40">
        <v>0.088235294117647</v>
      </c>
      <c r="V305" s="4">
        <v>1.97</v>
      </c>
      <c r="W305" s="54">
        <f t="shared" si="8"/>
        <v>0.688129806977</v>
      </c>
      <c r="X305" s="4">
        <v>13.0112666291667</v>
      </c>
      <c r="Y305" s="40">
        <v>0.328120213547024</v>
      </c>
      <c r="Z305" s="4">
        <v>0.633750004166667</v>
      </c>
      <c r="AA305" s="40">
        <v>0.115937501041667</v>
      </c>
      <c r="AB305" s="4">
        <v>11.1629167833333</v>
      </c>
      <c r="AC305" s="40">
        <v>0.714934470037449</v>
      </c>
      <c r="AD305" s="4">
        <v>0.299483333333333</v>
      </c>
      <c r="AE305" s="57">
        <f t="shared" si="9"/>
        <v>0.487086181032</v>
      </c>
      <c r="AF305" s="4">
        <v>6.8094250125</v>
      </c>
      <c r="AG305" s="70">
        <v>0.374657745535715</v>
      </c>
    </row>
    <row r="306" spans="1:33">
      <c r="A306" s="38">
        <v>45593</v>
      </c>
      <c r="B306" s="1">
        <v>51364</v>
      </c>
      <c r="C306" s="39">
        <v>0.593906720160481</v>
      </c>
      <c r="D306" s="1">
        <v>51000</v>
      </c>
      <c r="E306" s="40">
        <v>0.606074481074481</v>
      </c>
      <c r="F306" s="10">
        <v>80.4</v>
      </c>
      <c r="G306" s="40">
        <v>0.366058906030856</v>
      </c>
      <c r="H306" s="4">
        <v>252.290004104167</v>
      </c>
      <c r="I306" s="40">
        <v>0.640230946218685</v>
      </c>
      <c r="J306" s="4">
        <v>165.925000191666</v>
      </c>
      <c r="K306" s="40">
        <v>0.159869077924868</v>
      </c>
      <c r="L306" s="4">
        <v>24.8904166166667</v>
      </c>
      <c r="M306" s="40">
        <v>0.343071518322036</v>
      </c>
      <c r="N306" s="13">
        <v>42.4</v>
      </c>
      <c r="O306" s="44">
        <v>0.788844621513944</v>
      </c>
      <c r="P306" s="4">
        <v>4.72</v>
      </c>
      <c r="Q306" s="40">
        <v>0.683116883116883</v>
      </c>
      <c r="R306" s="13">
        <v>7.22</v>
      </c>
      <c r="S306" s="40">
        <v>0.592592592592593</v>
      </c>
      <c r="T306" s="10">
        <v>3</v>
      </c>
      <c r="U306" s="40">
        <v>0</v>
      </c>
      <c r="V306" s="4">
        <v>1.73</v>
      </c>
      <c r="W306" s="54">
        <f t="shared" si="8"/>
        <v>0.60361452054</v>
      </c>
      <c r="X306" s="4">
        <v>10.9711331916667</v>
      </c>
      <c r="Y306" s="40">
        <v>0.258180774482917</v>
      </c>
      <c r="Z306" s="4">
        <v>0.5805</v>
      </c>
      <c r="AA306" s="40">
        <v>0.102625</v>
      </c>
      <c r="AB306" s="4">
        <v>10.37325</v>
      </c>
      <c r="AC306" s="40">
        <v>0.626207865168539</v>
      </c>
      <c r="AD306" s="4">
        <v>0.296033333333333</v>
      </c>
      <c r="AE306" s="57">
        <f t="shared" si="9"/>
        <v>0.479074623927</v>
      </c>
      <c r="AF306" s="4">
        <v>6.82733327083334</v>
      </c>
      <c r="AG306" s="70">
        <v>0.385317423115084</v>
      </c>
    </row>
    <row r="307" spans="1:33">
      <c r="A307" s="38">
        <v>45594</v>
      </c>
      <c r="B307" s="1">
        <v>52684</v>
      </c>
      <c r="C307" s="39">
        <v>0.635280842527583</v>
      </c>
      <c r="D307" s="1">
        <v>52434</v>
      </c>
      <c r="E307" s="40">
        <v>0.649847374847375</v>
      </c>
      <c r="F307" s="10">
        <v>76.8</v>
      </c>
      <c r="G307" s="40">
        <v>0.315568022440393</v>
      </c>
      <c r="H307" s="4">
        <v>251.246669754167</v>
      </c>
      <c r="I307" s="40">
        <v>0.62713853374535</v>
      </c>
      <c r="J307" s="4">
        <v>154.449999641666</v>
      </c>
      <c r="K307" s="40">
        <v>0.131944612565804</v>
      </c>
      <c r="L307" s="4">
        <v>43.0170828541667</v>
      </c>
      <c r="M307" s="40">
        <v>0.877308660600256</v>
      </c>
      <c r="N307" s="13">
        <v>39.8</v>
      </c>
      <c r="O307" s="44">
        <v>0.685258964143426</v>
      </c>
      <c r="P307" s="4">
        <v>4.74</v>
      </c>
      <c r="Q307" s="40">
        <v>0.688311688311688</v>
      </c>
      <c r="R307" s="13">
        <v>7.38</v>
      </c>
      <c r="S307" s="40">
        <v>0.677248677248677</v>
      </c>
      <c r="T307" s="10">
        <v>3.7</v>
      </c>
      <c r="U307" s="40">
        <v>0.205882352941177</v>
      </c>
      <c r="V307" s="4">
        <v>1.55</v>
      </c>
      <c r="W307" s="54">
        <f t="shared" si="8"/>
        <v>0.540228055711</v>
      </c>
      <c r="X307" s="4">
        <v>10.8064667</v>
      </c>
      <c r="Y307" s="40">
        <v>0.252535711347275</v>
      </c>
      <c r="Z307" s="4">
        <v>0.5999166625</v>
      </c>
      <c r="AA307" s="40">
        <v>0.107479165625</v>
      </c>
      <c r="AB307" s="4">
        <v>11.0835832708333</v>
      </c>
      <c r="AC307" s="40">
        <v>0.706020592228461</v>
      </c>
      <c r="AD307" s="4">
        <v>0.299</v>
      </c>
      <c r="AE307" s="57">
        <f t="shared" si="9"/>
        <v>0.485963788973</v>
      </c>
      <c r="AF307" s="4">
        <v>6.86501659166667</v>
      </c>
      <c r="AG307" s="70">
        <v>0.407747971230161</v>
      </c>
    </row>
    <row r="308" spans="1:33">
      <c r="A308" s="38">
        <v>45595</v>
      </c>
      <c r="B308" s="1">
        <v>46783</v>
      </c>
      <c r="C308" s="39">
        <v>0.450319709127382</v>
      </c>
      <c r="D308" s="1">
        <v>46521</v>
      </c>
      <c r="E308" s="40">
        <v>0.469352869352869</v>
      </c>
      <c r="F308" s="11">
        <v>78.2</v>
      </c>
      <c r="G308" s="40">
        <v>0.335203366058906</v>
      </c>
      <c r="H308" s="4">
        <v>249.850000375</v>
      </c>
      <c r="I308" s="40">
        <v>0.609612252164638</v>
      </c>
      <c r="J308" s="4">
        <v>166.8208338375</v>
      </c>
      <c r="K308" s="40">
        <v>0.162049093124133</v>
      </c>
      <c r="L308" s="4">
        <v>45.9304164291667</v>
      </c>
      <c r="M308" s="40">
        <v>0.963171719103056</v>
      </c>
      <c r="N308" s="13">
        <v>44.7</v>
      </c>
      <c r="O308" s="44">
        <v>0.880478087649402</v>
      </c>
      <c r="P308" s="4">
        <v>4.72</v>
      </c>
      <c r="Q308" s="40">
        <v>0.683116883116883</v>
      </c>
      <c r="R308" s="13">
        <v>7.31</v>
      </c>
      <c r="S308" s="40">
        <v>0.64021164021164</v>
      </c>
      <c r="T308" s="13">
        <v>3.8</v>
      </c>
      <c r="U308" s="40">
        <v>0.235294117647059</v>
      </c>
      <c r="V308" s="4">
        <v>1.05</v>
      </c>
      <c r="W308" s="54">
        <f t="shared" si="8"/>
        <v>0.3641545423</v>
      </c>
      <c r="X308" s="4">
        <v>11.8828667041667</v>
      </c>
      <c r="Y308" s="40">
        <v>0.289436637098618</v>
      </c>
      <c r="Z308" s="4">
        <v>1.23366666666667</v>
      </c>
      <c r="AA308" s="40">
        <v>0.265916666666668</v>
      </c>
      <c r="AB308" s="4">
        <v>11.68791675</v>
      </c>
      <c r="AC308" s="40">
        <v>0.773923230337079</v>
      </c>
      <c r="AD308" s="4">
        <v>0.314925</v>
      </c>
      <c r="AE308" s="57">
        <f t="shared" si="9"/>
        <v>0.522944672129</v>
      </c>
      <c r="AF308" s="4">
        <v>6.8985</v>
      </c>
      <c r="AG308" s="70">
        <v>0.427678571428572</v>
      </c>
    </row>
    <row r="309" spans="1:33">
      <c r="A309" s="38">
        <v>45596</v>
      </c>
      <c r="B309" s="1">
        <v>58647</v>
      </c>
      <c r="C309" s="39">
        <v>0.822185305917753</v>
      </c>
      <c r="D309" s="1">
        <v>58479</v>
      </c>
      <c r="E309" s="40">
        <v>0.834371184371184</v>
      </c>
      <c r="F309" s="11">
        <v>80.5</v>
      </c>
      <c r="G309" s="40">
        <v>0.367461430575035</v>
      </c>
      <c r="H309" s="4">
        <v>251.7418199</v>
      </c>
      <c r="I309" s="40">
        <v>0.633351987702346</v>
      </c>
      <c r="J309" s="4">
        <v>253.28181735</v>
      </c>
      <c r="K309" s="40">
        <v>0.37245228469569</v>
      </c>
      <c r="L309" s="4">
        <v>47.1659086409091</v>
      </c>
      <c r="M309" s="40">
        <v>0.999584693218659</v>
      </c>
      <c r="N309" s="13">
        <v>45.9</v>
      </c>
      <c r="O309" s="44">
        <v>0.928286852589641</v>
      </c>
      <c r="P309" s="4">
        <v>4.56</v>
      </c>
      <c r="Q309" s="40">
        <v>0.641558441558441</v>
      </c>
      <c r="R309" s="4">
        <v>7.26</v>
      </c>
      <c r="S309" s="40">
        <v>0.613756613756614</v>
      </c>
      <c r="T309" s="13">
        <v>4.1</v>
      </c>
      <c r="U309" s="40">
        <v>0.323529411764706</v>
      </c>
      <c r="V309" s="4">
        <v>1.0925</v>
      </c>
      <c r="W309" s="54">
        <f t="shared" si="8"/>
        <v>0.37912079094</v>
      </c>
      <c r="X309" s="4">
        <v>11.9826908545455</v>
      </c>
      <c r="Y309" s="40">
        <v>0.292858788294326</v>
      </c>
      <c r="Z309" s="4">
        <v>1.68081818636364</v>
      </c>
      <c r="AA309" s="40">
        <v>0.37770454659091</v>
      </c>
      <c r="AB309" s="4">
        <v>12.6330909363636</v>
      </c>
      <c r="AC309" s="40">
        <v>0.880122577119505</v>
      </c>
      <c r="AD309" s="4">
        <v>0.308472727272727</v>
      </c>
      <c r="AE309" s="57">
        <f t="shared" si="9"/>
        <v>0.507961265924</v>
      </c>
      <c r="AF309" s="4">
        <v>6.91962738636363</v>
      </c>
      <c r="AG309" s="70">
        <v>0.440254396645018</v>
      </c>
    </row>
    <row r="310" spans="1:33">
      <c r="A310" s="38">
        <v>45597</v>
      </c>
      <c r="B310" s="1">
        <v>52614</v>
      </c>
      <c r="C310" s="39">
        <v>0.633086760280843</v>
      </c>
      <c r="D310" s="1">
        <v>52031</v>
      </c>
      <c r="E310" s="40">
        <v>0.637545787545788</v>
      </c>
      <c r="F310" s="10">
        <v>81.6</v>
      </c>
      <c r="G310" s="40">
        <v>0.38288920056101</v>
      </c>
      <c r="H310" s="4">
        <v>201.999999245</v>
      </c>
      <c r="I310" s="40">
        <v>0.00916048745137392</v>
      </c>
      <c r="J310" s="4">
        <v>197.33999939</v>
      </c>
      <c r="K310" s="40">
        <v>0.236317619521573</v>
      </c>
      <c r="L310" s="4">
        <v>43.49550038</v>
      </c>
      <c r="M310" s="40">
        <v>0.891408793987622</v>
      </c>
      <c r="N310" s="13">
        <v>46.8</v>
      </c>
      <c r="O310" s="44">
        <v>0.964143426294821</v>
      </c>
      <c r="P310" s="4">
        <v>4.49</v>
      </c>
      <c r="Q310" s="40">
        <v>0.623376623376623</v>
      </c>
      <c r="R310" s="4">
        <v>7.98</v>
      </c>
      <c r="S310" s="40">
        <v>0.994708994708995</v>
      </c>
      <c r="T310" s="11">
        <v>3.3</v>
      </c>
      <c r="U310" s="40">
        <v>0.088235294117647</v>
      </c>
      <c r="V310" s="4">
        <v>0.97925</v>
      </c>
      <c r="W310" s="54">
        <f t="shared" si="8"/>
        <v>0.339240140152</v>
      </c>
      <c r="X310" s="4">
        <v>11.461840055</v>
      </c>
      <c r="Y310" s="40">
        <v>0.275003087247172</v>
      </c>
      <c r="Z310" s="4">
        <v>0.80750001</v>
      </c>
      <c r="AA310" s="40">
        <v>0.1593750025</v>
      </c>
      <c r="AB310" s="9">
        <v>12.869299935</v>
      </c>
      <c r="AC310" s="57">
        <v>0.906662914044944</v>
      </c>
      <c r="AD310" s="9">
        <v>0.29084</v>
      </c>
      <c r="AE310" s="57">
        <f t="shared" si="9"/>
        <v>0.467014714779</v>
      </c>
      <c r="AF310" s="4">
        <v>6.85930002</v>
      </c>
      <c r="AG310" s="70">
        <v>0.40434525</v>
      </c>
    </row>
    <row r="311" spans="1:33">
      <c r="A311" s="38">
        <v>45598</v>
      </c>
      <c r="B311" s="1">
        <v>56984</v>
      </c>
      <c r="C311" s="39">
        <v>0.770060180541625</v>
      </c>
      <c r="D311" s="1">
        <v>56680</v>
      </c>
      <c r="E311" s="40">
        <v>0.779456654456654</v>
      </c>
      <c r="F311" s="10">
        <v>75.7</v>
      </c>
      <c r="G311" s="40">
        <v>0.300140252454418</v>
      </c>
      <c r="H311" s="4">
        <v>201.755997465</v>
      </c>
      <c r="I311" s="40">
        <v>0.00609860038900737</v>
      </c>
      <c r="J311" s="4">
        <v>125.899996</v>
      </c>
      <c r="K311" s="40">
        <v>0.0624680505195532</v>
      </c>
      <c r="L311" s="4">
        <v>28.00350027</v>
      </c>
      <c r="M311" s="40">
        <v>0.434821699675803</v>
      </c>
      <c r="N311" s="13">
        <v>43.2</v>
      </c>
      <c r="O311" s="44">
        <v>0.820717131474104</v>
      </c>
      <c r="P311" s="4">
        <v>4.52</v>
      </c>
      <c r="Q311" s="40">
        <v>0.631168831168831</v>
      </c>
      <c r="R311" s="4">
        <v>7.73</v>
      </c>
      <c r="S311" s="40">
        <v>0.862433862433863</v>
      </c>
      <c r="T311" s="10">
        <v>3.4</v>
      </c>
      <c r="U311" s="40">
        <v>0.117647058823529</v>
      </c>
      <c r="V311" s="4">
        <v>1.0835</v>
      </c>
      <c r="W311" s="54">
        <f t="shared" si="8"/>
        <v>0.375951467698</v>
      </c>
      <c r="X311" s="4">
        <v>9.50144009</v>
      </c>
      <c r="Y311" s="40">
        <v>0.207797054850874</v>
      </c>
      <c r="Z311" s="4">
        <v>0.2319</v>
      </c>
      <c r="AA311" s="40">
        <v>0.015475</v>
      </c>
      <c r="AB311" s="9">
        <v>8.60740005</v>
      </c>
      <c r="AC311" s="57">
        <v>0.427797758426966</v>
      </c>
      <c r="AD311" s="9">
        <v>0.28854</v>
      </c>
      <c r="AE311" s="57">
        <f t="shared" si="9"/>
        <v>0.461673676709</v>
      </c>
      <c r="AF311" s="4">
        <v>6.98095999</v>
      </c>
      <c r="AG311" s="70">
        <v>0.476761898809524</v>
      </c>
    </row>
    <row r="312" spans="1:33">
      <c r="A312" s="38">
        <v>45599</v>
      </c>
      <c r="B312" s="1">
        <v>58462</v>
      </c>
      <c r="C312" s="39">
        <v>0.81638665997994</v>
      </c>
      <c r="D312" s="1">
        <v>58007</v>
      </c>
      <c r="E312" s="40">
        <v>0.81996336996337</v>
      </c>
      <c r="F312" s="10">
        <v>79.2</v>
      </c>
      <c r="G312" s="40">
        <v>0.349228611500701</v>
      </c>
      <c r="H312" s="4">
        <v>240.426666985714</v>
      </c>
      <c r="I312" s="40">
        <v>0.49136236649158</v>
      </c>
      <c r="J312" s="4">
        <v>152.933333619047</v>
      </c>
      <c r="K312" s="40">
        <v>0.12825379899021</v>
      </c>
      <c r="L312" s="4">
        <v>28.1657145333333</v>
      </c>
      <c r="M312" s="40">
        <v>0.439602550348756</v>
      </c>
      <c r="N312" s="13">
        <v>44.9</v>
      </c>
      <c r="O312" s="44">
        <v>0.888446215139442</v>
      </c>
      <c r="P312" s="4">
        <v>3.51</v>
      </c>
      <c r="Q312" s="40">
        <v>0.368831168831169</v>
      </c>
      <c r="R312" s="4">
        <v>7.79</v>
      </c>
      <c r="S312" s="40">
        <v>0.894179894179894</v>
      </c>
      <c r="T312" s="10">
        <v>3.8</v>
      </c>
      <c r="U312" s="40">
        <v>0.235294117647059</v>
      </c>
      <c r="V312" s="4">
        <v>1.08666666666666</v>
      </c>
      <c r="W312" s="54">
        <f t="shared" si="8"/>
        <v>0.37706659995</v>
      </c>
      <c r="X312" s="4">
        <v>9.62049516666667</v>
      </c>
      <c r="Y312" s="40">
        <v>0.211878476745515</v>
      </c>
      <c r="Z312" s="4">
        <v>0.355428571428571</v>
      </c>
      <c r="AA312" s="40">
        <v>0.0463571428571427</v>
      </c>
      <c r="AB312" s="9">
        <v>8.99285713333333</v>
      </c>
      <c r="AC312" s="57">
        <v>0.471107543071161</v>
      </c>
      <c r="AD312" s="9">
        <v>0.298657142857143</v>
      </c>
      <c r="AE312" s="57">
        <f t="shared" si="9"/>
        <v>0.485167609385</v>
      </c>
      <c r="AF312" s="4">
        <v>6.98746658571429</v>
      </c>
      <c r="AG312" s="70">
        <v>0.480634872448982</v>
      </c>
    </row>
    <row r="313" spans="1:33">
      <c r="A313" s="38">
        <v>45600</v>
      </c>
      <c r="B313" s="1">
        <v>52364</v>
      </c>
      <c r="C313" s="39">
        <v>0.62525075225677</v>
      </c>
      <c r="D313" s="1">
        <v>52537</v>
      </c>
      <c r="E313" s="40">
        <v>0.652991452991453</v>
      </c>
      <c r="F313" s="10">
        <v>78.4</v>
      </c>
      <c r="G313" s="40">
        <v>0.338008415147265</v>
      </c>
      <c r="H313" s="4">
        <v>211.353047913044</v>
      </c>
      <c r="I313" s="40">
        <v>0.126528396449291</v>
      </c>
      <c r="J313" s="4">
        <v>174.573912908695</v>
      </c>
      <c r="K313" s="40">
        <v>0.180916245853783</v>
      </c>
      <c r="L313" s="4">
        <v>35.5595653347826</v>
      </c>
      <c r="M313" s="40">
        <v>0.657517398608388</v>
      </c>
      <c r="N313" s="13">
        <v>40.3</v>
      </c>
      <c r="O313" s="44">
        <v>0.705179282868526</v>
      </c>
      <c r="P313" s="4">
        <v>3.96</v>
      </c>
      <c r="Q313" s="40">
        <v>0.485714285714286</v>
      </c>
      <c r="R313" s="4">
        <v>7.81</v>
      </c>
      <c r="S313" s="40">
        <v>0.904761904761905</v>
      </c>
      <c r="T313" s="10">
        <v>3.1</v>
      </c>
      <c r="U313" s="40">
        <v>0.0294117647058824</v>
      </c>
      <c r="V313" s="4">
        <v>1.08847826086956</v>
      </c>
      <c r="W313" s="54">
        <f t="shared" si="8"/>
        <v>0.377704547462</v>
      </c>
      <c r="X313" s="4">
        <v>10.6152347869565</v>
      </c>
      <c r="Y313" s="40">
        <v>0.245979937845612</v>
      </c>
      <c r="Z313" s="4">
        <v>0.384521743478261</v>
      </c>
      <c r="AA313" s="40">
        <v>0.0536304358695653</v>
      </c>
      <c r="AB313" s="9">
        <v>9.79895666521739</v>
      </c>
      <c r="AC313" s="57">
        <v>0.561680524181729</v>
      </c>
      <c r="AD313" s="9">
        <v>0.305260869565217</v>
      </c>
      <c r="AE313" s="57">
        <f t="shared" si="9"/>
        <v>0.500502720581</v>
      </c>
      <c r="AF313" s="4">
        <v>6.9749217173913</v>
      </c>
      <c r="AG313" s="70">
        <v>0.473167688923393</v>
      </c>
    </row>
    <row r="314" spans="1:33">
      <c r="A314" s="38">
        <v>45601</v>
      </c>
      <c r="B314" s="1">
        <v>44154</v>
      </c>
      <c r="C314" s="39">
        <v>0.367916248746239</v>
      </c>
      <c r="D314" s="1">
        <v>45898</v>
      </c>
      <c r="E314" s="40">
        <v>0.450335775335775</v>
      </c>
      <c r="F314" s="10">
        <v>76.9</v>
      </c>
      <c r="G314" s="40">
        <v>0.316970546984572</v>
      </c>
      <c r="H314" s="4">
        <v>222.213335666667</v>
      </c>
      <c r="I314" s="40">
        <v>0.262810084912373</v>
      </c>
      <c r="J314" s="4">
        <v>155.583333166666</v>
      </c>
      <c r="K314" s="40">
        <v>0.134702584787351</v>
      </c>
      <c r="L314" s="4">
        <v>39.0733329416667</v>
      </c>
      <c r="M314" s="40">
        <v>0.761076715050595</v>
      </c>
      <c r="N314" s="13">
        <v>41.6</v>
      </c>
      <c r="O314" s="44">
        <v>0.756972111553785</v>
      </c>
      <c r="P314" s="4">
        <v>4.81</v>
      </c>
      <c r="Q314" s="40">
        <v>0.706493506493506</v>
      </c>
      <c r="R314" s="4">
        <v>7.76</v>
      </c>
      <c r="S314" s="40">
        <v>0.878306878306878</v>
      </c>
      <c r="T314" s="10">
        <v>4</v>
      </c>
      <c r="U314" s="40">
        <v>0.294117647058824</v>
      </c>
      <c r="V314" s="4">
        <v>1.09833333333333</v>
      </c>
      <c r="W314" s="54">
        <f t="shared" si="8"/>
        <v>0.38117498193</v>
      </c>
      <c r="X314" s="4">
        <v>10.8082000041667</v>
      </c>
      <c r="Y314" s="40">
        <v>0.252595132127758</v>
      </c>
      <c r="Z314" s="4">
        <v>0.216583333333333</v>
      </c>
      <c r="AA314" s="40">
        <v>0.0116458333333332</v>
      </c>
      <c r="AB314" s="9">
        <v>10.2136666375</v>
      </c>
      <c r="AC314" s="57">
        <v>0.608277150280899</v>
      </c>
      <c r="AD314" s="9">
        <v>0.302391666666667</v>
      </c>
      <c r="AE314" s="57">
        <f t="shared" si="9"/>
        <v>0.493839884967</v>
      </c>
      <c r="AF314" s="4">
        <v>6.95695001666667</v>
      </c>
      <c r="AG314" s="70">
        <v>0.462470248015875</v>
      </c>
    </row>
    <row r="315" spans="1:33">
      <c r="A315" s="38">
        <v>45602</v>
      </c>
      <c r="B315" s="1">
        <v>45694</v>
      </c>
      <c r="C315" s="39">
        <v>0.416186058174524</v>
      </c>
      <c r="D315" s="1">
        <v>45465</v>
      </c>
      <c r="E315" s="40">
        <v>0.437118437118437</v>
      </c>
      <c r="F315" s="10">
        <v>75.3</v>
      </c>
      <c r="G315" s="40">
        <v>0.2945301542777</v>
      </c>
      <c r="H315" s="4">
        <v>221.213333758333</v>
      </c>
      <c r="I315" s="40">
        <v>0.250261435039942</v>
      </c>
      <c r="J315" s="4">
        <v>155.874999683333</v>
      </c>
      <c r="K315" s="40">
        <v>0.135412356565189</v>
      </c>
      <c r="L315" s="4">
        <v>42.21333345</v>
      </c>
      <c r="M315" s="40">
        <v>0.853620201886236</v>
      </c>
      <c r="N315" s="13">
        <v>45.6</v>
      </c>
      <c r="O315" s="44">
        <v>0.916334661354582</v>
      </c>
      <c r="P315" s="4">
        <v>3.93</v>
      </c>
      <c r="Q315" s="40">
        <v>0.477922077922078</v>
      </c>
      <c r="R315" s="4">
        <v>7.85</v>
      </c>
      <c r="S315" s="40">
        <v>0.925925925925926</v>
      </c>
      <c r="T315" s="10">
        <v>3.8</v>
      </c>
      <c r="U315" s="40">
        <v>0.235294117647059</v>
      </c>
      <c r="V315" s="4">
        <v>0.785</v>
      </c>
      <c r="W315" s="54">
        <f t="shared" si="8"/>
        <v>0.270835580192</v>
      </c>
      <c r="X315" s="4">
        <v>10.3167999125</v>
      </c>
      <c r="Y315" s="40">
        <v>0.235749054250943</v>
      </c>
      <c r="Z315" s="4">
        <v>0.351166666666667</v>
      </c>
      <c r="AA315" s="40">
        <v>0.0452916666666668</v>
      </c>
      <c r="AB315" s="9">
        <v>10.96200005</v>
      </c>
      <c r="AC315" s="57">
        <v>0.692359556179775</v>
      </c>
      <c r="AD315" s="9">
        <v>0.298408333333333</v>
      </c>
      <c r="AE315" s="57">
        <f t="shared" si="9"/>
        <v>0.484589826282</v>
      </c>
      <c r="AF315" s="4">
        <v>6.9299417</v>
      </c>
      <c r="AG315" s="70">
        <v>0.446393869047619</v>
      </c>
    </row>
    <row r="316" spans="1:33">
      <c r="A316" s="38">
        <v>45603</v>
      </c>
      <c r="B316" s="1">
        <v>44213</v>
      </c>
      <c r="C316" s="39">
        <v>0.36976554663992</v>
      </c>
      <c r="D316" s="1">
        <v>43992</v>
      </c>
      <c r="E316" s="40">
        <v>0.392155067155067</v>
      </c>
      <c r="F316" s="10">
        <v>75.5</v>
      </c>
      <c r="G316" s="40">
        <v>0.297335203366059</v>
      </c>
      <c r="H316" s="4">
        <v>210.880001704167</v>
      </c>
      <c r="I316" s="40">
        <v>0.120592316528636</v>
      </c>
      <c r="J316" s="4">
        <v>152.120833395833</v>
      </c>
      <c r="K316" s="40">
        <v>0.126276576049042</v>
      </c>
      <c r="L316" s="4">
        <v>40.2112498333333</v>
      </c>
      <c r="M316" s="40">
        <v>0.794613906081146</v>
      </c>
      <c r="N316" s="13">
        <v>44.8</v>
      </c>
      <c r="O316" s="44">
        <v>0.884462151394422</v>
      </c>
      <c r="P316" s="4">
        <v>4.23</v>
      </c>
      <c r="Q316" s="40">
        <v>0.555844155844156</v>
      </c>
      <c r="R316" s="4">
        <v>7.65</v>
      </c>
      <c r="S316" s="40">
        <v>0.820105820105821</v>
      </c>
      <c r="T316" s="10">
        <v>3.9</v>
      </c>
      <c r="U316" s="40">
        <v>0.264705882352941</v>
      </c>
      <c r="V316" s="4">
        <v>0.8625</v>
      </c>
      <c r="W316" s="54">
        <f t="shared" si="8"/>
        <v>0.29812697477</v>
      </c>
      <c r="X316" s="4">
        <v>10.4580666291667</v>
      </c>
      <c r="Y316" s="40">
        <v>0.240591931065022</v>
      </c>
      <c r="Z316" s="4">
        <v>0.21725</v>
      </c>
      <c r="AA316" s="40">
        <v>0.0118125</v>
      </c>
      <c r="AB316" s="9">
        <v>11.407000025</v>
      </c>
      <c r="AC316" s="57">
        <v>0.742359553370787</v>
      </c>
      <c r="AD316" s="9">
        <v>0.30135</v>
      </c>
      <c r="AE316" s="57">
        <f t="shared" si="9"/>
        <v>0.491420936566</v>
      </c>
      <c r="AF316" s="4">
        <v>6.92422502083333</v>
      </c>
      <c r="AG316" s="70">
        <v>0.442991083829363</v>
      </c>
    </row>
    <row r="317" spans="1:33">
      <c r="A317" s="38">
        <v>45604</v>
      </c>
      <c r="B317" s="1">
        <v>46912</v>
      </c>
      <c r="C317" s="39">
        <v>0.454363089267803</v>
      </c>
      <c r="D317" s="1">
        <v>46691</v>
      </c>
      <c r="E317" s="40">
        <v>0.474542124542125</v>
      </c>
      <c r="F317" s="10">
        <v>78.6</v>
      </c>
      <c r="G317" s="40">
        <v>0.340813464235624</v>
      </c>
      <c r="H317" s="4">
        <v>241.066665654167</v>
      </c>
      <c r="I317" s="40">
        <v>0.49939347037479</v>
      </c>
      <c r="J317" s="4">
        <v>158.399999620833</v>
      </c>
      <c r="K317" s="40">
        <v>0.14155695524988</v>
      </c>
      <c r="L317" s="4">
        <v>39.733750025</v>
      </c>
      <c r="M317" s="40">
        <v>0.780540820070734</v>
      </c>
      <c r="N317" s="13">
        <v>45.9</v>
      </c>
      <c r="O317" s="44">
        <v>0.928286852589641</v>
      </c>
      <c r="P317" s="4">
        <v>4.43</v>
      </c>
      <c r="Q317" s="40">
        <v>0.607792207792208</v>
      </c>
      <c r="R317" s="4">
        <v>7.85</v>
      </c>
      <c r="S317" s="40">
        <v>0.925925925925926</v>
      </c>
      <c r="T317" s="11">
        <v>3.5</v>
      </c>
      <c r="U317" s="40">
        <v>0.147058823529412</v>
      </c>
      <c r="V317" s="4">
        <v>1.07791666666666</v>
      </c>
      <c r="W317" s="54">
        <f t="shared" si="8"/>
        <v>0.373985313465</v>
      </c>
      <c r="X317" s="4">
        <v>10.8931334375</v>
      </c>
      <c r="Y317" s="40">
        <v>0.255506802793966</v>
      </c>
      <c r="Z317" s="4">
        <v>0.19375</v>
      </c>
      <c r="AA317" s="40">
        <v>0.0059375</v>
      </c>
      <c r="AB317" s="9">
        <v>11.8355834208333</v>
      </c>
      <c r="AC317" s="57">
        <v>0.790514991104865</v>
      </c>
      <c r="AD317" s="9">
        <v>0.299841666666667</v>
      </c>
      <c r="AE317" s="57">
        <f t="shared" si="9"/>
        <v>0.487918299282</v>
      </c>
      <c r="AF317" s="4">
        <v>6.94615835</v>
      </c>
      <c r="AG317" s="70">
        <v>0.456046636904762</v>
      </c>
    </row>
    <row r="318" spans="1:33">
      <c r="A318" s="38">
        <v>45605</v>
      </c>
      <c r="B318" s="1">
        <v>45567</v>
      </c>
      <c r="C318" s="39">
        <v>0.412205366098295</v>
      </c>
      <c r="D318" s="1">
        <v>44245</v>
      </c>
      <c r="E318" s="40">
        <v>0.3998778998779</v>
      </c>
      <c r="F318" s="10">
        <v>79.2</v>
      </c>
      <c r="G318" s="40">
        <v>0.349228611500701</v>
      </c>
      <c r="H318" s="4">
        <v>220.666670475</v>
      </c>
      <c r="I318" s="40">
        <v>0.243401561990212</v>
      </c>
      <c r="J318" s="4">
        <v>155.062500154166</v>
      </c>
      <c r="K318" s="40">
        <v>0.133435135312988</v>
      </c>
      <c r="L318" s="4">
        <v>40.8575000666667</v>
      </c>
      <c r="M318" s="40">
        <v>0.813660479418411</v>
      </c>
      <c r="N318" s="13">
        <v>47.3</v>
      </c>
      <c r="O318" s="44">
        <v>0.98406374501992</v>
      </c>
      <c r="P318" s="4">
        <v>4.63</v>
      </c>
      <c r="Q318" s="40">
        <v>0.65974025974026</v>
      </c>
      <c r="R318" s="4">
        <v>7.92</v>
      </c>
      <c r="S318" s="40">
        <v>0.962962962962963</v>
      </c>
      <c r="T318" s="10">
        <v>3.6</v>
      </c>
      <c r="U318" s="40">
        <v>0.176470588235294</v>
      </c>
      <c r="V318" s="4">
        <v>1.08458333333333</v>
      </c>
      <c r="W318" s="54">
        <f t="shared" si="8"/>
        <v>0.376332960311</v>
      </c>
      <c r="X318" s="4">
        <v>11.5024001625</v>
      </c>
      <c r="Y318" s="40">
        <v>0.276393560593075</v>
      </c>
      <c r="Z318" s="4">
        <v>0.34625</v>
      </c>
      <c r="AA318" s="40">
        <v>0.0440625</v>
      </c>
      <c r="AB318" s="9">
        <v>12.5275833625</v>
      </c>
      <c r="AC318" s="57">
        <v>0.868267793539326</v>
      </c>
      <c r="AD318" s="9">
        <v>0.306341666666667</v>
      </c>
      <c r="AE318" s="57">
        <f t="shared" si="9"/>
        <v>0.503012537304</v>
      </c>
      <c r="AF318" s="4">
        <v>6.93869170833333</v>
      </c>
      <c r="AG318" s="70">
        <v>0.451602207341268</v>
      </c>
    </row>
    <row r="319" spans="1:33">
      <c r="A319" s="38">
        <v>45606</v>
      </c>
      <c r="B319" s="1">
        <v>46513</v>
      </c>
      <c r="C319" s="39">
        <v>0.441856820461384</v>
      </c>
      <c r="D319" s="1">
        <v>46182</v>
      </c>
      <c r="E319" s="40">
        <v>0.459004884004884</v>
      </c>
      <c r="F319" s="10">
        <v>80.1</v>
      </c>
      <c r="G319" s="40">
        <v>0.361851332398317</v>
      </c>
      <c r="H319" s="4">
        <v>211.726669308333</v>
      </c>
      <c r="I319" s="40">
        <v>0.131216831576521</v>
      </c>
      <c r="J319" s="4">
        <v>157.108333433333</v>
      </c>
      <c r="K319" s="40">
        <v>0.138413679783255</v>
      </c>
      <c r="L319" s="4">
        <v>42.5975009583333</v>
      </c>
      <c r="M319" s="40">
        <v>0.864942556980056</v>
      </c>
      <c r="N319" s="13">
        <v>46.2</v>
      </c>
      <c r="O319" s="44">
        <v>0.940239043824701</v>
      </c>
      <c r="P319" s="4">
        <v>4.17</v>
      </c>
      <c r="Q319" s="40">
        <v>0.54025974025974</v>
      </c>
      <c r="R319" s="4">
        <v>7.79</v>
      </c>
      <c r="S319" s="40">
        <v>0.894179894179894</v>
      </c>
      <c r="T319" s="10">
        <v>3.7</v>
      </c>
      <c r="U319" s="40">
        <v>0.205882352941177</v>
      </c>
      <c r="V319" s="4">
        <v>0.883333333333333</v>
      </c>
      <c r="W319" s="54">
        <f t="shared" si="8"/>
        <v>0.305463371163</v>
      </c>
      <c r="X319" s="4">
        <v>11.9062666166667</v>
      </c>
      <c r="Y319" s="40">
        <v>0.290238828133929</v>
      </c>
      <c r="Z319" s="4">
        <v>0.227</v>
      </c>
      <c r="AA319" s="40">
        <v>0.01425</v>
      </c>
      <c r="AB319" s="9">
        <v>12.6895832625</v>
      </c>
      <c r="AC319" s="57">
        <v>0.886470029494382</v>
      </c>
      <c r="AD319" s="9">
        <v>0.318466666666667</v>
      </c>
      <c r="AE319" s="57">
        <f t="shared" si="9"/>
        <v>0.531169096693</v>
      </c>
      <c r="AF319" s="4">
        <v>6.9185667125</v>
      </c>
      <c r="AG319" s="70">
        <v>0.439623043154762</v>
      </c>
    </row>
    <row r="320" spans="1:33">
      <c r="A320" s="38">
        <v>45607</v>
      </c>
      <c r="B320" s="1">
        <v>48346</v>
      </c>
      <c r="C320" s="39">
        <v>0.499310431293882</v>
      </c>
      <c r="D320" s="1">
        <v>48224</v>
      </c>
      <c r="E320" s="40">
        <v>0.521336996336996</v>
      </c>
      <c r="F320" s="10">
        <v>82.3</v>
      </c>
      <c r="G320" s="40">
        <v>0.392706872370266</v>
      </c>
      <c r="H320" s="4">
        <v>251.609999979167</v>
      </c>
      <c r="I320" s="40">
        <v>0.631697828826289</v>
      </c>
      <c r="J320" s="4">
        <v>177.645833175</v>
      </c>
      <c r="K320" s="40">
        <v>0.188391777614192</v>
      </c>
      <c r="L320" s="4">
        <v>47.1004163375</v>
      </c>
      <c r="M320" s="40">
        <v>0.997654475022104</v>
      </c>
      <c r="N320" s="13">
        <v>47.7</v>
      </c>
      <c r="O320" s="44">
        <v>1</v>
      </c>
      <c r="P320" s="4">
        <v>4.19</v>
      </c>
      <c r="Q320" s="40">
        <v>0.545454545454546</v>
      </c>
      <c r="R320" s="4">
        <v>7.92</v>
      </c>
      <c r="S320" s="40">
        <v>0.962962962962963</v>
      </c>
      <c r="T320" s="10">
        <v>3</v>
      </c>
      <c r="U320" s="40">
        <v>0</v>
      </c>
      <c r="V320" s="4">
        <v>0.496666666666666</v>
      </c>
      <c r="W320" s="54">
        <f t="shared" si="8"/>
        <v>0.169299854124</v>
      </c>
      <c r="X320" s="4">
        <v>12.0224000541667</v>
      </c>
      <c r="Y320" s="40">
        <v>0.294220090989602</v>
      </c>
      <c r="Z320" s="4">
        <v>0.613416666666667</v>
      </c>
      <c r="AA320" s="40">
        <v>0.110854166666667</v>
      </c>
      <c r="AB320" s="9">
        <v>12.1629999833333</v>
      </c>
      <c r="AC320" s="57">
        <v>0.827303368913854</v>
      </c>
      <c r="AD320" s="9">
        <v>0.3024</v>
      </c>
      <c r="AE320" s="57">
        <f t="shared" si="9"/>
        <v>0.493859236555</v>
      </c>
      <c r="AF320" s="4">
        <v>6.86927497083333</v>
      </c>
      <c r="AG320" s="70">
        <v>0.410282720734125</v>
      </c>
    </row>
    <row r="321" spans="1:33">
      <c r="A321" s="38">
        <v>45608</v>
      </c>
      <c r="B321" s="1">
        <v>48971</v>
      </c>
      <c r="C321" s="39">
        <v>0.518900451354062</v>
      </c>
      <c r="D321" s="1">
        <v>48735</v>
      </c>
      <c r="E321" s="40">
        <v>0.536935286935287</v>
      </c>
      <c r="F321" s="10">
        <v>84.2</v>
      </c>
      <c r="G321" s="40">
        <v>0.419354838709677</v>
      </c>
      <c r="H321" s="4">
        <v>250.8766670125</v>
      </c>
      <c r="I321" s="40">
        <v>0.622495507748776</v>
      </c>
      <c r="J321" s="4">
        <v>169.308333729166</v>
      </c>
      <c r="K321" s="40">
        <v>0.168102435278919</v>
      </c>
      <c r="L321" s="4">
        <v>46.8637501375</v>
      </c>
      <c r="M321" s="40">
        <v>0.990679343869732</v>
      </c>
      <c r="N321" s="13">
        <v>47.3</v>
      </c>
      <c r="O321" s="44">
        <v>0.98406374501992</v>
      </c>
      <c r="P321" s="4">
        <v>3.71</v>
      </c>
      <c r="Q321" s="40">
        <v>0.420779220779221</v>
      </c>
      <c r="R321" s="4">
        <v>7.96</v>
      </c>
      <c r="S321" s="40">
        <v>0.984126984126984</v>
      </c>
      <c r="T321" s="10">
        <v>3.4</v>
      </c>
      <c r="U321" s="40">
        <v>0.117647058823529</v>
      </c>
      <c r="V321" s="4">
        <v>0.7925</v>
      </c>
      <c r="W321" s="54">
        <f t="shared" si="8"/>
        <v>0.273476682893</v>
      </c>
      <c r="X321" s="4">
        <v>12.7304668291667</v>
      </c>
      <c r="Y321" s="40">
        <v>0.318493891983774</v>
      </c>
      <c r="Z321" s="4">
        <v>1.60466670416667</v>
      </c>
      <c r="AA321" s="40">
        <v>0.358666676041668</v>
      </c>
      <c r="AB321" s="9">
        <v>11.1354167541667</v>
      </c>
      <c r="AC321" s="57">
        <v>0.711844579119854</v>
      </c>
      <c r="AD321" s="9">
        <v>0.259891666666667</v>
      </c>
      <c r="AE321" s="57">
        <f t="shared" si="9"/>
        <v>0.395146790203</v>
      </c>
      <c r="AF321" s="4">
        <v>6.88251668333333</v>
      </c>
      <c r="AG321" s="70">
        <v>0.418164692460316</v>
      </c>
    </row>
    <row r="322" spans="1:33">
      <c r="A322" s="38">
        <v>45609</v>
      </c>
      <c r="B322" s="1">
        <v>46687</v>
      </c>
      <c r="C322" s="39">
        <v>0.447310682046138</v>
      </c>
      <c r="D322" s="1">
        <v>46721</v>
      </c>
      <c r="E322" s="40">
        <v>0.475457875457875</v>
      </c>
      <c r="F322" s="10">
        <v>83.4</v>
      </c>
      <c r="G322" s="40">
        <v>0.408134642356241</v>
      </c>
      <c r="H322" s="4">
        <v>251.3433341875</v>
      </c>
      <c r="I322" s="40">
        <v>0.628351539559543</v>
      </c>
      <c r="J322" s="4">
        <v>152.6791680625</v>
      </c>
      <c r="K322" s="40">
        <v>0.127635285967196</v>
      </c>
      <c r="L322" s="4">
        <v>46.3237506541667</v>
      </c>
      <c r="M322" s="40">
        <v>0.974764239733767</v>
      </c>
      <c r="N322" s="13">
        <v>43.1</v>
      </c>
      <c r="O322" s="44">
        <v>0.816733067729084</v>
      </c>
      <c r="P322" s="4">
        <v>4.52</v>
      </c>
      <c r="Q322" s="40">
        <v>0.631168831168831</v>
      </c>
      <c r="R322" s="4">
        <v>7.11404167916667</v>
      </c>
      <c r="S322" s="40">
        <v>0.536529988977074</v>
      </c>
      <c r="T322" s="10">
        <v>3.9</v>
      </c>
      <c r="U322" s="40">
        <v>0.264705882352941</v>
      </c>
      <c r="V322" s="4">
        <v>0.568979166666666</v>
      </c>
      <c r="W322" s="54">
        <f t="shared" si="8"/>
        <v>0.194764486001</v>
      </c>
      <c r="X322" s="4">
        <v>17.731133775</v>
      </c>
      <c r="Y322" s="40">
        <v>0.489925737915667</v>
      </c>
      <c r="Z322" s="4">
        <v>1.32800000416667</v>
      </c>
      <c r="AA322" s="40">
        <v>0.289500001041668</v>
      </c>
      <c r="AB322" s="9">
        <v>9.57399995833334</v>
      </c>
      <c r="AC322" s="57">
        <v>0.536404489700375</v>
      </c>
      <c r="AD322" s="9">
        <v>0.276891666666667</v>
      </c>
      <c r="AE322" s="57">
        <f t="shared" si="9"/>
        <v>0.434624028109</v>
      </c>
      <c r="AF322" s="4">
        <v>6.9107499</v>
      </c>
      <c r="AG322" s="70">
        <v>0.434970178571429</v>
      </c>
    </row>
    <row r="323" spans="1:33">
      <c r="A323" s="38">
        <v>45610</v>
      </c>
      <c r="B323" s="1">
        <v>48213</v>
      </c>
      <c r="C323" s="39">
        <v>0.495141675025075</v>
      </c>
      <c r="D323" s="1">
        <v>47792</v>
      </c>
      <c r="E323" s="40">
        <v>0.508150183150183</v>
      </c>
      <c r="F323" s="10">
        <v>82.9</v>
      </c>
      <c r="G323" s="40">
        <v>0.401122019635344</v>
      </c>
      <c r="H323" s="4">
        <v>251.323331833333</v>
      </c>
      <c r="I323" s="40">
        <v>0.628100537499473</v>
      </c>
      <c r="J323" s="4">
        <v>100.8541660375</v>
      </c>
      <c r="K323" s="40">
        <v>0.00151891085464675</v>
      </c>
      <c r="L323" s="4">
        <v>47.1820831333333</v>
      </c>
      <c r="M323" s="40">
        <v>1.00006139502898</v>
      </c>
      <c r="N323" s="13">
        <v>42.6</v>
      </c>
      <c r="O323" s="44">
        <v>0.796812749003984</v>
      </c>
      <c r="P323" s="4">
        <v>4.14</v>
      </c>
      <c r="Q323" s="40">
        <v>0.532467532467532</v>
      </c>
      <c r="R323" s="4">
        <v>7.06184342173913</v>
      </c>
      <c r="S323" s="40">
        <v>0.508911863354037</v>
      </c>
      <c r="T323" s="10">
        <v>3.5</v>
      </c>
      <c r="U323" s="40">
        <v>0.147058823529412</v>
      </c>
      <c r="V323" s="4">
        <v>0.794583333333333</v>
      </c>
      <c r="W323" s="54">
        <f t="shared" si="8"/>
        <v>0.274210322532</v>
      </c>
      <c r="X323" s="4">
        <v>12.1099332916667</v>
      </c>
      <c r="Y323" s="40">
        <v>0.297220887612845</v>
      </c>
      <c r="Z323" s="4">
        <v>0.273333333333333</v>
      </c>
      <c r="AA323" s="40">
        <v>0.0258333333333332</v>
      </c>
      <c r="AB323" s="9">
        <v>12.8593332833333</v>
      </c>
      <c r="AC323" s="57">
        <v>0.905543065543067</v>
      </c>
      <c r="AD323" s="9">
        <v>0.304091666666667</v>
      </c>
      <c r="AE323" s="57">
        <f t="shared" si="9"/>
        <v>0.497787608758</v>
      </c>
      <c r="AF323" s="4">
        <v>6.88280827916667</v>
      </c>
      <c r="AG323" s="70">
        <v>0.418338261408732</v>
      </c>
    </row>
    <row r="324" spans="1:33">
      <c r="A324" s="38">
        <v>45611</v>
      </c>
      <c r="B324" s="1">
        <v>48526</v>
      </c>
      <c r="C324" s="39">
        <v>0.504952357071214</v>
      </c>
      <c r="D324" s="1">
        <v>47914</v>
      </c>
      <c r="E324" s="40">
        <v>0.511874236874237</v>
      </c>
      <c r="F324" s="10">
        <v>81.5</v>
      </c>
      <c r="G324" s="40">
        <v>0.38148667601683</v>
      </c>
      <c r="H324" s="4">
        <v>221.2466710375</v>
      </c>
      <c r="I324" s="40">
        <v>0.250679772085581</v>
      </c>
      <c r="J324" s="4">
        <v>182.429166479166</v>
      </c>
      <c r="K324" s="40">
        <v>0.200032040686166</v>
      </c>
      <c r="L324" s="4">
        <v>44.0441669625</v>
      </c>
      <c r="M324" s="40">
        <v>0.907579338712054</v>
      </c>
      <c r="N324" s="13">
        <v>40.5</v>
      </c>
      <c r="O324" s="44">
        <v>0.713147410358566</v>
      </c>
      <c r="P324" s="4">
        <v>4.43</v>
      </c>
      <c r="Q324" s="40">
        <v>0.607792207792208</v>
      </c>
      <c r="R324" s="4">
        <v>7.11706676666667</v>
      </c>
      <c r="S324" s="40">
        <v>0.5381305643739</v>
      </c>
      <c r="T324" s="11">
        <v>3.8</v>
      </c>
      <c r="U324" s="40">
        <v>0.235294117647059</v>
      </c>
      <c r="V324" s="4">
        <v>0.888125</v>
      </c>
      <c r="W324" s="54">
        <f t="shared" si="8"/>
        <v>0.307150742333</v>
      </c>
      <c r="X324" s="4">
        <v>11.9799333833333</v>
      </c>
      <c r="Y324" s="40">
        <v>0.292764257227744</v>
      </c>
      <c r="Z324" s="4">
        <v>0.349833333333333</v>
      </c>
      <c r="AA324" s="40">
        <v>0.0449583333333332</v>
      </c>
      <c r="AB324" s="9">
        <v>12.4110000166667</v>
      </c>
      <c r="AC324" s="57">
        <v>0.855168541198506</v>
      </c>
      <c r="AD324" s="9">
        <v>0.305825</v>
      </c>
      <c r="AE324" s="57">
        <f t="shared" si="9"/>
        <v>0.501812738897</v>
      </c>
      <c r="AF324" s="4">
        <v>6.8927249375</v>
      </c>
      <c r="AG324" s="70">
        <v>0.42424103422619</v>
      </c>
    </row>
    <row r="325" spans="1:33">
      <c r="A325" s="38">
        <v>45612</v>
      </c>
      <c r="B325" s="1">
        <v>45536</v>
      </c>
      <c r="C325" s="39">
        <v>0.41123370110331</v>
      </c>
      <c r="D325" s="1">
        <v>45265</v>
      </c>
      <c r="E325" s="40">
        <v>0.431013431013431</v>
      </c>
      <c r="F325" s="10">
        <v>79.8</v>
      </c>
      <c r="G325" s="40">
        <v>0.357643758765778</v>
      </c>
      <c r="H325" s="4">
        <v>201.280002591667</v>
      </c>
      <c r="I325" s="40">
        <v>0.000125518781114183</v>
      </c>
      <c r="J325" s="4">
        <v>189.937500008333</v>
      </c>
      <c r="K325" s="40">
        <v>0.218303604040428</v>
      </c>
      <c r="L325" s="4">
        <v>37.521666525</v>
      </c>
      <c r="M325" s="40">
        <v>0.715345314618332</v>
      </c>
      <c r="N325" s="13">
        <v>37.2</v>
      </c>
      <c r="O325" s="44">
        <v>0.581673306772908</v>
      </c>
      <c r="P325" s="4">
        <v>4.69</v>
      </c>
      <c r="Q325" s="40">
        <v>0.675324675324675</v>
      </c>
      <c r="R325" s="4">
        <v>7.12754742105263</v>
      </c>
      <c r="S325" s="40">
        <v>0.543675884154831</v>
      </c>
      <c r="T325" s="10">
        <v>3.7</v>
      </c>
      <c r="U325" s="40">
        <v>0.205882352941177</v>
      </c>
      <c r="V325" s="4">
        <v>1.095</v>
      </c>
      <c r="W325" s="54">
        <f t="shared" si="8"/>
        <v>0.380001158507</v>
      </c>
      <c r="X325" s="4">
        <v>11.7571998375</v>
      </c>
      <c r="Y325" s="40">
        <v>0.285128551165581</v>
      </c>
      <c r="Z325" s="4">
        <v>0.208666666666667</v>
      </c>
      <c r="AA325" s="40">
        <v>0.00966666666666675</v>
      </c>
      <c r="AB325" s="9">
        <v>12.2890833666667</v>
      </c>
      <c r="AC325" s="57">
        <v>0.841470041198506</v>
      </c>
      <c r="AD325" s="9">
        <v>0.333066666666667</v>
      </c>
      <c r="AE325" s="57">
        <f t="shared" si="9"/>
        <v>0.565073077483</v>
      </c>
      <c r="AF325" s="4">
        <v>6.91979175416667</v>
      </c>
      <c r="AG325" s="70">
        <v>0.440352234623018</v>
      </c>
    </row>
    <row r="326" spans="1:33">
      <c r="A326" s="38">
        <v>45613</v>
      </c>
      <c r="B326" s="1">
        <v>45365</v>
      </c>
      <c r="C326" s="39">
        <v>0.405873871614845</v>
      </c>
      <c r="D326" s="1">
        <v>45690</v>
      </c>
      <c r="E326" s="40">
        <v>0.443986568986569</v>
      </c>
      <c r="F326" s="10">
        <v>78.3</v>
      </c>
      <c r="G326" s="40">
        <v>0.336605890603086</v>
      </c>
      <c r="H326" s="4">
        <v>221.040002195833</v>
      </c>
      <c r="I326" s="40">
        <v>0.248086362101054</v>
      </c>
      <c r="J326" s="4">
        <v>174.808333070833</v>
      </c>
      <c r="K326" s="40">
        <v>0.181486708370849</v>
      </c>
      <c r="L326" s="4">
        <v>30.56999985</v>
      </c>
      <c r="M326" s="40">
        <v>0.510462712938403</v>
      </c>
      <c r="N326" s="13">
        <v>32.1</v>
      </c>
      <c r="O326" s="44">
        <v>0.378486055776892</v>
      </c>
      <c r="P326" s="4">
        <v>4.19</v>
      </c>
      <c r="Q326" s="40">
        <v>0.545454545454546</v>
      </c>
      <c r="R326" s="4">
        <v>7.13537991</v>
      </c>
      <c r="S326" s="40">
        <v>0.547820058201059</v>
      </c>
      <c r="T326" s="10">
        <v>3.3</v>
      </c>
      <c r="U326" s="40">
        <v>0.088235294117647</v>
      </c>
      <c r="V326" s="4">
        <v>0.5875</v>
      </c>
      <c r="W326" s="54">
        <f t="shared" ref="W326:W370" si="10">ROUND((V326-MIN($V$5:$V$370))/(MAX($V$5:$V$370)-MIN($V$5:$V$2370)),12)</f>
        <v>0.201286542394</v>
      </c>
      <c r="X326" s="4">
        <v>12.0050667583333</v>
      </c>
      <c r="Y326" s="40">
        <v>0.293625874471488</v>
      </c>
      <c r="Z326" s="4">
        <v>0.195333333333333</v>
      </c>
      <c r="AA326" s="40">
        <v>0.00633333333333325</v>
      </c>
      <c r="AB326" s="9">
        <v>11.9266666083333</v>
      </c>
      <c r="AC326" s="57">
        <v>0.800749057116101</v>
      </c>
      <c r="AD326" s="9">
        <v>0.333875</v>
      </c>
      <c r="AE326" s="57">
        <f t="shared" ref="AE326:AE370" si="11">ROUND((AD326-MIN($AD$5:$AD$370))/(MAX($AD$5:$AD$370)-MIN($AD$5:$AD$2370)),12)</f>
        <v>0.566950181442</v>
      </c>
      <c r="AF326" s="4">
        <v>6.91045831666667</v>
      </c>
      <c r="AG326" s="70">
        <v>0.434796617063494</v>
      </c>
    </row>
    <row r="327" spans="1:33">
      <c r="A327" s="38">
        <v>45614</v>
      </c>
      <c r="B327" s="1">
        <v>46871</v>
      </c>
      <c r="C327" s="39">
        <v>0.453077983951856</v>
      </c>
      <c r="D327" s="1">
        <v>46499</v>
      </c>
      <c r="E327" s="40">
        <v>0.468681318681319</v>
      </c>
      <c r="F327" s="10">
        <v>78.4</v>
      </c>
      <c r="G327" s="40">
        <v>0.338008415147265</v>
      </c>
      <c r="H327" s="4">
        <v>220.439999254167</v>
      </c>
      <c r="I327" s="40">
        <v>0.240557149631911</v>
      </c>
      <c r="J327" s="4">
        <v>183.812500329166</v>
      </c>
      <c r="K327" s="40">
        <v>0.203398389821055</v>
      </c>
      <c r="L327" s="4">
        <v>24.5387499291667</v>
      </c>
      <c r="M327" s="40">
        <v>0.33270704182631</v>
      </c>
      <c r="N327" s="13">
        <v>30.4</v>
      </c>
      <c r="O327" s="44">
        <v>0.310756972111554</v>
      </c>
      <c r="P327" s="4">
        <v>5.18</v>
      </c>
      <c r="Q327" s="40">
        <v>0.802597402597403</v>
      </c>
      <c r="R327" s="4">
        <v>7.159040035</v>
      </c>
      <c r="S327" s="40">
        <v>0.560338642857143</v>
      </c>
      <c r="T327" s="10">
        <v>3.4</v>
      </c>
      <c r="U327" s="40">
        <v>0.117647058823529</v>
      </c>
      <c r="V327" s="4">
        <v>0.875</v>
      </c>
      <c r="W327" s="54">
        <f t="shared" si="10"/>
        <v>0.302528812606</v>
      </c>
      <c r="X327" s="4">
        <v>12.1446</v>
      </c>
      <c r="Y327" s="40">
        <v>0.298409324648612</v>
      </c>
      <c r="Z327" s="4">
        <v>0.465666666666667</v>
      </c>
      <c r="AA327" s="40">
        <v>0.0739166666666667</v>
      </c>
      <c r="AB327" s="9">
        <v>11.3288333</v>
      </c>
      <c r="AC327" s="57">
        <v>0.733576775280899</v>
      </c>
      <c r="AD327" s="9">
        <v>0.308916666666667</v>
      </c>
      <c r="AE327" s="57">
        <f t="shared" si="11"/>
        <v>0.508992177752</v>
      </c>
      <c r="AF327" s="4">
        <v>6.88904998333333</v>
      </c>
      <c r="AG327" s="70">
        <v>0.422053561507935</v>
      </c>
    </row>
    <row r="328" spans="1:33">
      <c r="A328" s="38">
        <v>45615</v>
      </c>
      <c r="B328" s="1">
        <v>47654</v>
      </c>
      <c r="C328" s="39">
        <v>0.47762036108325</v>
      </c>
      <c r="D328" s="1">
        <v>47225</v>
      </c>
      <c r="E328" s="40">
        <v>0.490842490842491</v>
      </c>
      <c r="F328" s="10">
        <v>78.9</v>
      </c>
      <c r="G328" s="40">
        <v>0.345021037868163</v>
      </c>
      <c r="H328" s="4">
        <v>209.663333245833</v>
      </c>
      <c r="I328" s="40">
        <v>0.105324799169695</v>
      </c>
      <c r="J328" s="4">
        <v>119.3291660875</v>
      </c>
      <c r="K328" s="40">
        <v>0.0464779064256686</v>
      </c>
      <c r="L328" s="4">
        <v>22.4524998708333</v>
      </c>
      <c r="M328" s="40">
        <v>0.271220155344335</v>
      </c>
      <c r="N328" s="13">
        <v>29.5</v>
      </c>
      <c r="O328" s="44">
        <v>0.274900398406374</v>
      </c>
      <c r="P328" s="4">
        <v>4.08</v>
      </c>
      <c r="Q328" s="40">
        <v>0.516883116883117</v>
      </c>
      <c r="R328" s="4">
        <v>7.20619998571429</v>
      </c>
      <c r="S328" s="40">
        <v>0.585290997732429</v>
      </c>
      <c r="T328" s="11">
        <v>3.6</v>
      </c>
      <c r="U328" s="40">
        <v>0.176470588235294</v>
      </c>
      <c r="V328" s="4">
        <v>0.889583333333333</v>
      </c>
      <c r="W328" s="54">
        <f t="shared" si="10"/>
        <v>0.30766429008</v>
      </c>
      <c r="X328" s="4">
        <v>11.3143334416667</v>
      </c>
      <c r="Y328" s="40">
        <v>0.269946295566222</v>
      </c>
      <c r="Z328" s="4">
        <v>0.210666666666667</v>
      </c>
      <c r="AA328" s="40">
        <v>0.0101666666666667</v>
      </c>
      <c r="AB328" s="9">
        <v>10.9579999875</v>
      </c>
      <c r="AC328" s="57">
        <v>0.691910110955056</v>
      </c>
      <c r="AD328" s="9">
        <v>0.281183333333333</v>
      </c>
      <c r="AE328" s="57">
        <f t="shared" si="11"/>
        <v>0.444590095521</v>
      </c>
      <c r="AF328" s="4">
        <v>6.8780250125</v>
      </c>
      <c r="AG328" s="70">
        <v>0.415491078869048</v>
      </c>
    </row>
    <row r="329" spans="1:33">
      <c r="A329" s="38">
        <v>45616</v>
      </c>
      <c r="B329" s="1">
        <v>47814</v>
      </c>
      <c r="C329" s="39">
        <v>0.482635406218656</v>
      </c>
      <c r="D329" s="1">
        <v>47394</v>
      </c>
      <c r="E329" s="40">
        <v>0.496001221001221</v>
      </c>
      <c r="F329" s="10">
        <v>77.6</v>
      </c>
      <c r="G329" s="40">
        <v>0.326788218793829</v>
      </c>
      <c r="H329" s="4">
        <v>211.1033338</v>
      </c>
      <c r="I329" s="40">
        <v>0.123394827456393</v>
      </c>
      <c r="J329" s="4">
        <v>186.383333516666</v>
      </c>
      <c r="K329" s="40">
        <v>0.209654523925403</v>
      </c>
      <c r="L329" s="4">
        <v>15.4137499291667</v>
      </c>
      <c r="M329" s="40">
        <v>0.0637709970281963</v>
      </c>
      <c r="N329" s="13">
        <v>28.6</v>
      </c>
      <c r="O329" s="44">
        <v>0.239043824701195</v>
      </c>
      <c r="P329" s="4">
        <v>4.33</v>
      </c>
      <c r="Q329" s="40">
        <v>0.581818181818182</v>
      </c>
      <c r="R329" s="4">
        <v>7.11404167916667</v>
      </c>
      <c r="S329" s="40">
        <v>0.536529988977074</v>
      </c>
      <c r="T329" s="10">
        <v>3.9</v>
      </c>
      <c r="U329" s="40">
        <v>0.264705882352941</v>
      </c>
      <c r="V329" s="4">
        <v>1.07375</v>
      </c>
      <c r="W329" s="54">
        <f t="shared" si="10"/>
        <v>0.372518034187</v>
      </c>
      <c r="X329" s="4">
        <v>11.20079995</v>
      </c>
      <c r="Y329" s="40">
        <v>0.266054163524169</v>
      </c>
      <c r="Z329" s="4">
        <v>0.177083333333333</v>
      </c>
      <c r="AA329" s="40">
        <v>0.00177083333333325</v>
      </c>
      <c r="AB329" s="9">
        <v>11.5626667708333</v>
      </c>
      <c r="AC329" s="57">
        <v>0.759850198970034</v>
      </c>
      <c r="AD329" s="9">
        <v>0.276216666666667</v>
      </c>
      <c r="AE329" s="57">
        <f t="shared" si="11"/>
        <v>0.433056549545</v>
      </c>
      <c r="AF329" s="4">
        <v>6.8468166625</v>
      </c>
      <c r="AG329" s="70">
        <v>0.396914680059524</v>
      </c>
    </row>
    <row r="330" spans="1:33">
      <c r="A330" s="38">
        <v>45617</v>
      </c>
      <c r="B330" s="1">
        <v>45627</v>
      </c>
      <c r="C330" s="39">
        <v>0.414086008024072</v>
      </c>
      <c r="D330" s="1">
        <v>45315</v>
      </c>
      <c r="E330" s="40">
        <v>0.432539682539683</v>
      </c>
      <c r="F330" s="10">
        <v>78.2</v>
      </c>
      <c r="G330" s="40">
        <v>0.335203366058906</v>
      </c>
      <c r="H330" s="4">
        <v>221.6433347125</v>
      </c>
      <c r="I330" s="40">
        <v>0.255657356161375</v>
      </c>
      <c r="J330" s="4">
        <v>170.595834091666</v>
      </c>
      <c r="K330" s="40">
        <v>0.171235573191702</v>
      </c>
      <c r="L330" s="4">
        <v>14.2725000541667</v>
      </c>
      <c r="M330" s="40">
        <v>0.0301355748354465</v>
      </c>
      <c r="N330" s="13">
        <v>27.1</v>
      </c>
      <c r="O330" s="44">
        <v>0.179282868525896</v>
      </c>
      <c r="P330" s="4">
        <v>3.75</v>
      </c>
      <c r="Q330" s="40">
        <v>0.431168831168831</v>
      </c>
      <c r="R330" s="4">
        <v>7.06184342173913</v>
      </c>
      <c r="S330" s="40">
        <v>0.508911863354037</v>
      </c>
      <c r="T330" s="10">
        <v>3.2</v>
      </c>
      <c r="U330" s="40">
        <v>0.0588235294117648</v>
      </c>
      <c r="V330" s="4">
        <v>0.885625</v>
      </c>
      <c r="W330" s="54">
        <f t="shared" si="10"/>
        <v>0.306270374766</v>
      </c>
      <c r="X330" s="4">
        <v>10.5213333</v>
      </c>
      <c r="Y330" s="40">
        <v>0.242760826191292</v>
      </c>
      <c r="Z330" s="4">
        <v>0.299</v>
      </c>
      <c r="AA330" s="40">
        <v>0.03225</v>
      </c>
      <c r="AB330" s="9">
        <v>12.2289999583333</v>
      </c>
      <c r="AC330" s="57">
        <v>0.834719096441944</v>
      </c>
      <c r="AD330" s="9">
        <v>0.271016666666667</v>
      </c>
      <c r="AE330" s="57">
        <f t="shared" si="11"/>
        <v>0.420981159126</v>
      </c>
      <c r="AF330" s="4">
        <v>6.85439995416667</v>
      </c>
      <c r="AG330" s="70">
        <v>0.401428544146828</v>
      </c>
    </row>
    <row r="331" spans="1:33">
      <c r="A331" s="38">
        <v>45618</v>
      </c>
      <c r="B331" s="1">
        <v>41634</v>
      </c>
      <c r="C331" s="39">
        <v>0.288929287863591</v>
      </c>
      <c r="D331" s="1">
        <v>41539</v>
      </c>
      <c r="E331" s="40">
        <v>0.317277167277167</v>
      </c>
      <c r="F331" s="10">
        <v>79.1</v>
      </c>
      <c r="G331" s="40">
        <v>0.347826086956522</v>
      </c>
      <c r="H331" s="4">
        <v>209.9866676375</v>
      </c>
      <c r="I331" s="40">
        <v>0.109382201499561</v>
      </c>
      <c r="J331" s="4">
        <v>161.745833066666</v>
      </c>
      <c r="K331" s="40">
        <v>0.14969905596249</v>
      </c>
      <c r="L331" s="4">
        <v>22.3524998458333</v>
      </c>
      <c r="M331" s="40">
        <v>0.26827291028097</v>
      </c>
      <c r="N331" s="13">
        <v>26.4</v>
      </c>
      <c r="O331" s="44">
        <v>0.151394422310757</v>
      </c>
      <c r="P331" s="4">
        <v>4.14</v>
      </c>
      <c r="Q331" s="40">
        <v>0.532467532467532</v>
      </c>
      <c r="R331" s="4">
        <v>7.11706676666667</v>
      </c>
      <c r="S331" s="40">
        <v>0.5381305643739</v>
      </c>
      <c r="T331" s="10">
        <v>3.5</v>
      </c>
      <c r="U331" s="40">
        <v>0.147058823529412</v>
      </c>
      <c r="V331" s="4">
        <v>0.785208333333333</v>
      </c>
      <c r="W331" s="54">
        <f t="shared" si="10"/>
        <v>0.270908944156</v>
      </c>
      <c r="X331" s="4">
        <v>10.909600025</v>
      </c>
      <c r="Y331" s="40">
        <v>0.256071306993486</v>
      </c>
      <c r="Z331" s="4">
        <v>0.335333333333333</v>
      </c>
      <c r="AA331" s="40">
        <v>0.0413333333333332</v>
      </c>
      <c r="AB331" s="9">
        <v>11.9891667416667</v>
      </c>
      <c r="AC331" s="57">
        <v>0.807771544007494</v>
      </c>
      <c r="AD331" s="9">
        <v>0.273175</v>
      </c>
      <c r="AE331" s="57">
        <f t="shared" si="11"/>
        <v>0.425993220213</v>
      </c>
      <c r="AF331" s="4">
        <v>6.83765829583333</v>
      </c>
      <c r="AG331" s="70">
        <v>0.391463271329363</v>
      </c>
    </row>
    <row r="332" spans="1:33">
      <c r="A332" s="38">
        <v>45619</v>
      </c>
      <c r="B332" s="1">
        <v>47218</v>
      </c>
      <c r="C332" s="39">
        <v>0.463954363089268</v>
      </c>
      <c r="D332" s="1">
        <v>46828</v>
      </c>
      <c r="E332" s="40">
        <v>0.478724053724054</v>
      </c>
      <c r="F332" s="10">
        <v>79.4</v>
      </c>
      <c r="G332" s="40">
        <v>0.35203366058906</v>
      </c>
      <c r="H332" s="4">
        <v>201.813331595833</v>
      </c>
      <c r="I332" s="40">
        <v>0.00681806494959211</v>
      </c>
      <c r="J332" s="4">
        <v>155.504166125</v>
      </c>
      <c r="K332" s="40">
        <v>0.134509931436011</v>
      </c>
      <c r="L332" s="4">
        <v>20.3412498625</v>
      </c>
      <c r="M332" s="40">
        <v>0.208996459254347</v>
      </c>
      <c r="N332" s="13">
        <v>28.8</v>
      </c>
      <c r="O332" s="44">
        <v>0.247011952191235</v>
      </c>
      <c r="P332" s="4">
        <v>4.38</v>
      </c>
      <c r="Q332" s="40">
        <v>0.594805194805195</v>
      </c>
      <c r="R332" s="4">
        <v>7.12754742105263</v>
      </c>
      <c r="S332" s="40">
        <v>0.543675884154831</v>
      </c>
      <c r="T332" s="10">
        <v>3.4</v>
      </c>
      <c r="U332" s="40">
        <v>0.117647058823529</v>
      </c>
      <c r="V332" s="4">
        <v>0.785416666666667</v>
      </c>
      <c r="W332" s="54">
        <f t="shared" si="10"/>
        <v>0.270982308119</v>
      </c>
      <c r="X332" s="4">
        <v>10.8653999208333</v>
      </c>
      <c r="Y332" s="40">
        <v>0.254556048023082</v>
      </c>
      <c r="Z332" s="4">
        <v>0.194166666666667</v>
      </c>
      <c r="AA332" s="40">
        <v>0.00604166666666674</v>
      </c>
      <c r="AB332" s="9">
        <v>12.5015000583333</v>
      </c>
      <c r="AC332" s="57">
        <v>0.865337085205989</v>
      </c>
      <c r="AD332" s="9">
        <v>0.275525</v>
      </c>
      <c r="AE332" s="57">
        <f t="shared" si="11"/>
        <v>0.431450367806</v>
      </c>
      <c r="AF332" s="4">
        <v>6.82768329166667</v>
      </c>
      <c r="AG332" s="70">
        <v>0.385525768849208</v>
      </c>
    </row>
    <row r="333" spans="1:33">
      <c r="A333" s="38">
        <v>45620</v>
      </c>
      <c r="B333" s="1">
        <v>43871</v>
      </c>
      <c r="C333" s="39">
        <v>0.359045887662989</v>
      </c>
      <c r="D333" s="1">
        <v>43385</v>
      </c>
      <c r="E333" s="40">
        <v>0.373626373626374</v>
      </c>
      <c r="F333" s="10">
        <v>78.8</v>
      </c>
      <c r="G333" s="40">
        <v>0.343618513323983</v>
      </c>
      <c r="H333" s="4">
        <v>201.270003633333</v>
      </c>
      <c r="I333" s="40">
        <v>4.55933366102173e-8</v>
      </c>
      <c r="J333" s="4">
        <v>156.1375006125</v>
      </c>
      <c r="K333" s="40">
        <v>0.136051153754897</v>
      </c>
      <c r="L333" s="4">
        <v>20.9125000708333</v>
      </c>
      <c r="M333" s="40">
        <v>0.225832598609882</v>
      </c>
      <c r="N333" s="13">
        <v>30.6</v>
      </c>
      <c r="O333" s="44">
        <v>0.318725099601594</v>
      </c>
      <c r="P333" s="4">
        <v>4.75</v>
      </c>
      <c r="Q333" s="40">
        <v>0.690909090909091</v>
      </c>
      <c r="R333" s="4">
        <v>7.13537991</v>
      </c>
      <c r="S333" s="40">
        <v>0.547820058201059</v>
      </c>
      <c r="T333" s="10">
        <v>3.8</v>
      </c>
      <c r="U333" s="40">
        <v>0.235294117647059</v>
      </c>
      <c r="V333" s="4">
        <v>0.772916666666667</v>
      </c>
      <c r="W333" s="54">
        <f t="shared" si="10"/>
        <v>0.266580470284</v>
      </c>
      <c r="X333" s="4">
        <v>10.7839333666667</v>
      </c>
      <c r="Y333" s="40">
        <v>0.251763228202492</v>
      </c>
      <c r="Z333" s="4">
        <v>0.170583333333333</v>
      </c>
      <c r="AA333" s="40">
        <v>0.000145833333333248</v>
      </c>
      <c r="AB333" s="9">
        <v>12.8309166833333</v>
      </c>
      <c r="AC333" s="57">
        <v>0.902350189138573</v>
      </c>
      <c r="AD333" s="9">
        <v>0.268741666666667</v>
      </c>
      <c r="AE333" s="57">
        <f t="shared" si="11"/>
        <v>0.415698175818</v>
      </c>
      <c r="AF333" s="4">
        <v>6.83882496666667</v>
      </c>
      <c r="AG333" s="70">
        <v>0.39215771825397</v>
      </c>
    </row>
    <row r="334" spans="1:33">
      <c r="A334" s="38">
        <v>45621</v>
      </c>
      <c r="B334" s="1">
        <v>41657</v>
      </c>
      <c r="C334" s="39">
        <v>0.289650200601805</v>
      </c>
      <c r="D334" s="1">
        <v>41343</v>
      </c>
      <c r="E334" s="40">
        <v>0.311294261294261</v>
      </c>
      <c r="F334" s="10">
        <v>76.9</v>
      </c>
      <c r="G334" s="40">
        <v>0.316970546984572</v>
      </c>
      <c r="H334" s="4">
        <v>222.590000145833</v>
      </c>
      <c r="I334" s="40">
        <v>0.267536706560835</v>
      </c>
      <c r="J334" s="4">
        <v>173.60833295</v>
      </c>
      <c r="K334" s="40">
        <v>0.178566502689022</v>
      </c>
      <c r="L334" s="4">
        <v>33.5424998291667</v>
      </c>
      <c r="M334" s="40">
        <v>0.598069549931232</v>
      </c>
      <c r="N334" s="13">
        <v>35.8</v>
      </c>
      <c r="O334" s="44">
        <v>0.525896414342629</v>
      </c>
      <c r="P334" s="4">
        <v>4.18</v>
      </c>
      <c r="Q334" s="40">
        <v>0.542857142857143</v>
      </c>
      <c r="R334" s="4">
        <v>7.79</v>
      </c>
      <c r="S334" s="40">
        <v>0.894179894179894</v>
      </c>
      <c r="T334" s="10">
        <v>3.9</v>
      </c>
      <c r="U334" s="40">
        <v>0.264705882352941</v>
      </c>
      <c r="V334" s="4">
        <v>1.085</v>
      </c>
      <c r="W334" s="54">
        <f t="shared" si="10"/>
        <v>0.376479688239</v>
      </c>
      <c r="X334" s="4">
        <v>11.8100666958333</v>
      </c>
      <c r="Y334" s="40">
        <v>0.28694092203748</v>
      </c>
      <c r="Z334" s="4">
        <v>0.558083333333333</v>
      </c>
      <c r="AA334" s="40">
        <v>0.0970208333333333</v>
      </c>
      <c r="AB334" s="9">
        <v>12.3916666958333</v>
      </c>
      <c r="AC334" s="57">
        <v>0.852996257958798</v>
      </c>
      <c r="AD334" s="9">
        <v>0.27755</v>
      </c>
      <c r="AE334" s="57">
        <f t="shared" si="11"/>
        <v>0.436152803498</v>
      </c>
      <c r="AF334" s="4">
        <v>6.836899925</v>
      </c>
      <c r="AG334" s="70">
        <v>0.391011860119048</v>
      </c>
    </row>
    <row r="335" spans="1:33">
      <c r="A335" s="38">
        <v>45622</v>
      </c>
      <c r="B335" s="1">
        <v>42613</v>
      </c>
      <c r="C335" s="39">
        <v>0.319615095285858</v>
      </c>
      <c r="D335" s="1">
        <v>42003</v>
      </c>
      <c r="E335" s="40">
        <v>0.331440781440781</v>
      </c>
      <c r="F335" s="10">
        <v>77.1</v>
      </c>
      <c r="G335" s="40">
        <v>0.319775596072931</v>
      </c>
      <c r="H335" s="4">
        <v>211.823336291667</v>
      </c>
      <c r="I335" s="40">
        <v>0.132429869389723</v>
      </c>
      <c r="J335" s="4">
        <v>162.999999683333</v>
      </c>
      <c r="K335" s="40">
        <v>0.152751076055126</v>
      </c>
      <c r="L335" s="4">
        <v>44.3345834375</v>
      </c>
      <c r="M335" s="40">
        <v>0.916138621794872</v>
      </c>
      <c r="N335" s="13">
        <v>42.6</v>
      </c>
      <c r="O335" s="44">
        <v>0.796812749003984</v>
      </c>
      <c r="P335" s="4">
        <v>3.63</v>
      </c>
      <c r="Q335" s="40">
        <v>0.4</v>
      </c>
      <c r="R335" s="4">
        <v>7.92</v>
      </c>
      <c r="S335" s="40">
        <v>0.962962962962963</v>
      </c>
      <c r="T335" s="10">
        <v>3.2</v>
      </c>
      <c r="U335" s="40">
        <v>0.0588235294117648</v>
      </c>
      <c r="V335" s="4">
        <v>0.770833333333333</v>
      </c>
      <c r="W335" s="54">
        <f t="shared" si="10"/>
        <v>0.265846830645</v>
      </c>
      <c r="X335" s="4">
        <v>13.9715333</v>
      </c>
      <c r="Y335" s="40">
        <v>0.361039880013713</v>
      </c>
      <c r="Z335" s="4">
        <v>0.43625</v>
      </c>
      <c r="AA335" s="40">
        <v>0.0665625</v>
      </c>
      <c r="AB335" s="4">
        <v>11.6609999833333</v>
      </c>
      <c r="AC335" s="40">
        <v>0.770898874531831</v>
      </c>
      <c r="AD335" s="4">
        <v>0.285808333333333</v>
      </c>
      <c r="AE335" s="57">
        <f t="shared" si="11"/>
        <v>0.455330226422</v>
      </c>
      <c r="AF335" s="4">
        <v>6.82097500416667</v>
      </c>
      <c r="AG335" s="70">
        <v>0.381532740575399</v>
      </c>
    </row>
    <row r="336" spans="1:33">
      <c r="A336" s="38">
        <v>45623</v>
      </c>
      <c r="B336" s="1">
        <v>42657</v>
      </c>
      <c r="C336" s="39">
        <v>0.320994232698094</v>
      </c>
      <c r="D336" s="1">
        <v>42354</v>
      </c>
      <c r="E336" s="40">
        <v>0.342155067155067</v>
      </c>
      <c r="F336" s="10">
        <v>77.4</v>
      </c>
      <c r="G336" s="40">
        <v>0.32398316970547</v>
      </c>
      <c r="H336" s="4">
        <v>220.9000028</v>
      </c>
      <c r="I336" s="40">
        <v>0.246329562052955</v>
      </c>
      <c r="J336" s="4">
        <v>159.675000508333</v>
      </c>
      <c r="K336" s="40">
        <v>0.14465967563413</v>
      </c>
      <c r="L336" s="4">
        <v>43.7787501083333</v>
      </c>
      <c r="M336" s="40">
        <v>0.899756855535906</v>
      </c>
      <c r="N336" s="13">
        <v>44.9</v>
      </c>
      <c r="O336" s="44">
        <v>0.888446215139442</v>
      </c>
      <c r="P336" s="4">
        <v>4.35</v>
      </c>
      <c r="Q336" s="40">
        <v>0.587012987012987</v>
      </c>
      <c r="R336" s="4">
        <v>7.96</v>
      </c>
      <c r="S336" s="40">
        <v>0.984126984126984</v>
      </c>
      <c r="T336" s="11">
        <v>3.7</v>
      </c>
      <c r="U336" s="40">
        <v>0.205882352941177</v>
      </c>
      <c r="V336" s="4">
        <v>0.764583333333333</v>
      </c>
      <c r="W336" s="54">
        <f t="shared" si="10"/>
        <v>0.263645911727</v>
      </c>
      <c r="X336" s="4">
        <v>13.9099999708333</v>
      </c>
      <c r="Y336" s="40">
        <v>0.35893040695349</v>
      </c>
      <c r="Z336" s="4">
        <v>0.4525</v>
      </c>
      <c r="AA336" s="40">
        <v>0.070625</v>
      </c>
      <c r="AB336" s="4">
        <v>12.4250832875</v>
      </c>
      <c r="AC336" s="40">
        <v>0.856750931179775</v>
      </c>
      <c r="AD336" s="4">
        <v>0.296441666666667</v>
      </c>
      <c r="AE336" s="57">
        <f t="shared" si="11"/>
        <v>0.4800228517</v>
      </c>
      <c r="AF336" s="4">
        <v>6.78171667083333</v>
      </c>
      <c r="AG336" s="70">
        <v>0.358164685019839</v>
      </c>
    </row>
    <row r="337" spans="1:33">
      <c r="A337" s="38">
        <v>45624</v>
      </c>
      <c r="B337" s="1">
        <v>46093</v>
      </c>
      <c r="C337" s="39">
        <v>0.428692326980943</v>
      </c>
      <c r="D337" s="1">
        <v>45894</v>
      </c>
      <c r="E337" s="40">
        <v>0.450213675213675</v>
      </c>
      <c r="F337" s="10">
        <v>78.3</v>
      </c>
      <c r="G337" s="40">
        <v>0.336605890603086</v>
      </c>
      <c r="H337" s="4">
        <v>210.6966711625</v>
      </c>
      <c r="I337" s="40">
        <v>0.118291770140544</v>
      </c>
      <c r="J337" s="4">
        <v>155.4875000375</v>
      </c>
      <c r="K337" s="40">
        <v>0.134469374437252</v>
      </c>
      <c r="L337" s="4">
        <v>43.4604163125</v>
      </c>
      <c r="M337" s="40">
        <v>0.890374780798703</v>
      </c>
      <c r="N337" s="13">
        <v>45.8</v>
      </c>
      <c r="O337" s="44">
        <v>0.924302788844621</v>
      </c>
      <c r="P337" s="4">
        <v>4.42</v>
      </c>
      <c r="Q337" s="40">
        <v>0.605194805194805</v>
      </c>
      <c r="R337" s="4">
        <v>7.11404167916667</v>
      </c>
      <c r="S337" s="40">
        <v>0.536529988977074</v>
      </c>
      <c r="T337" s="10">
        <v>4</v>
      </c>
      <c r="U337" s="40">
        <v>0.294117647058824</v>
      </c>
      <c r="V337" s="4">
        <v>1.07145833333333</v>
      </c>
      <c r="W337" s="54">
        <f t="shared" si="10"/>
        <v>0.371711030584</v>
      </c>
      <c r="X337" s="4">
        <v>13.8458667541667</v>
      </c>
      <c r="Y337" s="40">
        <v>0.356731805079421</v>
      </c>
      <c r="Z337" s="4">
        <v>0.431083333333333</v>
      </c>
      <c r="AA337" s="40">
        <v>0.0652708333333332</v>
      </c>
      <c r="AB337" s="4">
        <v>12.8247500666667</v>
      </c>
      <c r="AC337" s="40">
        <v>0.901657310861427</v>
      </c>
      <c r="AD337" s="4">
        <v>0.302783333333333</v>
      </c>
      <c r="AE337" s="57">
        <f t="shared" si="11"/>
        <v>0.494749409566</v>
      </c>
      <c r="AF337" s="4">
        <v>6.79355831666667</v>
      </c>
      <c r="AG337" s="70">
        <v>0.365213283730161</v>
      </c>
    </row>
    <row r="338" spans="1:33">
      <c r="A338" s="38">
        <v>45625</v>
      </c>
      <c r="B338" s="1">
        <v>47820</v>
      </c>
      <c r="C338" s="39">
        <v>0.482823470411234</v>
      </c>
      <c r="D338" s="1">
        <v>47314</v>
      </c>
      <c r="E338" s="40">
        <v>0.493559218559219</v>
      </c>
      <c r="F338" s="10">
        <v>79.1</v>
      </c>
      <c r="G338" s="40">
        <v>0.347826086956522</v>
      </c>
      <c r="H338" s="4">
        <v>250.880000420833</v>
      </c>
      <c r="I338" s="40">
        <v>0.622537337443004</v>
      </c>
      <c r="J338" s="4">
        <v>153.291666516666</v>
      </c>
      <c r="K338" s="40">
        <v>0.129125803705415</v>
      </c>
      <c r="L338" s="4">
        <v>43.7629173708333</v>
      </c>
      <c r="M338" s="40">
        <v>0.899290226078199</v>
      </c>
      <c r="N338" s="13">
        <v>42.3</v>
      </c>
      <c r="O338" s="44">
        <v>0.784860557768924</v>
      </c>
      <c r="P338" s="4">
        <v>3.74</v>
      </c>
      <c r="Q338" s="40">
        <v>0.428571428571429</v>
      </c>
      <c r="R338" s="4">
        <v>7.06184342173913</v>
      </c>
      <c r="S338" s="40">
        <v>0.508911863354037</v>
      </c>
      <c r="T338" s="10">
        <v>4.1</v>
      </c>
      <c r="U338" s="40">
        <v>0.323529411764706</v>
      </c>
      <c r="V338" s="4">
        <v>1.085</v>
      </c>
      <c r="W338" s="54">
        <f t="shared" si="10"/>
        <v>0.376479688239</v>
      </c>
      <c r="X338" s="4">
        <v>14.2714001333333</v>
      </c>
      <c r="Y338" s="40">
        <v>0.371319853731001</v>
      </c>
      <c r="Z338" s="4">
        <v>0.304916666666667</v>
      </c>
      <c r="AA338" s="40">
        <v>0.0337291666666667</v>
      </c>
      <c r="AB338" s="4">
        <v>12.90625</v>
      </c>
      <c r="AC338" s="40">
        <v>0.910814606741573</v>
      </c>
      <c r="AD338" s="4">
        <v>0.30445</v>
      </c>
      <c r="AE338" s="57">
        <f t="shared" si="11"/>
        <v>0.498619727008</v>
      </c>
      <c r="AF338" s="4">
        <v>6.75750838333333</v>
      </c>
      <c r="AG338" s="70">
        <v>0.343754990079363</v>
      </c>
    </row>
    <row r="339" spans="1:33">
      <c r="A339" s="38">
        <v>45626</v>
      </c>
      <c r="B339" s="1">
        <v>46218</v>
      </c>
      <c r="C339" s="39">
        <v>0.432610330992979</v>
      </c>
      <c r="D339" s="1">
        <v>45960</v>
      </c>
      <c r="E339" s="40">
        <v>0.452228327228327</v>
      </c>
      <c r="F339" s="11">
        <v>80.2</v>
      </c>
      <c r="G339" s="40">
        <v>0.363253856942497</v>
      </c>
      <c r="H339" s="4">
        <v>211.916668570833</v>
      </c>
      <c r="I339" s="40">
        <v>0.133601061247747</v>
      </c>
      <c r="J339" s="4">
        <v>156.600000391666</v>
      </c>
      <c r="K339" s="40">
        <v>0.137176649044037</v>
      </c>
      <c r="L339" s="4">
        <v>38.7199999541667</v>
      </c>
      <c r="M339" s="40">
        <v>0.750663128622655</v>
      </c>
      <c r="N339" s="13">
        <v>40.9</v>
      </c>
      <c r="O339" s="44">
        <v>0.729083665338645</v>
      </c>
      <c r="P339" s="4">
        <v>4.22</v>
      </c>
      <c r="Q339" s="40">
        <v>0.553246753246753</v>
      </c>
      <c r="R339" s="4">
        <v>7.11706676666667</v>
      </c>
      <c r="S339" s="40">
        <v>0.5381305643739</v>
      </c>
      <c r="T339" s="13">
        <v>3.7</v>
      </c>
      <c r="U339" s="40">
        <v>0.205882352941177</v>
      </c>
      <c r="V339" s="4">
        <v>0.881875</v>
      </c>
      <c r="W339" s="54">
        <f t="shared" si="10"/>
        <v>0.304949823415</v>
      </c>
      <c r="X339" s="4">
        <v>14.6908667541667</v>
      </c>
      <c r="Y339" s="40">
        <v>0.3856999230088</v>
      </c>
      <c r="Z339" s="4">
        <v>0.289333333333333</v>
      </c>
      <c r="AA339" s="40">
        <v>0.0298333333333332</v>
      </c>
      <c r="AB339" s="4">
        <v>12.4665833291667</v>
      </c>
      <c r="AC339" s="40">
        <v>0.861413857209742</v>
      </c>
      <c r="AD339" s="4">
        <v>0.314333333333333</v>
      </c>
      <c r="AE339" s="57">
        <f t="shared" si="11"/>
        <v>0.521570709438</v>
      </c>
      <c r="AF339" s="4">
        <v>6.7900583125</v>
      </c>
      <c r="AG339" s="70">
        <v>0.363129947916667</v>
      </c>
    </row>
    <row r="340" spans="1:33">
      <c r="A340" s="38">
        <v>45627</v>
      </c>
      <c r="B340" s="1">
        <v>47653</v>
      </c>
      <c r="C340" s="39">
        <v>0.477589017051153</v>
      </c>
      <c r="D340" s="1">
        <v>48992</v>
      </c>
      <c r="E340" s="40">
        <v>0.54478021978022</v>
      </c>
      <c r="F340" s="10">
        <v>80.4</v>
      </c>
      <c r="G340" s="40">
        <v>0.366058906030856</v>
      </c>
      <c r="H340" s="4">
        <v>244.629332943096</v>
      </c>
      <c r="I340" s="40">
        <v>0.544100049480436</v>
      </c>
      <c r="J340" s="4">
        <v>113.276279667925</v>
      </c>
      <c r="K340" s="40">
        <v>0.0317481801472878</v>
      </c>
      <c r="L340" s="4">
        <v>43.7143405196975</v>
      </c>
      <c r="M340" s="40">
        <v>0.89785854758908</v>
      </c>
      <c r="N340" s="13">
        <v>41.4</v>
      </c>
      <c r="O340" s="44">
        <v>0.749003984063745</v>
      </c>
      <c r="P340" s="4">
        <v>4.49</v>
      </c>
      <c r="Q340" s="40">
        <v>0.623376623376623</v>
      </c>
      <c r="R340" s="4">
        <v>7.47345012842354</v>
      </c>
      <c r="S340" s="40">
        <v>0.726693189642085</v>
      </c>
      <c r="T340" s="11">
        <v>3.4</v>
      </c>
      <c r="U340" s="40">
        <v>0.117647058823529</v>
      </c>
      <c r="V340" s="4">
        <v>0.435331115153525</v>
      </c>
      <c r="W340" s="54">
        <f t="shared" si="10"/>
        <v>0.14770072202</v>
      </c>
      <c r="X340" s="4">
        <v>13.1871998625</v>
      </c>
      <c r="Y340" s="40">
        <v>0.334151520826191</v>
      </c>
      <c r="Z340" s="4">
        <v>0.436333329166667</v>
      </c>
      <c r="AA340" s="40">
        <v>0.0665833322916667</v>
      </c>
      <c r="AB340" s="9">
        <v>12.4386667083333</v>
      </c>
      <c r="AC340" s="57">
        <v>0.858277158239697</v>
      </c>
      <c r="AD340" s="9">
        <v>0.320191666666667</v>
      </c>
      <c r="AE340" s="57">
        <f t="shared" si="11"/>
        <v>0.535174875245</v>
      </c>
      <c r="AF340" s="4">
        <v>6.78113334583333</v>
      </c>
      <c r="AG340" s="70">
        <v>0.357817467757934</v>
      </c>
    </row>
    <row r="341" spans="1:33">
      <c r="A341" s="38">
        <v>45628</v>
      </c>
      <c r="B341" s="1">
        <v>40793</v>
      </c>
      <c r="C341" s="39">
        <v>0.262568956870612</v>
      </c>
      <c r="D341" s="1">
        <v>40269</v>
      </c>
      <c r="E341" s="40">
        <v>0.278510378510379</v>
      </c>
      <c r="F341" s="10">
        <v>82.3</v>
      </c>
      <c r="G341" s="40">
        <v>0.392706872370266</v>
      </c>
      <c r="H341" s="4">
        <v>250.65048680725</v>
      </c>
      <c r="I341" s="40">
        <v>0.61965725696135</v>
      </c>
      <c r="J341" s="4">
        <v>178.573801414662</v>
      </c>
      <c r="K341" s="40">
        <v>0.190649992491816</v>
      </c>
      <c r="L341" s="4">
        <v>44.7736480167352</v>
      </c>
      <c r="M341" s="40">
        <v>0.929078927696292</v>
      </c>
      <c r="N341" s="13">
        <v>42.4</v>
      </c>
      <c r="O341" s="44">
        <v>0.788844621513944</v>
      </c>
      <c r="P341" s="4">
        <v>4.52</v>
      </c>
      <c r="Q341" s="40">
        <v>0.631168831168831</v>
      </c>
      <c r="R341" s="4">
        <v>7.92112747507735</v>
      </c>
      <c r="S341" s="40">
        <v>0.963559510622937</v>
      </c>
      <c r="T341" s="10">
        <v>3.8</v>
      </c>
      <c r="U341" s="40">
        <v>0.235294117647059</v>
      </c>
      <c r="V341" s="4">
        <v>0.54176825460982</v>
      </c>
      <c r="W341" s="54">
        <f t="shared" si="10"/>
        <v>0.185182244223</v>
      </c>
      <c r="X341" s="4">
        <v>12.9116000416667</v>
      </c>
      <c r="Y341" s="40">
        <v>0.324703463889842</v>
      </c>
      <c r="Z341" s="4">
        <v>0.451750004166667</v>
      </c>
      <c r="AA341" s="40">
        <v>0.0704375010416667</v>
      </c>
      <c r="AB341" s="9">
        <v>12.3819999</v>
      </c>
      <c r="AC341" s="57">
        <v>0.851910101123596</v>
      </c>
      <c r="AD341" s="9">
        <v>0.29885</v>
      </c>
      <c r="AE341" s="57">
        <f t="shared" si="11"/>
        <v>0.485615460404</v>
      </c>
      <c r="AF341" s="4">
        <v>6.79997492916667</v>
      </c>
      <c r="AG341" s="70">
        <v>0.369032695932542</v>
      </c>
    </row>
    <row r="342" spans="1:33">
      <c r="A342" s="38">
        <v>45629</v>
      </c>
      <c r="B342" s="1">
        <v>44038</v>
      </c>
      <c r="C342" s="39">
        <v>0.364280341023069</v>
      </c>
      <c r="D342" s="1">
        <v>45279</v>
      </c>
      <c r="E342" s="40">
        <v>0.431440781440781</v>
      </c>
      <c r="F342" s="10">
        <v>79.6</v>
      </c>
      <c r="G342" s="40">
        <v>0.354838709677419</v>
      </c>
      <c r="H342" s="4">
        <v>259.01317792128</v>
      </c>
      <c r="I342" s="40">
        <v>0.72459753948149</v>
      </c>
      <c r="J342" s="4">
        <v>134.830937299071</v>
      </c>
      <c r="K342" s="40">
        <v>0.0842015362691237</v>
      </c>
      <c r="L342" s="4">
        <v>33.092767922818</v>
      </c>
      <c r="M342" s="40">
        <v>0.584814851836664</v>
      </c>
      <c r="N342" s="13">
        <v>44.1</v>
      </c>
      <c r="O342" s="44">
        <v>0.856573705179283</v>
      </c>
      <c r="P342" s="4">
        <v>3.51</v>
      </c>
      <c r="Q342" s="40">
        <v>0.368831168831169</v>
      </c>
      <c r="R342" s="4">
        <v>7.20271985134898</v>
      </c>
      <c r="S342" s="40">
        <v>0.583449656798402</v>
      </c>
      <c r="T342" s="10">
        <v>3.6</v>
      </c>
      <c r="U342" s="40">
        <v>0.176470588235294</v>
      </c>
      <c r="V342" s="4">
        <v>1.68642568240505</v>
      </c>
      <c r="W342" s="54">
        <f t="shared" si="10"/>
        <v>0.588269954153</v>
      </c>
      <c r="X342" s="4">
        <v>13.3795999666667</v>
      </c>
      <c r="Y342" s="40">
        <v>0.340747342018056</v>
      </c>
      <c r="Z342" s="4">
        <v>0.3365</v>
      </c>
      <c r="AA342" s="40">
        <v>0.041625</v>
      </c>
      <c r="AB342" s="9">
        <v>11.6580832833333</v>
      </c>
      <c r="AC342" s="57">
        <v>0.770571155430708</v>
      </c>
      <c r="AD342" s="9">
        <v>0.297391666666667</v>
      </c>
      <c r="AE342" s="57">
        <f t="shared" si="11"/>
        <v>0.482228932642</v>
      </c>
      <c r="AF342" s="4">
        <v>6.83083334583333</v>
      </c>
      <c r="AG342" s="70">
        <v>0.387400801091268</v>
      </c>
    </row>
    <row r="343" spans="1:33">
      <c r="A343" s="38">
        <v>45630</v>
      </c>
      <c r="B343" s="1">
        <v>33985</v>
      </c>
      <c r="C343" s="39">
        <v>0.0491787863590772</v>
      </c>
      <c r="D343" s="1">
        <v>35892</v>
      </c>
      <c r="E343" s="40">
        <v>0.14490231990232</v>
      </c>
      <c r="F343" s="10">
        <v>79.2</v>
      </c>
      <c r="G343" s="40">
        <v>0.349228611500701</v>
      </c>
      <c r="H343" s="4">
        <v>240.169221713119</v>
      </c>
      <c r="I343" s="40">
        <v>0.488131782069507</v>
      </c>
      <c r="J343" s="4">
        <v>176.299337798283</v>
      </c>
      <c r="K343" s="40">
        <v>0.185115075069435</v>
      </c>
      <c r="L343" s="4">
        <v>35.6150798486323</v>
      </c>
      <c r="M343" s="40">
        <v>0.659153546968237</v>
      </c>
      <c r="N343" s="13">
        <v>42.7</v>
      </c>
      <c r="O343" s="44">
        <v>0.800796812749004</v>
      </c>
      <c r="P343" s="4">
        <v>3.96</v>
      </c>
      <c r="Q343" s="40">
        <v>0.485714285714286</v>
      </c>
      <c r="R343" s="4">
        <v>7.53261598073494</v>
      </c>
      <c r="S343" s="40">
        <v>0.75799787340473</v>
      </c>
      <c r="T343" s="10">
        <v>3.7</v>
      </c>
      <c r="U343" s="40">
        <v>0.205882352941177</v>
      </c>
      <c r="V343" s="4">
        <v>0.680450286030936</v>
      </c>
      <c r="W343" s="54">
        <f t="shared" si="10"/>
        <v>0.234018709262</v>
      </c>
      <c r="X343" s="4">
        <v>13.4809999875</v>
      </c>
      <c r="Y343" s="40">
        <v>0.344223516883785</v>
      </c>
      <c r="Z343" s="4">
        <v>0.461083333333333</v>
      </c>
      <c r="AA343" s="40">
        <v>0.0727708333333333</v>
      </c>
      <c r="AB343" s="9">
        <v>10.5897500541667</v>
      </c>
      <c r="AC343" s="57">
        <v>0.650533713951315</v>
      </c>
      <c r="AD343" s="9">
        <v>0.291683333333333</v>
      </c>
      <c r="AE343" s="57">
        <f t="shared" si="11"/>
        <v>0.468973095404</v>
      </c>
      <c r="AF343" s="4">
        <v>6.80102495416667</v>
      </c>
      <c r="AG343" s="70">
        <v>0.369657710813494</v>
      </c>
    </row>
    <row r="344" spans="1:33">
      <c r="A344" s="38">
        <v>45631</v>
      </c>
      <c r="B344" s="1">
        <v>41221</v>
      </c>
      <c r="C344" s="39">
        <v>0.275984202607823</v>
      </c>
      <c r="D344" s="1">
        <v>40602</v>
      </c>
      <c r="E344" s="40">
        <v>0.288675213675214</v>
      </c>
      <c r="F344" s="10">
        <v>78.9</v>
      </c>
      <c r="G344" s="40">
        <v>0.345021037868163</v>
      </c>
      <c r="H344" s="4">
        <v>243.100670748695</v>
      </c>
      <c r="I344" s="40">
        <v>0.524917439436504</v>
      </c>
      <c r="J344" s="4">
        <v>178.11018876537</v>
      </c>
      <c r="K344" s="40">
        <v>0.189521789028229</v>
      </c>
      <c r="L344" s="4">
        <v>43.9597394425986</v>
      </c>
      <c r="M344" s="40">
        <v>0.905091053421709</v>
      </c>
      <c r="N344" s="13">
        <v>41.9</v>
      </c>
      <c r="O344" s="44">
        <v>0.768924302788844</v>
      </c>
      <c r="P344" s="4">
        <v>4.81</v>
      </c>
      <c r="Q344" s="40">
        <v>0.706493506493506</v>
      </c>
      <c r="R344" s="4">
        <v>7.98680357329007</v>
      </c>
      <c r="S344" s="40">
        <v>0.998308768936545</v>
      </c>
      <c r="T344" s="10">
        <v>3.5</v>
      </c>
      <c r="U344" s="40">
        <v>0.147058823529412</v>
      </c>
      <c r="V344" s="4">
        <v>0.399847871884158</v>
      </c>
      <c r="W344" s="54">
        <f t="shared" si="10"/>
        <v>0.135205403401</v>
      </c>
      <c r="X344" s="4">
        <v>13.9628666708333</v>
      </c>
      <c r="Y344" s="40">
        <v>0.360742772397439</v>
      </c>
      <c r="Z344" s="4">
        <v>0.37025</v>
      </c>
      <c r="AA344" s="40">
        <v>0.0500625</v>
      </c>
      <c r="AB344" s="9">
        <v>11.3978333041667</v>
      </c>
      <c r="AC344" s="57">
        <v>0.741329584737831</v>
      </c>
      <c r="AD344" s="9">
        <v>0.278166666666667</v>
      </c>
      <c r="AE344" s="57">
        <f t="shared" si="11"/>
        <v>0.437584820952</v>
      </c>
      <c r="AF344" s="4">
        <v>6.69585003333333</v>
      </c>
      <c r="AG344" s="70">
        <v>0.307053591269839</v>
      </c>
    </row>
    <row r="345" spans="1:33">
      <c r="A345" s="38">
        <v>45632</v>
      </c>
      <c r="B345" s="1">
        <v>42329</v>
      </c>
      <c r="C345" s="39">
        <v>0.310713390170512</v>
      </c>
      <c r="D345" s="1">
        <v>47100</v>
      </c>
      <c r="E345" s="40">
        <v>0.487026862026862</v>
      </c>
      <c r="F345" s="10">
        <v>79.3</v>
      </c>
      <c r="G345" s="40">
        <v>0.350631136044881</v>
      </c>
      <c r="H345" s="4">
        <v>257.292481035312</v>
      </c>
      <c r="I345" s="40">
        <v>0.703005157928372</v>
      </c>
      <c r="J345" s="4">
        <v>123.538453043104</v>
      </c>
      <c r="K345" s="40">
        <v>0.0567212251310539</v>
      </c>
      <c r="L345" s="4">
        <v>28.3671316999873</v>
      </c>
      <c r="M345" s="40">
        <v>0.445538806365673</v>
      </c>
      <c r="N345" s="13">
        <v>43.6</v>
      </c>
      <c r="O345" s="44">
        <v>0.836653386454183</v>
      </c>
      <c r="P345" s="4">
        <v>3.93</v>
      </c>
      <c r="Q345" s="40">
        <v>0.477922077922078</v>
      </c>
      <c r="R345" s="4">
        <v>7.62851051189701</v>
      </c>
      <c r="S345" s="40">
        <v>0.808735720580429</v>
      </c>
      <c r="T345" s="10">
        <v>3.3</v>
      </c>
      <c r="U345" s="40">
        <v>0.088235294117647</v>
      </c>
      <c r="V345" s="4">
        <v>0.891862430113873</v>
      </c>
      <c r="W345" s="54">
        <f t="shared" si="10"/>
        <v>0.308466867235</v>
      </c>
      <c r="X345" s="4">
        <v>13.5018000208333</v>
      </c>
      <c r="Y345" s="40">
        <v>0.344936579390926</v>
      </c>
      <c r="Z345" s="4">
        <v>0.408916666666667</v>
      </c>
      <c r="AA345" s="40">
        <v>0.0597291666666667</v>
      </c>
      <c r="AB345" s="9">
        <v>12.0930832541667</v>
      </c>
      <c r="AC345" s="57">
        <v>0.819447556647944</v>
      </c>
      <c r="AD345" s="9">
        <v>0.280925</v>
      </c>
      <c r="AE345" s="57">
        <f t="shared" si="11"/>
        <v>0.443990196318</v>
      </c>
      <c r="AF345" s="4">
        <v>6.6815583125</v>
      </c>
      <c r="AG345" s="70">
        <v>0.298546614583333</v>
      </c>
    </row>
    <row r="346" spans="1:33">
      <c r="A346" s="38">
        <v>45633</v>
      </c>
      <c r="B346" s="1">
        <v>42624</v>
      </c>
      <c r="C346" s="39">
        <v>0.319959879638917</v>
      </c>
      <c r="D346" s="1">
        <v>37777</v>
      </c>
      <c r="E346" s="40">
        <v>0.202442002442002</v>
      </c>
      <c r="F346" s="10">
        <v>78.8</v>
      </c>
      <c r="G346" s="40">
        <v>0.343618513323983</v>
      </c>
      <c r="H346" s="4">
        <v>250.55857551241</v>
      </c>
      <c r="I346" s="40">
        <v>0.618503896504078</v>
      </c>
      <c r="J346" s="4">
        <v>128.061817060563</v>
      </c>
      <c r="K346" s="40">
        <v>0.0677288517766115</v>
      </c>
      <c r="L346" s="4">
        <v>36.6561929894612</v>
      </c>
      <c r="M346" s="40">
        <v>0.689837694944333</v>
      </c>
      <c r="N346" s="13">
        <v>44.8</v>
      </c>
      <c r="O346" s="44">
        <v>0.884462151394422</v>
      </c>
      <c r="P346" s="4">
        <v>4.23</v>
      </c>
      <c r="Q346" s="40">
        <v>0.555844155844156</v>
      </c>
      <c r="R346" s="4">
        <v>7.70968360470522</v>
      </c>
      <c r="S346" s="40">
        <v>0.851684446933979</v>
      </c>
      <c r="T346" s="10">
        <v>3.6</v>
      </c>
      <c r="U346" s="40">
        <v>0.176470588235294</v>
      </c>
      <c r="V346" s="4">
        <v>1.01428079007825</v>
      </c>
      <c r="W346" s="54">
        <f t="shared" si="10"/>
        <v>0.351576128725</v>
      </c>
      <c r="X346" s="4">
        <v>13.1958667125</v>
      </c>
      <c r="Y346" s="40">
        <v>0.334448636013027</v>
      </c>
      <c r="Z346" s="4">
        <v>0.468916666666667</v>
      </c>
      <c r="AA346" s="40">
        <v>0.0747291666666667</v>
      </c>
      <c r="AB346" s="9">
        <v>11.8225000333333</v>
      </c>
      <c r="AC346" s="57">
        <v>0.789044947565539</v>
      </c>
      <c r="AD346" s="9">
        <v>0.253475</v>
      </c>
      <c r="AE346" s="57">
        <f t="shared" si="11"/>
        <v>0.380246068052</v>
      </c>
      <c r="AF346" s="4">
        <v>6.69725005833333</v>
      </c>
      <c r="AG346" s="70">
        <v>0.307886939484125</v>
      </c>
    </row>
    <row r="347" spans="1:33">
      <c r="A347" s="38">
        <v>45634</v>
      </c>
      <c r="B347" s="1">
        <v>39848</v>
      </c>
      <c r="C347" s="39">
        <v>0.232948846539619</v>
      </c>
      <c r="D347" s="1">
        <v>38759</v>
      </c>
      <c r="E347" s="40">
        <v>0.232417582417582</v>
      </c>
      <c r="F347" s="10">
        <v>77.1</v>
      </c>
      <c r="G347" s="40">
        <v>0.319775596072931</v>
      </c>
      <c r="H347" s="4">
        <v>231.203244583729</v>
      </c>
      <c r="I347" s="40">
        <v>0.375621089016552</v>
      </c>
      <c r="J347" s="4">
        <v>161.771034640163</v>
      </c>
      <c r="K347" s="40">
        <v>0.149760384104745</v>
      </c>
      <c r="L347" s="4">
        <v>30.8021468355105</v>
      </c>
      <c r="M347" s="40">
        <v>0.517304651798128</v>
      </c>
      <c r="N347" s="13">
        <v>45.6</v>
      </c>
      <c r="O347" s="44">
        <v>0.916334661354582</v>
      </c>
      <c r="P347" s="4">
        <v>4.43</v>
      </c>
      <c r="Q347" s="40">
        <v>0.607792207792208</v>
      </c>
      <c r="R347" s="4">
        <v>7.31764277856641</v>
      </c>
      <c r="S347" s="40">
        <v>0.644255438394926</v>
      </c>
      <c r="T347" s="11">
        <v>3.9</v>
      </c>
      <c r="U347" s="40">
        <v>0.264705882352941</v>
      </c>
      <c r="V347" s="4">
        <v>0.815480636090011</v>
      </c>
      <c r="W347" s="54">
        <f t="shared" si="10"/>
        <v>0.281569245566</v>
      </c>
      <c r="X347" s="4">
        <v>13.5728665666667</v>
      </c>
      <c r="Y347" s="40">
        <v>0.34737286824363</v>
      </c>
      <c r="Z347" s="4">
        <v>0.42275</v>
      </c>
      <c r="AA347" s="40">
        <v>0.0631875</v>
      </c>
      <c r="AB347" s="9">
        <v>11.0424166875</v>
      </c>
      <c r="AC347" s="57">
        <v>0.701395133426966</v>
      </c>
      <c r="AD347" s="9">
        <v>0.23955</v>
      </c>
      <c r="AE347" s="57">
        <f t="shared" si="11"/>
        <v>0.347909565826</v>
      </c>
      <c r="AF347" s="4">
        <v>6.71842512083333</v>
      </c>
      <c r="AG347" s="70">
        <v>0.320491143353173</v>
      </c>
    </row>
    <row r="348" spans="1:33">
      <c r="A348" s="38">
        <v>45635</v>
      </c>
      <c r="B348" s="1">
        <v>38409</v>
      </c>
      <c r="C348" s="39">
        <v>0.187844784353059</v>
      </c>
      <c r="D348" s="1">
        <v>36253</v>
      </c>
      <c r="E348" s="40">
        <v>0.155921855921856</v>
      </c>
      <c r="F348" s="10">
        <v>75.4</v>
      </c>
      <c r="G348" s="40">
        <v>0.29593267882188</v>
      </c>
      <c r="H348" s="4">
        <v>208.648373686082</v>
      </c>
      <c r="I348" s="40">
        <v>0.092588451324909</v>
      </c>
      <c r="J348" s="4">
        <v>155.559097258277</v>
      </c>
      <c r="K348" s="40">
        <v>0.134643606595471</v>
      </c>
      <c r="L348" s="4">
        <v>43.0574946494164</v>
      </c>
      <c r="M348" s="40">
        <v>0.878499694943012</v>
      </c>
      <c r="N348" s="13">
        <v>44.2</v>
      </c>
      <c r="O348" s="44">
        <v>0.860557768924303</v>
      </c>
      <c r="P348" s="4">
        <v>4.63</v>
      </c>
      <c r="Q348" s="40">
        <v>0.65974025974026</v>
      </c>
      <c r="R348" s="4">
        <v>7.73652004387257</v>
      </c>
      <c r="S348" s="40">
        <v>0.865883621096598</v>
      </c>
      <c r="T348" s="10">
        <v>3.5</v>
      </c>
      <c r="U348" s="40">
        <v>0.147058823529412</v>
      </c>
      <c r="V348" s="4">
        <v>0.19091046359663</v>
      </c>
      <c r="W348" s="54">
        <f t="shared" si="10"/>
        <v>0.06162871628</v>
      </c>
      <c r="X348" s="4">
        <v>14.6691998666667</v>
      </c>
      <c r="Y348" s="40">
        <v>0.384957143183637</v>
      </c>
      <c r="Z348" s="4">
        <v>0.6349166625</v>
      </c>
      <c r="AA348" s="40">
        <v>0.116229165625</v>
      </c>
      <c r="AB348" s="9">
        <v>11.4349166958333</v>
      </c>
      <c r="AC348" s="57">
        <v>0.745496257958798</v>
      </c>
      <c r="AD348" s="9">
        <v>0.228975</v>
      </c>
      <c r="AE348" s="57">
        <f t="shared" si="11"/>
        <v>0.323352401658</v>
      </c>
      <c r="AF348" s="4">
        <v>6.70448332083333</v>
      </c>
      <c r="AG348" s="70">
        <v>0.312192452876982</v>
      </c>
    </row>
    <row r="349" spans="1:33">
      <c r="A349" s="38">
        <v>45636</v>
      </c>
      <c r="B349" s="1">
        <v>40494</v>
      </c>
      <c r="C349" s="39">
        <v>0.253197091273821</v>
      </c>
      <c r="D349" s="1">
        <v>39149</v>
      </c>
      <c r="E349" s="40">
        <v>0.244322344322344</v>
      </c>
      <c r="F349" s="10">
        <v>76.6</v>
      </c>
      <c r="G349" s="40">
        <v>0.312762973352034</v>
      </c>
      <c r="H349" s="4">
        <v>213.701243203827</v>
      </c>
      <c r="I349" s="40">
        <v>0.155995020753256</v>
      </c>
      <c r="J349" s="4">
        <v>101.498008428675</v>
      </c>
      <c r="K349" s="40">
        <v>0.00308570420430488</v>
      </c>
      <c r="L349" s="4">
        <v>29.6776444635124</v>
      </c>
      <c r="M349" s="40">
        <v>0.484162819437442</v>
      </c>
      <c r="N349" s="13">
        <v>43.2</v>
      </c>
      <c r="O349" s="44">
        <v>0.820717131474104</v>
      </c>
      <c r="P349" s="4">
        <v>4.17</v>
      </c>
      <c r="Q349" s="40">
        <v>0.54025974025974</v>
      </c>
      <c r="R349" s="4">
        <v>7.86186673166827</v>
      </c>
      <c r="S349" s="40">
        <v>0.932204619930302</v>
      </c>
      <c r="T349" s="10">
        <v>3.2</v>
      </c>
      <c r="U349" s="40">
        <v>0.0588235294117648</v>
      </c>
      <c r="V349" s="4">
        <v>1.55106846946929</v>
      </c>
      <c r="W349" s="54">
        <f t="shared" si="10"/>
        <v>0.540604314058</v>
      </c>
      <c r="X349" s="4">
        <v>14.1491997375</v>
      </c>
      <c r="Y349" s="40">
        <v>0.367130604645183</v>
      </c>
      <c r="Z349" s="4">
        <v>0.355666666666667</v>
      </c>
      <c r="AA349" s="40">
        <v>0.0464166666666668</v>
      </c>
      <c r="AB349" s="9">
        <v>11.2166666166667</v>
      </c>
      <c r="AC349" s="57">
        <v>0.720973777153562</v>
      </c>
      <c r="AD349" s="9">
        <v>0.225425</v>
      </c>
      <c r="AE349" s="57">
        <f t="shared" si="11"/>
        <v>0.315108625507</v>
      </c>
      <c r="AF349" s="4">
        <v>6.70384167083333</v>
      </c>
      <c r="AG349" s="70">
        <v>0.311810518353173</v>
      </c>
    </row>
    <row r="350" spans="1:33">
      <c r="A350" s="38">
        <v>45637</v>
      </c>
      <c r="B350" s="1">
        <v>43610</v>
      </c>
      <c r="C350" s="39">
        <v>0.350865095285858</v>
      </c>
      <c r="D350" s="1">
        <v>43183</v>
      </c>
      <c r="E350" s="40">
        <v>0.367460317460317</v>
      </c>
      <c r="F350" s="10">
        <v>74.1</v>
      </c>
      <c r="G350" s="40">
        <v>0.277699859747546</v>
      </c>
      <c r="H350" s="4">
        <v>259.899844063981</v>
      </c>
      <c r="I350" s="40">
        <v>0.735723981227017</v>
      </c>
      <c r="J350" s="4">
        <v>161.223211362563</v>
      </c>
      <c r="K350" s="40">
        <v>0.14842725369908</v>
      </c>
      <c r="L350" s="4">
        <v>39.6998390905888</v>
      </c>
      <c r="M350" s="40">
        <v>0.779541381980218</v>
      </c>
      <c r="N350" s="13">
        <v>40.6</v>
      </c>
      <c r="O350" s="44">
        <v>0.717131474103586</v>
      </c>
      <c r="P350" s="4">
        <v>4.19</v>
      </c>
      <c r="Q350" s="40">
        <v>0.545454545454546</v>
      </c>
      <c r="R350" s="4">
        <v>7.21585199981473</v>
      </c>
      <c r="S350" s="40">
        <v>0.590397883499858</v>
      </c>
      <c r="T350" s="10">
        <v>3.4</v>
      </c>
      <c r="U350" s="40">
        <v>0.117647058823529</v>
      </c>
      <c r="V350" s="4">
        <v>0.553402635909078</v>
      </c>
      <c r="W350" s="54">
        <f t="shared" si="10"/>
        <v>0.189279257007</v>
      </c>
      <c r="X350" s="4">
        <v>14.6934667041667</v>
      </c>
      <c r="Y350" s="40">
        <v>0.385789053965262</v>
      </c>
      <c r="Z350" s="4">
        <v>0.234833333333333</v>
      </c>
      <c r="AA350" s="40">
        <v>0.0162083333333332</v>
      </c>
      <c r="AB350" s="9">
        <v>11.0642499875</v>
      </c>
      <c r="AC350" s="57">
        <v>0.703848313202247</v>
      </c>
      <c r="AD350" s="9">
        <v>0.218925</v>
      </c>
      <c r="AE350" s="57">
        <f t="shared" si="11"/>
        <v>0.300014387484</v>
      </c>
      <c r="AF350" s="4">
        <v>6.6487166625</v>
      </c>
      <c r="AG350" s="70">
        <v>0.278998013392857</v>
      </c>
    </row>
    <row r="351" spans="1:33">
      <c r="A351" s="38">
        <v>45638</v>
      </c>
      <c r="B351" s="1">
        <v>41163</v>
      </c>
      <c r="C351" s="39">
        <v>0.274166248746239</v>
      </c>
      <c r="D351" s="1">
        <v>42829</v>
      </c>
      <c r="E351" s="40">
        <v>0.356654456654457</v>
      </c>
      <c r="F351" s="10">
        <v>74.2</v>
      </c>
      <c r="G351" s="40">
        <v>0.279102384291725</v>
      </c>
      <c r="H351" s="4">
        <v>226.790197027195</v>
      </c>
      <c r="I351" s="40">
        <v>0.320243406038336</v>
      </c>
      <c r="J351" s="4">
        <v>152.113402983576</v>
      </c>
      <c r="K351" s="40">
        <v>0.126258494107454</v>
      </c>
      <c r="L351" s="4">
        <v>44.6099848694554</v>
      </c>
      <c r="M351" s="40">
        <v>0.924255374873428</v>
      </c>
      <c r="N351" s="13">
        <v>43.3</v>
      </c>
      <c r="O351" s="44">
        <v>0.824701195219123</v>
      </c>
      <c r="P351" s="4">
        <v>3.71</v>
      </c>
      <c r="Q351" s="40">
        <v>0.420779220779221</v>
      </c>
      <c r="R351" s="4">
        <v>7.49117258673577</v>
      </c>
      <c r="S351" s="40">
        <v>0.736070151712048</v>
      </c>
      <c r="T351" s="10">
        <v>3.1</v>
      </c>
      <c r="U351" s="40">
        <v>0.0294117647058824</v>
      </c>
      <c r="V351" s="4">
        <v>1.56765857464048</v>
      </c>
      <c r="W351" s="54">
        <f t="shared" si="10"/>
        <v>0.546446470269</v>
      </c>
      <c r="X351" s="4">
        <v>17.2804667958333</v>
      </c>
      <c r="Y351" s="40">
        <v>0.474476064306935</v>
      </c>
      <c r="Z351" s="4">
        <v>0.8170000125</v>
      </c>
      <c r="AA351" s="40">
        <v>0.161750003125</v>
      </c>
      <c r="AB351" s="9">
        <v>10.2221666583333</v>
      </c>
      <c r="AC351" s="57">
        <v>0.609232208801494</v>
      </c>
      <c r="AD351" s="9">
        <v>0.2376</v>
      </c>
      <c r="AE351" s="57">
        <f t="shared" si="11"/>
        <v>0.343381294419</v>
      </c>
      <c r="AF351" s="4">
        <v>6.64183335833333</v>
      </c>
      <c r="AG351" s="70">
        <v>0.274900808531744</v>
      </c>
    </row>
    <row r="352" spans="1:33">
      <c r="A352" s="38">
        <v>45639</v>
      </c>
      <c r="B352" s="1">
        <v>34122</v>
      </c>
      <c r="C352" s="39">
        <v>0.0534729187562688</v>
      </c>
      <c r="D352" s="1">
        <v>31958</v>
      </c>
      <c r="E352" s="40">
        <v>0.0248168498168498</v>
      </c>
      <c r="F352" s="10">
        <v>75.6</v>
      </c>
      <c r="G352" s="40">
        <v>0.298737727910238</v>
      </c>
      <c r="H352" s="4">
        <v>231.053458707574</v>
      </c>
      <c r="I352" s="40">
        <v>0.373741482087765</v>
      </c>
      <c r="J352" s="4">
        <v>113.393480963739</v>
      </c>
      <c r="K352" s="40">
        <v>0.0320333900268634</v>
      </c>
      <c r="L352" s="4">
        <v>33.4566175260648</v>
      </c>
      <c r="M352" s="40">
        <v>0.595538388625547</v>
      </c>
      <c r="N352" s="13">
        <v>41.8</v>
      </c>
      <c r="O352" s="44">
        <v>0.764940239043824</v>
      </c>
      <c r="P352" s="4">
        <v>4.52</v>
      </c>
      <c r="Q352" s="40">
        <v>0.631168831168831</v>
      </c>
      <c r="R352" s="4">
        <v>7.308323377002</v>
      </c>
      <c r="S352" s="40">
        <v>0.639324538096297</v>
      </c>
      <c r="T352" s="10">
        <v>3.5</v>
      </c>
      <c r="U352" s="40">
        <v>0.147058823529412</v>
      </c>
      <c r="V352" s="4">
        <v>0.51743427326214</v>
      </c>
      <c r="W352" s="54">
        <f t="shared" si="10"/>
        <v>0.176613105041</v>
      </c>
      <c r="X352" s="4">
        <v>13.630933325</v>
      </c>
      <c r="Y352" s="40">
        <v>0.349363501028454</v>
      </c>
      <c r="Z352" s="4">
        <v>0.4045</v>
      </c>
      <c r="AA352" s="40">
        <v>0.058625</v>
      </c>
      <c r="AB352" s="9">
        <v>11.0878334083333</v>
      </c>
      <c r="AC352" s="57">
        <v>0.706498135767786</v>
      </c>
      <c r="AD352" s="9">
        <v>0.197883333333333</v>
      </c>
      <c r="AE352" s="57">
        <f t="shared" si="11"/>
        <v>0.251151629782</v>
      </c>
      <c r="AF352" s="4">
        <v>6.7240833</v>
      </c>
      <c r="AG352" s="70">
        <v>0.323859107142857</v>
      </c>
    </row>
    <row r="353" spans="1:33">
      <c r="A353" s="38">
        <v>45640</v>
      </c>
      <c r="B353" s="1">
        <v>45170</v>
      </c>
      <c r="C353" s="39">
        <v>0.399761785356068</v>
      </c>
      <c r="D353" s="1">
        <v>43522</v>
      </c>
      <c r="E353" s="40">
        <v>0.377808302808303</v>
      </c>
      <c r="F353" s="10">
        <v>77.8</v>
      </c>
      <c r="G353" s="40">
        <v>0.329593267882188</v>
      </c>
      <c r="H353" s="4">
        <v>249.039139405807</v>
      </c>
      <c r="I353" s="40">
        <v>0.599437061184678</v>
      </c>
      <c r="J353" s="4">
        <v>155.856809611361</v>
      </c>
      <c r="K353" s="40">
        <v>0.135368090943375</v>
      </c>
      <c r="L353" s="4">
        <v>25.5900331843009</v>
      </c>
      <c r="M353" s="40">
        <v>0.363690927919272</v>
      </c>
      <c r="N353" s="13">
        <v>45.6</v>
      </c>
      <c r="O353" s="44">
        <v>0.916334661354582</v>
      </c>
      <c r="P353" s="4">
        <v>4.14</v>
      </c>
      <c r="Q353" s="40">
        <v>0.532467532467532</v>
      </c>
      <c r="R353" s="4">
        <v>7.93958510343464</v>
      </c>
      <c r="S353" s="40">
        <v>0.97332545155272</v>
      </c>
      <c r="T353" s="10">
        <v>3</v>
      </c>
      <c r="U353" s="40">
        <v>0</v>
      </c>
      <c r="V353" s="4">
        <v>1.60140884834339</v>
      </c>
      <c r="W353" s="54">
        <f t="shared" si="10"/>
        <v>0.558331528808</v>
      </c>
      <c r="X353" s="4">
        <v>10.6425333166666</v>
      </c>
      <c r="Y353" s="40">
        <v>0.246915780482228</v>
      </c>
      <c r="Z353" s="4">
        <v>0.24125</v>
      </c>
      <c r="AA353" s="40">
        <v>0.0178125</v>
      </c>
      <c r="AB353" s="9">
        <v>10.33749985</v>
      </c>
      <c r="AC353" s="57">
        <v>0.622190994382023</v>
      </c>
      <c r="AD353" s="9">
        <v>0.169375</v>
      </c>
      <c r="AE353" s="57">
        <f t="shared" si="11"/>
        <v>0.184949849941</v>
      </c>
      <c r="AF353" s="4">
        <v>6.77413340416667</v>
      </c>
      <c r="AG353" s="70">
        <v>0.353650835813494</v>
      </c>
    </row>
    <row r="354" spans="1:33">
      <c r="A354" s="38">
        <v>45641</v>
      </c>
      <c r="B354" s="1">
        <v>41312</v>
      </c>
      <c r="C354" s="39">
        <v>0.278836509528586</v>
      </c>
      <c r="D354" s="1">
        <v>37486</v>
      </c>
      <c r="E354" s="40">
        <v>0.193559218559219</v>
      </c>
      <c r="F354" s="10">
        <v>79.1</v>
      </c>
      <c r="G354" s="40">
        <v>0.347826086956522</v>
      </c>
      <c r="H354" s="4">
        <v>211.894688215333</v>
      </c>
      <c r="I354" s="40">
        <v>0.133325237988869</v>
      </c>
      <c r="J354" s="4">
        <v>122.510582630955</v>
      </c>
      <c r="K354" s="40">
        <v>0.0542198978681405</v>
      </c>
      <c r="L354" s="4">
        <v>31.0738571435121</v>
      </c>
      <c r="M354" s="40">
        <v>0.52531261843537</v>
      </c>
      <c r="N354" s="13">
        <v>43.7</v>
      </c>
      <c r="O354" s="44">
        <v>0.840637450199203</v>
      </c>
      <c r="P354" s="4">
        <v>4.43</v>
      </c>
      <c r="Q354" s="40">
        <v>0.607792207792208</v>
      </c>
      <c r="R354" s="4">
        <v>7.08064927778527</v>
      </c>
      <c r="S354" s="40">
        <v>0.518862051738238</v>
      </c>
      <c r="T354" s="11">
        <v>3.9</v>
      </c>
      <c r="U354" s="40">
        <v>0.264705882352941</v>
      </c>
      <c r="V354" s="4">
        <v>1.30543241485035</v>
      </c>
      <c r="W354" s="54">
        <f t="shared" si="10"/>
        <v>0.454104307744</v>
      </c>
      <c r="X354" s="4">
        <v>13.1494666708333</v>
      </c>
      <c r="Y354" s="40">
        <v>0.332857959233229</v>
      </c>
      <c r="Z354" s="4">
        <v>0.224583333333333</v>
      </c>
      <c r="AA354" s="40">
        <v>0.0136458333333332</v>
      </c>
      <c r="AB354" s="9">
        <v>10.9786666708333</v>
      </c>
      <c r="AC354" s="57">
        <v>0.694232210205989</v>
      </c>
      <c r="AD354" s="9">
        <v>0.182733333333333</v>
      </c>
      <c r="AE354" s="57">
        <f t="shared" si="11"/>
        <v>0.215970444237</v>
      </c>
      <c r="AF354" s="4">
        <v>6.79577498333333</v>
      </c>
      <c r="AG354" s="70">
        <v>0.366532728174601</v>
      </c>
    </row>
    <row r="355" spans="1:33">
      <c r="A355" s="38">
        <v>45642</v>
      </c>
      <c r="B355" s="1">
        <v>36344</v>
      </c>
      <c r="C355" s="39">
        <v>0.123119358074223</v>
      </c>
      <c r="D355" s="1">
        <v>37278</v>
      </c>
      <c r="E355" s="40">
        <v>0.187210012210012</v>
      </c>
      <c r="F355" s="10">
        <v>80.5</v>
      </c>
      <c r="G355" s="40">
        <v>0.367461430575035</v>
      </c>
      <c r="H355" s="4">
        <v>237.409606222311</v>
      </c>
      <c r="I355" s="40">
        <v>0.453502399577249</v>
      </c>
      <c r="J355" s="4">
        <v>107.098449405238</v>
      </c>
      <c r="K355" s="40">
        <v>0.0167144024657192</v>
      </c>
      <c r="L355" s="4">
        <v>35.0888658063859</v>
      </c>
      <c r="M355" s="40">
        <v>0.643644733462596</v>
      </c>
      <c r="N355" s="13">
        <v>41.7</v>
      </c>
      <c r="O355" s="44">
        <v>0.760956175298805</v>
      </c>
      <c r="P355" s="4">
        <v>4.69</v>
      </c>
      <c r="Q355" s="40">
        <v>0.675324675324675</v>
      </c>
      <c r="R355" s="4">
        <v>7.59613056824234</v>
      </c>
      <c r="S355" s="40">
        <v>0.791603475260498</v>
      </c>
      <c r="T355" s="10">
        <v>3.8</v>
      </c>
      <c r="U355" s="40">
        <v>0.235294117647059</v>
      </c>
      <c r="V355" s="4">
        <v>0.795800646441492</v>
      </c>
      <c r="W355" s="54">
        <f t="shared" si="10"/>
        <v>0.274638995724</v>
      </c>
      <c r="X355" s="4">
        <v>18.6112001421052</v>
      </c>
      <c r="Y355" s="40">
        <v>0.520095993901447</v>
      </c>
      <c r="Z355" s="4">
        <v>0.592526321052632</v>
      </c>
      <c r="AA355" s="40">
        <v>0.105631580263158</v>
      </c>
      <c r="AB355" s="9">
        <v>10.4895789578947</v>
      </c>
      <c r="AC355" s="57">
        <v>0.63927853459491</v>
      </c>
      <c r="AD355" s="9">
        <v>0.168852631578947</v>
      </c>
      <c r="AE355" s="57">
        <f t="shared" si="11"/>
        <v>0.183736810974</v>
      </c>
      <c r="AF355" s="4">
        <v>6.81247363157895</v>
      </c>
      <c r="AG355" s="70">
        <v>0.376472399749375</v>
      </c>
    </row>
    <row r="356" spans="1:33">
      <c r="A356" s="38">
        <v>45643</v>
      </c>
      <c r="B356" s="1">
        <v>42170</v>
      </c>
      <c r="C356" s="39">
        <v>0.305729689067202</v>
      </c>
      <c r="D356" s="1">
        <v>38021</v>
      </c>
      <c r="E356" s="40">
        <v>0.20989010989011</v>
      </c>
      <c r="F356" s="10">
        <v>80.3</v>
      </c>
      <c r="G356" s="40">
        <v>0.364656381486676</v>
      </c>
      <c r="H356" s="4">
        <v>211.962563532381</v>
      </c>
      <c r="I356" s="40">
        <v>0.134176979952077</v>
      </c>
      <c r="J356" s="4">
        <v>164.662582268101</v>
      </c>
      <c r="K356" s="40">
        <v>0.156796978239849</v>
      </c>
      <c r="L356" s="4">
        <v>40.2848687341995</v>
      </c>
      <c r="M356" s="40">
        <v>0.796783634960197</v>
      </c>
      <c r="N356" s="13">
        <v>42.1</v>
      </c>
      <c r="O356" s="44">
        <v>0.776892430278884</v>
      </c>
      <c r="P356" s="4">
        <v>4.19</v>
      </c>
      <c r="Q356" s="40">
        <v>0.545454545454546</v>
      </c>
      <c r="R356" s="4">
        <v>7.85281465577124</v>
      </c>
      <c r="S356" s="40">
        <v>0.927415161783725</v>
      </c>
      <c r="T356" s="10">
        <v>3.6</v>
      </c>
      <c r="U356" s="40">
        <v>0.176470588235294</v>
      </c>
      <c r="V356" s="4">
        <v>0.671145602190297</v>
      </c>
      <c r="W356" s="54">
        <f t="shared" si="10"/>
        <v>0.230742092512</v>
      </c>
      <c r="X356" s="4">
        <v>15.5484953809524</v>
      </c>
      <c r="Y356" s="40">
        <v>0.415100972950031</v>
      </c>
      <c r="Z356" s="4">
        <v>0.381809523809524</v>
      </c>
      <c r="AA356" s="40">
        <v>0.052952380952381</v>
      </c>
      <c r="AB356" s="9">
        <v>8.77809526666666</v>
      </c>
      <c r="AC356" s="57">
        <v>0.446976996254681</v>
      </c>
      <c r="AD356" s="9">
        <v>0.220895238095238</v>
      </c>
      <c r="AE356" s="57">
        <f t="shared" si="11"/>
        <v>0.304589655603</v>
      </c>
      <c r="AF356" s="4">
        <v>6.82906666190476</v>
      </c>
      <c r="AG356" s="70">
        <v>0.386349203514739</v>
      </c>
    </row>
    <row r="357" spans="1:33">
      <c r="A357" s="38">
        <v>45644</v>
      </c>
      <c r="B357" s="1">
        <v>42210</v>
      </c>
      <c r="C357" s="39">
        <v>0.306983450351053</v>
      </c>
      <c r="D357" s="1">
        <v>39031</v>
      </c>
      <c r="E357" s="40">
        <v>0.240720390720391</v>
      </c>
      <c r="F357" s="10">
        <v>80.4</v>
      </c>
      <c r="G357" s="40">
        <v>0.366058906030856</v>
      </c>
      <c r="H357" s="4">
        <v>204.161330711772</v>
      </c>
      <c r="I357" s="40">
        <v>0.036282227528824</v>
      </c>
      <c r="J357" s="4">
        <v>122.80924506651</v>
      </c>
      <c r="K357" s="40">
        <v>0.054946694246003</v>
      </c>
      <c r="L357" s="4">
        <v>28.4777771203013</v>
      </c>
      <c r="M357" s="40">
        <v>0.44879979723847</v>
      </c>
      <c r="N357" s="13">
        <v>39.5</v>
      </c>
      <c r="O357" s="44">
        <v>0.673306772908366</v>
      </c>
      <c r="P357" s="4">
        <v>5.18</v>
      </c>
      <c r="Q357" s="40">
        <v>0.802597402597403</v>
      </c>
      <c r="R357" s="4">
        <v>7.7458956898229</v>
      </c>
      <c r="S357" s="40">
        <v>0.870844280329577</v>
      </c>
      <c r="T357" s="10">
        <v>3.4</v>
      </c>
      <c r="U357" s="40">
        <v>0.117647058823529</v>
      </c>
      <c r="V357" s="4">
        <v>0.0159019825187843</v>
      </c>
      <c r="W357" s="54">
        <f t="shared" si="10"/>
        <v>0</v>
      </c>
      <c r="X357" s="4">
        <v>16.4379430047619</v>
      </c>
      <c r="Y357" s="40">
        <v>0.445592835267806</v>
      </c>
      <c r="Z357" s="4">
        <v>0.450190485714286</v>
      </c>
      <c r="AA357" s="40">
        <v>0.0700476214285715</v>
      </c>
      <c r="AB357" s="9">
        <v>12.4921904619048</v>
      </c>
      <c r="AC357" s="57">
        <v>0.864291063135371</v>
      </c>
      <c r="AD357" s="9">
        <v>0.26307619047619</v>
      </c>
      <c r="AE357" s="57">
        <f t="shared" si="11"/>
        <v>0.402541861029</v>
      </c>
      <c r="AF357" s="4">
        <v>6.8299333047619</v>
      </c>
      <c r="AG357" s="70">
        <v>0.386865062358274</v>
      </c>
    </row>
    <row r="358" spans="1:33">
      <c r="A358" s="38">
        <v>45645</v>
      </c>
      <c r="B358" s="1">
        <v>43301</v>
      </c>
      <c r="C358" s="39">
        <v>0.341179789368104</v>
      </c>
      <c r="D358" s="1">
        <v>42748</v>
      </c>
      <c r="E358" s="40">
        <v>0.354181929181929</v>
      </c>
      <c r="F358" s="10">
        <v>79.1</v>
      </c>
      <c r="G358" s="40">
        <v>0.347826086956522</v>
      </c>
      <c r="H358" s="4">
        <v>249.216123728702</v>
      </c>
      <c r="I358" s="40">
        <v>0.601657971247358</v>
      </c>
      <c r="J358" s="4">
        <v>152.552309718387</v>
      </c>
      <c r="K358" s="40">
        <v>0.127326575617227</v>
      </c>
      <c r="L358" s="4">
        <v>34.0578451569471</v>
      </c>
      <c r="M358" s="40">
        <v>0.613258035866404</v>
      </c>
      <c r="N358" s="13">
        <v>37.2</v>
      </c>
      <c r="O358" s="44">
        <v>0.581673306772908</v>
      </c>
      <c r="P358" s="4">
        <v>4.08</v>
      </c>
      <c r="Q358" s="40">
        <v>0.516883116883117</v>
      </c>
      <c r="R358" s="4">
        <v>7.49585157606999</v>
      </c>
      <c r="S358" s="40">
        <v>0.738545807444439</v>
      </c>
      <c r="T358" s="11">
        <v>3.1</v>
      </c>
      <c r="U358" s="40">
        <v>0.0294117647058824</v>
      </c>
      <c r="V358" s="4">
        <v>0.422775909425055</v>
      </c>
      <c r="W358" s="54">
        <f t="shared" si="10"/>
        <v>0.143279443652</v>
      </c>
      <c r="X358" s="4">
        <v>13.6933333571429</v>
      </c>
      <c r="Y358" s="40">
        <v>0.351502686223617</v>
      </c>
      <c r="Z358" s="4">
        <v>0.31247619047619</v>
      </c>
      <c r="AA358" s="40">
        <v>0.0356190476190475</v>
      </c>
      <c r="AB358" s="9">
        <v>12.1520952571429</v>
      </c>
      <c r="AC358" s="57">
        <v>0.826078118780101</v>
      </c>
      <c r="AD358" s="9">
        <v>0.243809523809524</v>
      </c>
      <c r="AE358" s="57">
        <f t="shared" si="11"/>
        <v>0.357800991402</v>
      </c>
      <c r="AF358" s="4">
        <v>6.87733337142857</v>
      </c>
      <c r="AG358" s="70">
        <v>0.415079387755101</v>
      </c>
    </row>
    <row r="359" spans="1:33">
      <c r="A359" s="38">
        <v>45646</v>
      </c>
      <c r="B359" s="1">
        <v>41291</v>
      </c>
      <c r="C359" s="39">
        <v>0.278178284854564</v>
      </c>
      <c r="D359" s="1">
        <v>45396</v>
      </c>
      <c r="E359" s="40">
        <v>0.43501221001221</v>
      </c>
      <c r="F359" s="10">
        <v>79.4</v>
      </c>
      <c r="G359" s="40">
        <v>0.35203366058906</v>
      </c>
      <c r="H359" s="4">
        <v>246.090929951095</v>
      </c>
      <c r="I359" s="40">
        <v>0.562441083587589</v>
      </c>
      <c r="J359" s="4">
        <v>129.761251865429</v>
      </c>
      <c r="K359" s="40">
        <v>0.0718644340044022</v>
      </c>
      <c r="L359" s="4">
        <v>42.2811446210365</v>
      </c>
      <c r="M359" s="40">
        <v>0.85561876277738</v>
      </c>
      <c r="N359" s="13">
        <v>36.6</v>
      </c>
      <c r="O359" s="44">
        <v>0.557768924302789</v>
      </c>
      <c r="P359" s="4">
        <v>4.33</v>
      </c>
      <c r="Q359" s="40">
        <v>0.581818181818182</v>
      </c>
      <c r="R359" s="4">
        <v>7.04472705399323</v>
      </c>
      <c r="S359" s="40">
        <v>0.499855584123402</v>
      </c>
      <c r="T359" s="10">
        <v>3.7</v>
      </c>
      <c r="U359" s="40">
        <v>0.205882352941177</v>
      </c>
      <c r="V359" s="4">
        <v>1.02327476300472</v>
      </c>
      <c r="W359" s="54">
        <f t="shared" si="10"/>
        <v>0.354743329551</v>
      </c>
      <c r="X359" s="4">
        <v>13.3941054</v>
      </c>
      <c r="Y359" s="40">
        <v>0.341244614329791</v>
      </c>
      <c r="Z359" s="4">
        <v>0.304631578947368</v>
      </c>
      <c r="AA359" s="40">
        <v>0.033657894736842</v>
      </c>
      <c r="AB359" s="9">
        <v>10.2670526</v>
      </c>
      <c r="AC359" s="57">
        <v>0.614275573033708</v>
      </c>
      <c r="AD359" s="9">
        <v>0.229336842105263</v>
      </c>
      <c r="AE359" s="57">
        <f t="shared" si="11"/>
        <v>0.324192667945</v>
      </c>
      <c r="AF359" s="4">
        <v>6.88461053684211</v>
      </c>
      <c r="AG359" s="70">
        <v>0.419411033834589</v>
      </c>
    </row>
    <row r="360" spans="1:33">
      <c r="A360" s="38">
        <v>45647</v>
      </c>
      <c r="B360" s="1">
        <v>42678</v>
      </c>
      <c r="C360" s="39">
        <v>0.321652457372116</v>
      </c>
      <c r="D360" s="1">
        <v>41279</v>
      </c>
      <c r="E360" s="40">
        <v>0.309340659340659</v>
      </c>
      <c r="F360" s="10">
        <v>77.2</v>
      </c>
      <c r="G360" s="40">
        <v>0.321178120617111</v>
      </c>
      <c r="H360" s="4">
        <v>247.050067606703</v>
      </c>
      <c r="I360" s="40">
        <v>0.574476943238838</v>
      </c>
      <c r="J360" s="4">
        <v>112.644250738306</v>
      </c>
      <c r="K360" s="40">
        <v>0.0302101349093665</v>
      </c>
      <c r="L360" s="4">
        <v>38.4907131392547</v>
      </c>
      <c r="M360" s="40">
        <v>0.743905485978624</v>
      </c>
      <c r="N360" s="13">
        <v>34.3</v>
      </c>
      <c r="O360" s="44">
        <v>0.46613545816733</v>
      </c>
      <c r="P360" s="4">
        <v>3.75</v>
      </c>
      <c r="Q360" s="40">
        <v>0.431168831168831</v>
      </c>
      <c r="R360" s="4">
        <v>7.24413871861196</v>
      </c>
      <c r="S360" s="40">
        <v>0.605364401381989</v>
      </c>
      <c r="T360" s="10">
        <v>3.5</v>
      </c>
      <c r="U360" s="40">
        <v>0.147058823529412</v>
      </c>
      <c r="V360" s="4">
        <v>0.633348182198375</v>
      </c>
      <c r="W360" s="54">
        <f t="shared" si="10"/>
        <v>0.21743184344</v>
      </c>
      <c r="X360" s="4">
        <v>12.265760185</v>
      </c>
      <c r="Y360" s="40">
        <v>0.302562913438464</v>
      </c>
      <c r="Z360" s="4">
        <v>0.4258</v>
      </c>
      <c r="AA360" s="40">
        <v>0.06395</v>
      </c>
      <c r="AB360" s="9">
        <v>10.84350005</v>
      </c>
      <c r="AC360" s="57">
        <v>0.679044949438202</v>
      </c>
      <c r="AD360" s="9">
        <v>0.23292</v>
      </c>
      <c r="AE360" s="57">
        <f t="shared" si="11"/>
        <v>0.332513443043</v>
      </c>
      <c r="AF360" s="4">
        <v>6.930279995</v>
      </c>
      <c r="AG360" s="70">
        <v>0.446595235119048</v>
      </c>
    </row>
    <row r="361" spans="1:33">
      <c r="A361" s="38">
        <v>45648</v>
      </c>
      <c r="B361" s="1">
        <v>43570</v>
      </c>
      <c r="C361" s="39">
        <v>0.349611334002006</v>
      </c>
      <c r="D361" s="1">
        <v>44077</v>
      </c>
      <c r="E361" s="40">
        <v>0.394749694749695</v>
      </c>
      <c r="F361" s="10">
        <v>76.1</v>
      </c>
      <c r="G361" s="40">
        <v>0.305750350631136</v>
      </c>
      <c r="H361" s="4">
        <v>242.425804899878</v>
      </c>
      <c r="I361" s="40">
        <v>0.51644880034983</v>
      </c>
      <c r="J361" s="4">
        <v>134.300924652735</v>
      </c>
      <c r="K361" s="40">
        <v>0.0829117481146059</v>
      </c>
      <c r="L361" s="4">
        <v>32.5800518575672</v>
      </c>
      <c r="M361" s="40">
        <v>0.569703856692225</v>
      </c>
      <c r="N361" s="13">
        <v>35.4</v>
      </c>
      <c r="O361" s="44">
        <v>0.50996015936255</v>
      </c>
      <c r="P361" s="4">
        <v>4.14</v>
      </c>
      <c r="Q361" s="40">
        <v>0.532467532467532</v>
      </c>
      <c r="R361" s="4">
        <v>7.60574627719281</v>
      </c>
      <c r="S361" s="40">
        <v>0.796691151953868</v>
      </c>
      <c r="T361" s="10">
        <v>3.2</v>
      </c>
      <c r="U361" s="40">
        <v>0.0588235294117648</v>
      </c>
      <c r="V361" s="4">
        <v>1.91822623669596</v>
      </c>
      <c r="W361" s="54">
        <f t="shared" si="10"/>
        <v>0.669897830162</v>
      </c>
      <c r="X361" s="4">
        <v>17.3879619047619</v>
      </c>
      <c r="Y361" s="40">
        <v>0.47816118974158</v>
      </c>
      <c r="Z361" s="4">
        <v>0.669047619047619</v>
      </c>
      <c r="AA361" s="40">
        <v>0.124761904761905</v>
      </c>
      <c r="AB361" s="9">
        <v>13.3976190238095</v>
      </c>
      <c r="AC361" s="57">
        <v>0.966024609416798</v>
      </c>
      <c r="AD361" s="9">
        <v>0.258047619047619</v>
      </c>
      <c r="AE361" s="57">
        <f t="shared" si="11"/>
        <v>0.390864560405</v>
      </c>
      <c r="AF361" s="4">
        <v>6.87299999523809</v>
      </c>
      <c r="AG361" s="70">
        <v>0.41249999716553</v>
      </c>
    </row>
    <row r="362" spans="1:33">
      <c r="A362" s="38">
        <v>45649</v>
      </c>
      <c r="B362" s="1">
        <v>47033</v>
      </c>
      <c r="C362" s="39">
        <v>0.458155717151454</v>
      </c>
      <c r="D362" s="1">
        <v>48233</v>
      </c>
      <c r="E362" s="40">
        <v>0.521611721611722</v>
      </c>
      <c r="F362" s="10">
        <v>77.7</v>
      </c>
      <c r="G362" s="40">
        <v>0.328190743338009</v>
      </c>
      <c r="H362" s="4">
        <v>208.206884863884</v>
      </c>
      <c r="I362" s="40">
        <v>0.0870483732448738</v>
      </c>
      <c r="J362" s="4">
        <v>104.982108295534</v>
      </c>
      <c r="K362" s="40">
        <v>0.0115642768732728</v>
      </c>
      <c r="L362" s="4">
        <v>38.515720971687</v>
      </c>
      <c r="M362" s="40">
        <v>0.744642527901179</v>
      </c>
      <c r="N362" s="13">
        <v>34.2</v>
      </c>
      <c r="O362" s="44">
        <v>0.462151394422311</v>
      </c>
      <c r="P362" s="4">
        <v>4.38</v>
      </c>
      <c r="Q362" s="40">
        <v>0.594805194805195</v>
      </c>
      <c r="R362" s="4">
        <v>7.51812475005271</v>
      </c>
      <c r="S362" s="40">
        <v>0.750330555583445</v>
      </c>
      <c r="T362" s="10">
        <v>3.3</v>
      </c>
      <c r="U362" s="40">
        <v>0.088235294117647</v>
      </c>
      <c r="V362" s="4">
        <v>1.40277888754186</v>
      </c>
      <c r="W362" s="54">
        <f t="shared" si="10"/>
        <v>0.488384578674</v>
      </c>
      <c r="X362" s="4">
        <v>12.98959994</v>
      </c>
      <c r="Y362" s="40">
        <v>0.327377440521083</v>
      </c>
      <c r="Z362" s="4">
        <v>1.046200005</v>
      </c>
      <c r="AA362" s="40">
        <v>0.21905000125</v>
      </c>
      <c r="AB362" s="9">
        <v>12.604300115</v>
      </c>
      <c r="AC362" s="57">
        <v>0.876887653370786</v>
      </c>
      <c r="AD362" s="9">
        <v>0.24235</v>
      </c>
      <c r="AE362" s="57">
        <f t="shared" si="11"/>
        <v>0.354411699128</v>
      </c>
      <c r="AF362" s="4">
        <v>6.87036005</v>
      </c>
      <c r="AG362" s="70">
        <v>0.410928601190477</v>
      </c>
    </row>
    <row r="363" spans="1:33">
      <c r="A363" s="38">
        <v>45650</v>
      </c>
      <c r="B363" s="1">
        <v>42574</v>
      </c>
      <c r="C363" s="39">
        <v>0.318392678034102</v>
      </c>
      <c r="D363" s="1">
        <v>41387</v>
      </c>
      <c r="E363" s="40">
        <v>0.312637362637363</v>
      </c>
      <c r="F363" s="10">
        <v>77.3</v>
      </c>
      <c r="G363" s="40">
        <v>0.32258064516129</v>
      </c>
      <c r="H363" s="4">
        <v>216.796084218057</v>
      </c>
      <c r="I363" s="40">
        <v>0.194831022939603</v>
      </c>
      <c r="J363" s="4">
        <v>118.769816242421</v>
      </c>
      <c r="K363" s="40">
        <v>0.0451167260662911</v>
      </c>
      <c r="L363" s="4">
        <v>29.1786202312803</v>
      </c>
      <c r="M363" s="40">
        <v>0.469455356064848</v>
      </c>
      <c r="N363" s="13">
        <v>38.6</v>
      </c>
      <c r="O363" s="44">
        <v>0.637450199203187</v>
      </c>
      <c r="P363" s="4">
        <v>4.75</v>
      </c>
      <c r="Q363" s="40">
        <v>0.690909090909091</v>
      </c>
      <c r="R363" s="4">
        <v>7.20012403165444</v>
      </c>
      <c r="S363" s="40">
        <v>0.582076207224572</v>
      </c>
      <c r="T363" s="10">
        <v>3</v>
      </c>
      <c r="U363" s="40">
        <v>0</v>
      </c>
      <c r="V363" s="4">
        <v>0.0509498329479021</v>
      </c>
      <c r="W363" s="54">
        <f t="shared" si="10"/>
        <v>0.012341996325</v>
      </c>
      <c r="X363" s="4">
        <v>11.3152001</v>
      </c>
      <c r="Y363" s="40">
        <v>0.269976006170723</v>
      </c>
      <c r="Z363" s="4">
        <v>0.795714290476191</v>
      </c>
      <c r="AA363" s="40">
        <v>0.156428572619048</v>
      </c>
      <c r="AB363" s="9">
        <v>12.5341905047619</v>
      </c>
      <c r="AC363" s="57">
        <v>0.869010169074371</v>
      </c>
      <c r="AD363" s="9">
        <v>0.238961904761905</v>
      </c>
      <c r="AE363" s="57">
        <f t="shared" si="11"/>
        <v>0.346543896672</v>
      </c>
      <c r="AF363" s="4">
        <v>6.84546660952381</v>
      </c>
      <c r="AG363" s="70">
        <v>0.396111077097506</v>
      </c>
    </row>
    <row r="364" spans="1:33">
      <c r="A364" s="38">
        <v>45651</v>
      </c>
      <c r="B364" s="1">
        <v>40437</v>
      </c>
      <c r="C364" s="39">
        <v>0.251410481444333</v>
      </c>
      <c r="D364" s="1">
        <v>42879</v>
      </c>
      <c r="E364" s="40">
        <v>0.358180708180708</v>
      </c>
      <c r="F364" s="10">
        <v>76.3</v>
      </c>
      <c r="G364" s="40">
        <v>0.308555399719495</v>
      </c>
      <c r="H364" s="4">
        <v>251.963185482984</v>
      </c>
      <c r="I364" s="40">
        <v>0.636129821595984</v>
      </c>
      <c r="J364" s="4">
        <v>113.997083331743</v>
      </c>
      <c r="K364" s="40">
        <v>0.0335022590994646</v>
      </c>
      <c r="L364" s="4">
        <v>44.0203056149575</v>
      </c>
      <c r="M364" s="40">
        <v>0.906876086500368</v>
      </c>
      <c r="N364" s="13">
        <v>39.3</v>
      </c>
      <c r="O364" s="44">
        <v>0.665338645418326</v>
      </c>
      <c r="P364" s="4">
        <v>4.18</v>
      </c>
      <c r="Q364" s="40">
        <v>0.542857142857143</v>
      </c>
      <c r="R364" s="4">
        <v>7.51583394677271</v>
      </c>
      <c r="S364" s="40">
        <v>0.749118490355931</v>
      </c>
      <c r="T364" s="10">
        <v>3.7</v>
      </c>
      <c r="U364" s="40">
        <v>0.205882352941177</v>
      </c>
      <c r="V364" s="4">
        <v>1.00689710652279</v>
      </c>
      <c r="W364" s="54">
        <f t="shared" si="10"/>
        <v>0.348975986514</v>
      </c>
      <c r="X364" s="4">
        <v>12.7679158736842</v>
      </c>
      <c r="Y364" s="40">
        <v>0.319777712502029</v>
      </c>
      <c r="Z364" s="4">
        <v>0.228631578947368</v>
      </c>
      <c r="AA364" s="40">
        <v>0.014657894736842</v>
      </c>
      <c r="AB364" s="9">
        <v>11.9775790210526</v>
      </c>
      <c r="AC364" s="57">
        <v>0.806469552927258</v>
      </c>
      <c r="AD364" s="9">
        <v>0.208305263157895</v>
      </c>
      <c r="AE364" s="57">
        <f t="shared" si="11"/>
        <v>0.275353335848</v>
      </c>
      <c r="AF364" s="4">
        <v>6.87576841052632</v>
      </c>
      <c r="AG364" s="70">
        <v>0.414147863408524</v>
      </c>
    </row>
    <row r="365" spans="1:33">
      <c r="A365" s="38">
        <v>45652</v>
      </c>
      <c r="B365" s="1">
        <v>43123</v>
      </c>
      <c r="C365" s="39">
        <v>0.335600551654965</v>
      </c>
      <c r="D365" s="1">
        <v>39023</v>
      </c>
      <c r="E365" s="40">
        <v>0.24047619047619</v>
      </c>
      <c r="F365" s="10">
        <v>78.2</v>
      </c>
      <c r="G365" s="40">
        <v>0.335203366058906</v>
      </c>
      <c r="H365" s="4">
        <v>207.068837446327</v>
      </c>
      <c r="I365" s="40">
        <v>0.0727674419165138</v>
      </c>
      <c r="J365" s="4">
        <v>160.398645962837</v>
      </c>
      <c r="K365" s="40">
        <v>0.1464206700967</v>
      </c>
      <c r="L365" s="4">
        <v>35.1276617308893</v>
      </c>
      <c r="M365" s="40">
        <v>0.644788144146457</v>
      </c>
      <c r="N365" s="13">
        <v>42.3</v>
      </c>
      <c r="O365" s="44">
        <v>0.784860557768924</v>
      </c>
      <c r="P365" s="4">
        <v>3.63</v>
      </c>
      <c r="Q365" s="40">
        <v>0.4</v>
      </c>
      <c r="R365" s="4">
        <v>7.75986694708794</v>
      </c>
      <c r="S365" s="40">
        <v>0.878236479940709</v>
      </c>
      <c r="T365" s="10">
        <v>3.9</v>
      </c>
      <c r="U365" s="40">
        <v>0.264705882352941</v>
      </c>
      <c r="V365" s="4">
        <v>1.26960819277403</v>
      </c>
      <c r="W365" s="54">
        <f t="shared" si="10"/>
        <v>0.441488914451</v>
      </c>
      <c r="X365" s="4">
        <v>14.1618286952381</v>
      </c>
      <c r="Y365" s="40">
        <v>0.367563548002677</v>
      </c>
      <c r="Z365" s="4">
        <v>0.191428571428571</v>
      </c>
      <c r="AA365" s="40">
        <v>0.00535714285714275</v>
      </c>
      <c r="AB365" s="4">
        <v>12.0619046809524</v>
      </c>
      <c r="AC365" s="40">
        <v>0.815944346174427</v>
      </c>
      <c r="AD365" s="4">
        <v>0.216104761904762</v>
      </c>
      <c r="AE365" s="57">
        <f t="shared" si="11"/>
        <v>0.29346525747</v>
      </c>
      <c r="AF365" s="4">
        <v>6.84773332380952</v>
      </c>
      <c r="AG365" s="70">
        <v>0.397460311791381</v>
      </c>
    </row>
    <row r="366" spans="1:33">
      <c r="A366" s="38">
        <v>45653</v>
      </c>
      <c r="B366" s="1">
        <v>41233</v>
      </c>
      <c r="C366" s="39">
        <v>0.276360330992979</v>
      </c>
      <c r="D366" s="1">
        <v>37562</v>
      </c>
      <c r="E366" s="40">
        <v>0.195879120879121</v>
      </c>
      <c r="F366" s="10">
        <v>79.4</v>
      </c>
      <c r="G366" s="40">
        <v>0.35203366058906</v>
      </c>
      <c r="H366" s="4">
        <v>248.837789939928</v>
      </c>
      <c r="I366" s="40">
        <v>0.596910402057071</v>
      </c>
      <c r="J366" s="4">
        <v>140.499301676495</v>
      </c>
      <c r="K366" s="40">
        <v>0.0979955264314969</v>
      </c>
      <c r="L366" s="4">
        <v>35.2544615486565</v>
      </c>
      <c r="M366" s="40">
        <v>0.648525244581683</v>
      </c>
      <c r="N366" s="13">
        <v>44.9</v>
      </c>
      <c r="O366" s="44">
        <v>0.888446215139442</v>
      </c>
      <c r="P366" s="4">
        <v>4.35</v>
      </c>
      <c r="Q366" s="40">
        <v>0.587012987012987</v>
      </c>
      <c r="R366" s="4">
        <v>7.06328656102839</v>
      </c>
      <c r="S366" s="40">
        <v>0.50967542911555</v>
      </c>
      <c r="T366" s="11">
        <v>3.4</v>
      </c>
      <c r="U366" s="40">
        <v>0.117647058823529</v>
      </c>
      <c r="V366" s="4">
        <v>0.56239054911063</v>
      </c>
      <c r="W366" s="54">
        <f t="shared" si="10"/>
        <v>0.192444323918</v>
      </c>
      <c r="X366" s="4">
        <v>16.2360421210526</v>
      </c>
      <c r="Y366" s="40">
        <v>0.438671310286342</v>
      </c>
      <c r="Z366" s="4">
        <v>0.269052631578947</v>
      </c>
      <c r="AA366" s="40">
        <v>0.0247631578947367</v>
      </c>
      <c r="AB366" s="4">
        <v>12.7510526526316</v>
      </c>
      <c r="AC366" s="40">
        <v>0.893376702542876</v>
      </c>
      <c r="AD366" s="4">
        <v>0.215442105263158</v>
      </c>
      <c r="AE366" s="57">
        <f t="shared" si="11"/>
        <v>0.291926442536</v>
      </c>
      <c r="AF366" s="4">
        <v>6.85160012105263</v>
      </c>
      <c r="AG366" s="70">
        <v>0.399761976817042</v>
      </c>
    </row>
    <row r="367" spans="1:33">
      <c r="A367" s="38">
        <v>45654</v>
      </c>
      <c r="B367" s="1">
        <v>41051</v>
      </c>
      <c r="C367" s="39">
        <v>0.270655717151454</v>
      </c>
      <c r="D367" s="1">
        <v>44168</v>
      </c>
      <c r="E367" s="40">
        <v>0.397527472527473</v>
      </c>
      <c r="F367" s="10">
        <v>80.1</v>
      </c>
      <c r="G367" s="40">
        <v>0.361851332398317</v>
      </c>
      <c r="H367" s="4">
        <v>257.599377041559</v>
      </c>
      <c r="I367" s="40">
        <v>0.706856281108784</v>
      </c>
      <c r="J367" s="4">
        <v>150.747865551037</v>
      </c>
      <c r="K367" s="40">
        <v>0.122935452634359</v>
      </c>
      <c r="L367" s="4">
        <v>35.3211318478446</v>
      </c>
      <c r="M367" s="40">
        <v>0.650490181192001</v>
      </c>
      <c r="N367" s="13">
        <v>43.1</v>
      </c>
      <c r="O367" s="44">
        <v>0.816733067729084</v>
      </c>
      <c r="P367" s="4">
        <v>4.42</v>
      </c>
      <c r="Q367" s="40">
        <v>0.605194805194805</v>
      </c>
      <c r="R367" s="4">
        <v>7.46277847757069</v>
      </c>
      <c r="S367" s="40">
        <v>0.721046813529466</v>
      </c>
      <c r="T367" s="10">
        <v>3.8</v>
      </c>
      <c r="U367" s="40">
        <v>0.235294117647059</v>
      </c>
      <c r="V367" s="4">
        <v>0.757554847734804</v>
      </c>
      <c r="W367" s="54">
        <f t="shared" si="10"/>
        <v>0.261170851421</v>
      </c>
      <c r="X367" s="4">
        <v>14.628640025</v>
      </c>
      <c r="Y367" s="40">
        <v>0.383566678950977</v>
      </c>
      <c r="Z367" s="4">
        <v>0.1883</v>
      </c>
      <c r="AA367" s="40">
        <v>0.004575</v>
      </c>
      <c r="AB367" s="4">
        <v>11.039699835</v>
      </c>
      <c r="AC367" s="40">
        <v>0.701089869101124</v>
      </c>
      <c r="AD367" s="4">
        <v>0.20083</v>
      </c>
      <c r="AE367" s="57">
        <f t="shared" si="11"/>
        <v>0.257994351019</v>
      </c>
      <c r="AF367" s="4">
        <v>6.90697002</v>
      </c>
      <c r="AG367" s="70">
        <v>0.43272025</v>
      </c>
    </row>
    <row r="368" spans="1:33">
      <c r="A368" s="38">
        <v>45655</v>
      </c>
      <c r="B368" s="1">
        <v>43123</v>
      </c>
      <c r="C368" s="39">
        <v>0.335600551654965</v>
      </c>
      <c r="D368" s="1">
        <v>43259</v>
      </c>
      <c r="E368" s="40">
        <v>0.36978021978022</v>
      </c>
      <c r="F368" s="10">
        <v>79.2</v>
      </c>
      <c r="G368" s="40">
        <v>0.349228611500701</v>
      </c>
      <c r="H368" s="4">
        <v>207.080089503725</v>
      </c>
      <c r="I368" s="40">
        <v>0.0729086397756931</v>
      </c>
      <c r="J368" s="4">
        <v>173.729414233848</v>
      </c>
      <c r="K368" s="40">
        <v>0.178861154536899</v>
      </c>
      <c r="L368" s="4">
        <v>31.5633921741549</v>
      </c>
      <c r="M368" s="40">
        <v>0.539740411852487</v>
      </c>
      <c r="N368" s="13">
        <v>42.5</v>
      </c>
      <c r="O368" s="44">
        <v>0.792828685258964</v>
      </c>
      <c r="P368" s="4">
        <v>3.74</v>
      </c>
      <c r="Q368" s="40">
        <v>0.428571428571429</v>
      </c>
      <c r="R368" s="4">
        <v>7.5313523996362</v>
      </c>
      <c r="S368" s="40">
        <v>0.757329311976826</v>
      </c>
      <c r="T368" s="10">
        <v>3.6</v>
      </c>
      <c r="U368" s="40">
        <v>0.176470588235294</v>
      </c>
      <c r="V368" s="4">
        <v>0.919124785883555</v>
      </c>
      <c r="W368" s="54">
        <f t="shared" si="10"/>
        <v>0.318067224764</v>
      </c>
      <c r="X368" s="4">
        <v>17.0431238285714</v>
      </c>
      <c r="Y368" s="40">
        <v>0.46633952103433</v>
      </c>
      <c r="Z368" s="4">
        <v>0.188952380952381</v>
      </c>
      <c r="AA368" s="40">
        <v>0.00473809523809525</v>
      </c>
      <c r="AB368" s="4">
        <v>12.8093333095238</v>
      </c>
      <c r="AC368" s="40">
        <v>0.89992509095773</v>
      </c>
      <c r="AD368" s="4">
        <v>0.234895238095238</v>
      </c>
      <c r="AE368" s="57">
        <f t="shared" si="11"/>
        <v>0.337100322114</v>
      </c>
      <c r="AF368" s="4">
        <v>6.95020001428571</v>
      </c>
      <c r="AG368" s="70">
        <v>0.45845238945578</v>
      </c>
    </row>
    <row r="369" spans="1:33">
      <c r="A369" s="38">
        <v>45656</v>
      </c>
      <c r="B369" s="1">
        <v>43300</v>
      </c>
      <c r="C369" s="39">
        <v>0.341148445336008</v>
      </c>
      <c r="D369" s="1">
        <v>45342</v>
      </c>
      <c r="E369" s="40">
        <v>0.433363858363858</v>
      </c>
      <c r="F369" s="1">
        <v>79.3</v>
      </c>
      <c r="G369" s="40">
        <v>0.350631136044881</v>
      </c>
      <c r="H369" s="4">
        <v>247.27843264345</v>
      </c>
      <c r="I369" s="40">
        <v>0.57734261065943</v>
      </c>
      <c r="J369" s="4">
        <v>160.854605223211</v>
      </c>
      <c r="K369" s="40">
        <v>0.147530249003993</v>
      </c>
      <c r="L369" s="4">
        <v>31.3580884093175</v>
      </c>
      <c r="M369" s="40">
        <v>0.533689608291114</v>
      </c>
      <c r="N369" s="13">
        <v>40.2</v>
      </c>
      <c r="O369" s="44">
        <v>0.701195219123506</v>
      </c>
      <c r="P369" s="4">
        <v>4.22</v>
      </c>
      <c r="Q369" s="40">
        <v>0.553246753246753</v>
      </c>
      <c r="R369" s="4">
        <v>7.43947848068506</v>
      </c>
      <c r="S369" s="40">
        <v>0.708718772849238</v>
      </c>
      <c r="T369" s="13">
        <v>3.3</v>
      </c>
      <c r="U369" s="40">
        <v>0.088235294117647</v>
      </c>
      <c r="V369" s="4">
        <v>1.68379521042095</v>
      </c>
      <c r="W369" s="54">
        <f t="shared" si="10"/>
        <v>0.587343641264</v>
      </c>
      <c r="X369" s="4">
        <v>18.933200165</v>
      </c>
      <c r="Y369" s="40">
        <v>0.531134733116215</v>
      </c>
      <c r="Z369" s="4">
        <v>1.69960002</v>
      </c>
      <c r="AA369" s="40">
        <v>0.382400005</v>
      </c>
      <c r="AB369" s="4">
        <v>13.50300003</v>
      </c>
      <c r="AC369" s="40">
        <v>0.977865171910113</v>
      </c>
      <c r="AD369" s="4">
        <v>0.27761</v>
      </c>
      <c r="AE369" s="57">
        <f t="shared" si="11"/>
        <v>0.436292134926</v>
      </c>
      <c r="AF369" s="4">
        <v>6.97507999</v>
      </c>
      <c r="AG369" s="70">
        <v>0.473261898809524</v>
      </c>
    </row>
    <row r="370" spans="1:33">
      <c r="A370" s="38">
        <v>45657</v>
      </c>
      <c r="B370" s="1">
        <v>42026</v>
      </c>
      <c r="C370" s="39">
        <v>0.301216148445336</v>
      </c>
      <c r="D370" s="1">
        <v>43122</v>
      </c>
      <c r="E370" s="40">
        <v>0.365598290598291</v>
      </c>
      <c r="F370" s="1">
        <v>80.1</v>
      </c>
      <c r="G370" s="40">
        <v>0.361851332398317</v>
      </c>
      <c r="H370" s="4">
        <v>208.89558932055</v>
      </c>
      <c r="I370" s="40">
        <v>0.0956906678447732</v>
      </c>
      <c r="J370" s="4">
        <v>159.121979723842</v>
      </c>
      <c r="K370" s="40">
        <v>0.14331389707211</v>
      </c>
      <c r="L370" s="4">
        <v>30.3063191272544</v>
      </c>
      <c r="M370" s="40">
        <v>0.502691397797065</v>
      </c>
      <c r="N370" s="13">
        <v>41.8</v>
      </c>
      <c r="O370" s="44">
        <v>0.764940239043824</v>
      </c>
      <c r="P370" s="4">
        <v>5.22</v>
      </c>
      <c r="Q370" s="40">
        <v>0.812987012987013</v>
      </c>
      <c r="R370" s="4">
        <v>7.00485776675987</v>
      </c>
      <c r="S370" s="40">
        <v>0.478760723153371</v>
      </c>
      <c r="T370" s="13">
        <v>3.1</v>
      </c>
      <c r="U370" s="40">
        <v>0.0294117647058824</v>
      </c>
      <c r="V370" s="4">
        <v>1.32068584543709</v>
      </c>
      <c r="W370" s="54">
        <f t="shared" si="10"/>
        <v>0.459475757974</v>
      </c>
      <c r="X370" s="4">
        <v>18.16880015</v>
      </c>
      <c r="Y370" s="40">
        <v>0.504929727459719</v>
      </c>
      <c r="Z370" s="4">
        <v>3.14091662083333</v>
      </c>
      <c r="AA370" s="40">
        <v>0.742729155208332</v>
      </c>
      <c r="AB370" s="4">
        <v>12.0464167208333</v>
      </c>
      <c r="AC370" s="40">
        <v>0.814204125936326</v>
      </c>
      <c r="AD370" s="4">
        <v>0.293508333333333</v>
      </c>
      <c r="AE370" s="57">
        <f t="shared" si="11"/>
        <v>0.473211093003</v>
      </c>
      <c r="AF370" s="4">
        <v>6.93163335</v>
      </c>
      <c r="AG370" s="70">
        <v>0.447400803571429</v>
      </c>
    </row>
  </sheetData>
  <mergeCells count="9">
    <mergeCell ref="A1:AD1"/>
    <mergeCell ref="F2:AG2"/>
    <mergeCell ref="F3:S3"/>
    <mergeCell ref="T3:AG3"/>
    <mergeCell ref="A2:A4"/>
    <mergeCell ref="B2:B4"/>
    <mergeCell ref="C2:C4"/>
    <mergeCell ref="D2:D4"/>
    <mergeCell ref="E2:E4"/>
  </mergeCells>
  <pageMargins left="0.472222222222222" right="0.432638888888889" top="0.629861111111111" bottom="0.550694444444444" header="0.275" footer="0.5"/>
  <pageSetup paperSize="9" scale="9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R366"/>
  <sheetViews>
    <sheetView topLeftCell="CA1" workbookViewId="0">
      <selection activeCell="CO20" sqref="CO20"/>
    </sheetView>
  </sheetViews>
  <sheetFormatPr defaultColWidth="9" defaultRowHeight="14"/>
  <cols>
    <col min="6" max="6" width="10.0636363636364" customWidth="1"/>
    <col min="12" max="12" width="10.0636363636364" customWidth="1"/>
    <col min="18" max="18" width="11.1363636363636" customWidth="1"/>
    <col min="24" max="24" width="10.0636363636364" customWidth="1"/>
    <col min="30" max="30" width="10.0636363636364" customWidth="1"/>
    <col min="36" max="36" width="10.0636363636364" customWidth="1"/>
    <col min="42" max="42" width="12.2" customWidth="1"/>
    <col min="48" max="48" width="11.1363636363636" customWidth="1"/>
    <col min="53" max="53" width="8" customWidth="1"/>
    <col min="54" max="54" width="11.1363636363636" customWidth="1"/>
    <col min="60" max="60" width="10.0636363636364" customWidth="1"/>
    <col min="66" max="66" width="11.1363636363636" customWidth="1"/>
    <col min="72" max="72" width="10.0636363636364" customWidth="1"/>
    <col min="78" max="78" width="11.1363636363636" customWidth="1"/>
    <col min="96" max="96" width="10.0636363636364" customWidth="1"/>
  </cols>
  <sheetData>
    <row r="1" spans="2:96">
      <c r="B1" s="1">
        <v>47128</v>
      </c>
      <c r="C1">
        <v>32416</v>
      </c>
      <c r="D1" s="2">
        <f>B1-C1</f>
        <v>14712</v>
      </c>
      <c r="E1">
        <v>31904</v>
      </c>
      <c r="F1" s="3">
        <f>D1/E1</f>
        <v>0.461133400200602</v>
      </c>
      <c r="H1" s="1">
        <v>46544.7202455</v>
      </c>
      <c r="I1">
        <v>31145</v>
      </c>
      <c r="J1" s="2">
        <f>H1-I1</f>
        <v>15399.7202455</v>
      </c>
      <c r="K1">
        <v>32760</v>
      </c>
      <c r="L1" s="3">
        <f>J1/K1</f>
        <v>0.470076930570818</v>
      </c>
      <c r="N1" s="4">
        <v>254.566958882609</v>
      </c>
      <c r="O1">
        <v>201.27</v>
      </c>
      <c r="P1" s="5">
        <f>N1-O1</f>
        <v>53.296958882609</v>
      </c>
      <c r="Q1">
        <v>79.69</v>
      </c>
      <c r="R1" s="3">
        <f>P1/Q1</f>
        <v>0.668803599982545</v>
      </c>
      <c r="T1" s="4">
        <v>178.056522543478</v>
      </c>
      <c r="U1">
        <v>100.23</v>
      </c>
      <c r="V1" s="5">
        <f>T1-U1</f>
        <v>77.826522543478</v>
      </c>
      <c r="W1">
        <v>410.93</v>
      </c>
      <c r="X1" s="3">
        <f>V1/W1</f>
        <v>0.189391192036303</v>
      </c>
      <c r="Z1" s="4">
        <v>23.102578307605</v>
      </c>
      <c r="AA1">
        <v>13.25</v>
      </c>
      <c r="AB1" s="5">
        <f>Z1-AA1</f>
        <v>9.852578307605</v>
      </c>
      <c r="AC1">
        <v>33.93</v>
      </c>
      <c r="AD1" s="3">
        <f>AB1/AC1</f>
        <v>0.290379555190245</v>
      </c>
      <c r="AF1" s="6">
        <v>3.52</v>
      </c>
      <c r="AG1">
        <v>2.09</v>
      </c>
      <c r="AH1" s="5">
        <f>AF1-AG1</f>
        <v>1.43</v>
      </c>
      <c r="AI1">
        <v>3.85</v>
      </c>
      <c r="AJ1" s="3">
        <f>AH1/AI1</f>
        <v>0.371428571428571</v>
      </c>
      <c r="AL1" s="4">
        <v>6.46425834583333</v>
      </c>
      <c r="AM1">
        <v>6.1</v>
      </c>
      <c r="AN1" s="5">
        <f>AL1-AM1</f>
        <v>0.36425834583333</v>
      </c>
      <c r="AO1">
        <v>1.89</v>
      </c>
      <c r="AP1" s="3">
        <f>AN1/AO1</f>
        <v>0.192729283509699</v>
      </c>
      <c r="AR1" s="4">
        <v>1.80808023470158</v>
      </c>
      <c r="AS1">
        <v>0.02</v>
      </c>
      <c r="AT1" s="5">
        <f>AR1-AS1</f>
        <v>1.78808023470158</v>
      </c>
      <c r="AU1">
        <v>2.84</v>
      </c>
      <c r="AV1" s="3">
        <f>AT1/AU1</f>
        <v>0.629605716444218</v>
      </c>
      <c r="AX1" s="4">
        <v>14.2627332833333</v>
      </c>
      <c r="AY1">
        <v>3.44</v>
      </c>
      <c r="AZ1" s="5">
        <f>AX1-AY1</f>
        <v>10.8227332833333</v>
      </c>
      <c r="BA1">
        <v>29.17</v>
      </c>
      <c r="BB1" s="3">
        <f>AZ1/BA1</f>
        <v>0.371022738544165</v>
      </c>
      <c r="BD1" s="4">
        <v>0.8845</v>
      </c>
      <c r="BE1">
        <v>0.17</v>
      </c>
      <c r="BF1" s="5">
        <f>BD1-BE1</f>
        <v>0.7145</v>
      </c>
      <c r="BG1">
        <v>4</v>
      </c>
      <c r="BH1" s="3">
        <f>BF1/BG1</f>
        <v>0.178625</v>
      </c>
      <c r="BJ1" s="9">
        <v>12.966608673913</v>
      </c>
      <c r="BK1">
        <v>4.8</v>
      </c>
      <c r="BL1" s="5">
        <f>BJ1-BK1</f>
        <v>8.166608673913</v>
      </c>
      <c r="BM1">
        <v>8.9</v>
      </c>
      <c r="BN1" s="3">
        <f>BL1/BM1</f>
        <v>0.917596480214944</v>
      </c>
      <c r="BP1" s="9">
        <v>0.0897304347826087</v>
      </c>
      <c r="BQ1">
        <v>0.09</v>
      </c>
      <c r="BR1" s="5">
        <f>BP1-BQ1</f>
        <v>-0.000269565217391299</v>
      </c>
      <c r="BS1">
        <v>0.43</v>
      </c>
      <c r="BT1" s="3">
        <f>BR1/BS1</f>
        <v>-0.000626895854398369</v>
      </c>
      <c r="BV1" s="4">
        <v>6.269549975</v>
      </c>
      <c r="BW1">
        <v>6.18</v>
      </c>
      <c r="BX1" s="5">
        <f>BV1-BW1</f>
        <v>0.0895499750000006</v>
      </c>
      <c r="BY1">
        <v>1.68</v>
      </c>
      <c r="BZ1" s="3">
        <f>BX1/BY1</f>
        <v>0.0533035565476194</v>
      </c>
      <c r="CB1" s="10">
        <v>104.3</v>
      </c>
      <c r="CC1">
        <v>54.3</v>
      </c>
      <c r="CD1" s="12">
        <f>CB1-CC1</f>
        <v>50</v>
      </c>
      <c r="CE1">
        <v>71.3</v>
      </c>
      <c r="CF1" s="3">
        <f>CD1/CE1</f>
        <v>0.701262272089762</v>
      </c>
      <c r="CH1" s="13">
        <v>32.8</v>
      </c>
      <c r="CI1">
        <v>22.6</v>
      </c>
      <c r="CJ1">
        <f>CH1-CI1</f>
        <v>10.2</v>
      </c>
      <c r="CK1">
        <v>25.1</v>
      </c>
      <c r="CL1">
        <f>CJ1/CK1</f>
        <v>0.406374501992032</v>
      </c>
      <c r="CN1" s="11">
        <v>4.3</v>
      </c>
      <c r="CO1">
        <v>3</v>
      </c>
      <c r="CP1" s="12">
        <f>CN1-CO1</f>
        <v>1.3</v>
      </c>
      <c r="CQ1">
        <v>3.4</v>
      </c>
      <c r="CR1" s="3">
        <f>CP1/CQ1</f>
        <v>0.382352941176471</v>
      </c>
    </row>
    <row r="2" spans="2:96">
      <c r="B2" s="1">
        <v>46125</v>
      </c>
      <c r="C2">
        <v>32416</v>
      </c>
      <c r="D2" s="2">
        <f>B2-C2</f>
        <v>13709</v>
      </c>
      <c r="E2">
        <v>31904</v>
      </c>
      <c r="F2" s="3">
        <f t="shared" ref="F2:F65" si="0">D2/E2</f>
        <v>0.429695336008024</v>
      </c>
      <c r="H2" s="1">
        <v>44142.9799501</v>
      </c>
      <c r="I2">
        <v>31145</v>
      </c>
      <c r="J2" s="2">
        <f t="shared" ref="J2:J65" si="1">H2-I2</f>
        <v>12997.9799501</v>
      </c>
      <c r="K2">
        <v>32760</v>
      </c>
      <c r="L2" s="3">
        <f t="shared" ref="L2:L65" si="2">J2/K2</f>
        <v>0.396763734740537</v>
      </c>
      <c r="N2" s="4">
        <v>254.680002216667</v>
      </c>
      <c r="O2">
        <v>201.27</v>
      </c>
      <c r="P2" s="5">
        <f t="shared" ref="P2:P65" si="3">N2-O2</f>
        <v>53.410002216667</v>
      </c>
      <c r="Q2">
        <v>79.69</v>
      </c>
      <c r="R2" s="3">
        <f t="shared" ref="R2:R65" si="4">P2/Q2</f>
        <v>0.670222138495005</v>
      </c>
      <c r="T2" s="4">
        <v>181.174998595833</v>
      </c>
      <c r="U2">
        <v>100.23</v>
      </c>
      <c r="V2" s="5">
        <f t="shared" ref="V2:V65" si="5">T2-U2</f>
        <v>80.944998595833</v>
      </c>
      <c r="W2">
        <v>410.93</v>
      </c>
      <c r="X2" s="3">
        <f t="shared" ref="X2:X65" si="6">V2/W2</f>
        <v>0.196980017511092</v>
      </c>
      <c r="Z2" s="4">
        <v>27.2023170912137</v>
      </c>
      <c r="AA2">
        <v>13.25</v>
      </c>
      <c r="AB2" s="5">
        <f t="shared" ref="AB2:AB65" si="7">Z2-AA2</f>
        <v>13.9523170912137</v>
      </c>
      <c r="AC2">
        <v>33.93</v>
      </c>
      <c r="AD2" s="3">
        <f t="shared" ref="AD2:AD65" si="8">AB2/AC2</f>
        <v>0.411208873893714</v>
      </c>
      <c r="AF2" s="6">
        <v>5.18</v>
      </c>
      <c r="AG2">
        <v>2.09</v>
      </c>
      <c r="AH2" s="5">
        <f t="shared" ref="AH2:AH65" si="9">AF2-AG2</f>
        <v>3.09</v>
      </c>
      <c r="AI2">
        <v>3.85</v>
      </c>
      <c r="AJ2" s="3">
        <f t="shared" ref="AJ2:AJ65" si="10">AH2/AI2</f>
        <v>0.802597402597403</v>
      </c>
      <c r="AL2" s="4">
        <v>6.50229165833333</v>
      </c>
      <c r="AM2">
        <v>6.1</v>
      </c>
      <c r="AN2" s="5">
        <f t="shared" ref="AN2:AN65" si="11">AL2-AM2</f>
        <v>0.40229165833333</v>
      </c>
      <c r="AO2">
        <v>1.89</v>
      </c>
      <c r="AP2" s="3">
        <f t="shared" ref="AP2:AP65" si="12">AN2/AO2</f>
        <v>0.212852729276894</v>
      </c>
      <c r="AR2" s="4">
        <v>1.72490400439535</v>
      </c>
      <c r="AS2">
        <v>0.02</v>
      </c>
      <c r="AT2" s="5">
        <f t="shared" ref="AT2:AT65" si="13">AR2-AS2</f>
        <v>1.70490400439535</v>
      </c>
      <c r="AU2">
        <v>2.84</v>
      </c>
      <c r="AV2" s="3">
        <f t="shared" ref="AV2:AV65" si="14">AT2/AU2</f>
        <v>0.600318311406813</v>
      </c>
      <c r="AX2" s="4">
        <v>11.0690666125</v>
      </c>
      <c r="AY2">
        <v>3.44</v>
      </c>
      <c r="AZ2" s="5">
        <f t="shared" ref="AZ2:AZ65" si="15">AX2-AY2</f>
        <v>7.6290666125</v>
      </c>
      <c r="BA2">
        <v>29.17</v>
      </c>
      <c r="BB2" s="3">
        <f t="shared" ref="BB2:BB65" si="16">AZ2/BA2</f>
        <v>0.261538108073363</v>
      </c>
      <c r="BD2" s="4">
        <v>0.474249995833333</v>
      </c>
      <c r="BE2">
        <v>0.17</v>
      </c>
      <c r="BF2" s="5">
        <f t="shared" ref="BF2:BF65" si="17">BD2-BE2</f>
        <v>0.304249995833333</v>
      </c>
      <c r="BG2">
        <v>4</v>
      </c>
      <c r="BH2" s="3">
        <f t="shared" ref="BH2:BH65" si="18">BF2/BG2</f>
        <v>0.0760624989583333</v>
      </c>
      <c r="BJ2" s="9">
        <v>12.4945000416667</v>
      </c>
      <c r="BK2">
        <v>4.8</v>
      </c>
      <c r="BL2" s="5">
        <f t="shared" ref="BL2:BL65" si="19">BJ2-BK2</f>
        <v>7.6945000416667</v>
      </c>
      <c r="BM2">
        <v>8.9</v>
      </c>
      <c r="BN2" s="3">
        <f t="shared" ref="BN2:BN65" si="20">BL2/BM2</f>
        <v>0.864550566479405</v>
      </c>
      <c r="BP2" s="9">
        <v>0.140316666666667</v>
      </c>
      <c r="BQ2">
        <v>0.09</v>
      </c>
      <c r="BR2" s="5">
        <f t="shared" ref="BR2:BR65" si="21">BP2-BQ2</f>
        <v>0.050316666666667</v>
      </c>
      <c r="BS2">
        <v>0.43</v>
      </c>
      <c r="BT2" s="3">
        <f t="shared" ref="BT2:BT65" si="22">BR2/BS2</f>
        <v>0.11701550387597</v>
      </c>
      <c r="BV2" s="4">
        <v>6.31487505</v>
      </c>
      <c r="BW2">
        <v>6.18</v>
      </c>
      <c r="BX2" s="5">
        <f t="shared" ref="BX2:BX65" si="23">BV2-BW2</f>
        <v>0.134875050000001</v>
      </c>
      <c r="BY2">
        <v>1.68</v>
      </c>
      <c r="BZ2" s="3">
        <f t="shared" ref="BZ2:BZ65" si="24">BX2/BY2</f>
        <v>0.0802827678571432</v>
      </c>
      <c r="CB2" s="10">
        <v>103.8</v>
      </c>
      <c r="CC2">
        <v>54.3</v>
      </c>
      <c r="CD2" s="12">
        <f t="shared" ref="CD2:CD65" si="25">CB2-CC2</f>
        <v>49.5</v>
      </c>
      <c r="CE2">
        <v>71.3</v>
      </c>
      <c r="CF2" s="3">
        <f t="shared" ref="CF2:CF65" si="26">CD2/CE2</f>
        <v>0.694249649368864</v>
      </c>
      <c r="CH2" s="13">
        <v>31.8</v>
      </c>
      <c r="CI2">
        <v>22.6</v>
      </c>
      <c r="CJ2">
        <f t="shared" ref="CJ2:CJ65" si="27">CH2-CI2</f>
        <v>9.2</v>
      </c>
      <c r="CK2">
        <v>25.1</v>
      </c>
      <c r="CL2">
        <f t="shared" ref="CL2:CL65" si="28">CJ2/CK2</f>
        <v>0.366533864541833</v>
      </c>
      <c r="CN2" s="10">
        <v>4.2</v>
      </c>
      <c r="CO2">
        <v>3</v>
      </c>
      <c r="CP2" s="12">
        <f t="shared" ref="CP2:CP65" si="29">CN2-CO2</f>
        <v>1.2</v>
      </c>
      <c r="CQ2">
        <v>3.4</v>
      </c>
      <c r="CR2" s="3">
        <f t="shared" ref="CR2:CR65" si="30">CP2/CQ2</f>
        <v>0.352941176470588</v>
      </c>
    </row>
    <row r="3" spans="2:96">
      <c r="B3" s="1">
        <v>43989</v>
      </c>
      <c r="C3">
        <v>32416</v>
      </c>
      <c r="D3" s="2">
        <f t="shared" ref="D3:D66" si="31">B3-C3</f>
        <v>11573</v>
      </c>
      <c r="E3">
        <v>31904</v>
      </c>
      <c r="F3" s="3">
        <f t="shared" si="0"/>
        <v>0.362744483450351</v>
      </c>
      <c r="H3" s="1">
        <v>44431.440571</v>
      </c>
      <c r="I3">
        <v>31145</v>
      </c>
      <c r="J3" s="2">
        <f t="shared" si="1"/>
        <v>13286.440571</v>
      </c>
      <c r="K3">
        <v>32760</v>
      </c>
      <c r="L3" s="3">
        <f t="shared" si="2"/>
        <v>0.405569003998779</v>
      </c>
      <c r="N3" s="4">
        <v>252.960001629167</v>
      </c>
      <c r="O3">
        <v>201.27</v>
      </c>
      <c r="P3" s="5">
        <f t="shared" si="3"/>
        <v>51.690001629167</v>
      </c>
      <c r="Q3">
        <v>79.69</v>
      </c>
      <c r="R3" s="3">
        <f t="shared" si="4"/>
        <v>0.648638494530895</v>
      </c>
      <c r="T3" s="4">
        <v>220.345832820833</v>
      </c>
      <c r="U3">
        <v>100.23</v>
      </c>
      <c r="V3" s="5">
        <f t="shared" si="5"/>
        <v>120.115832820833</v>
      </c>
      <c r="W3">
        <v>410.93</v>
      </c>
      <c r="X3" s="3">
        <f t="shared" si="6"/>
        <v>0.292302418467459</v>
      </c>
      <c r="Z3" s="4">
        <v>26.4238809748012</v>
      </c>
      <c r="AA3">
        <v>13.25</v>
      </c>
      <c r="AB3" s="5">
        <f t="shared" si="7"/>
        <v>13.1738809748012</v>
      </c>
      <c r="AC3">
        <v>33.93</v>
      </c>
      <c r="AD3" s="3">
        <f t="shared" si="8"/>
        <v>0.388266459616894</v>
      </c>
      <c r="AF3" s="6">
        <v>4.04</v>
      </c>
      <c r="AG3">
        <v>2.09</v>
      </c>
      <c r="AH3" s="5">
        <f t="shared" si="9"/>
        <v>1.95</v>
      </c>
      <c r="AI3">
        <v>3.85</v>
      </c>
      <c r="AJ3" s="3">
        <f t="shared" si="10"/>
        <v>0.506493506493507</v>
      </c>
      <c r="AL3" s="4">
        <v>6.60874997916667</v>
      </c>
      <c r="AM3">
        <v>6.1</v>
      </c>
      <c r="AN3" s="5">
        <f t="shared" si="11"/>
        <v>0.50874997916667</v>
      </c>
      <c r="AO3">
        <v>1.89</v>
      </c>
      <c r="AP3" s="3">
        <f t="shared" si="12"/>
        <v>0.269179883156968</v>
      </c>
      <c r="AR3" s="4">
        <v>1.20552694768249</v>
      </c>
      <c r="AS3">
        <v>0.02</v>
      </c>
      <c r="AT3" s="5">
        <f t="shared" si="13"/>
        <v>1.18552694768249</v>
      </c>
      <c r="AU3">
        <v>2.84</v>
      </c>
      <c r="AV3" s="3">
        <f t="shared" si="14"/>
        <v>0.417439066085384</v>
      </c>
      <c r="AX3" s="4">
        <v>11.4668666583333</v>
      </c>
      <c r="AY3">
        <v>3.44</v>
      </c>
      <c r="AZ3" s="5">
        <f t="shared" si="15"/>
        <v>8.0268666583333</v>
      </c>
      <c r="BA3">
        <v>29.17</v>
      </c>
      <c r="BB3" s="3">
        <f t="shared" si="16"/>
        <v>0.275175408239057</v>
      </c>
      <c r="BD3" s="4">
        <v>1.00933333333333</v>
      </c>
      <c r="BE3">
        <v>0.17</v>
      </c>
      <c r="BF3" s="5">
        <f t="shared" si="17"/>
        <v>0.83933333333333</v>
      </c>
      <c r="BG3">
        <v>4</v>
      </c>
      <c r="BH3" s="3">
        <f t="shared" si="18"/>
        <v>0.209833333333333</v>
      </c>
      <c r="BJ3" s="9">
        <v>13.3627500208333</v>
      </c>
      <c r="BK3">
        <v>4.8</v>
      </c>
      <c r="BL3" s="5">
        <f t="shared" si="19"/>
        <v>8.5627500208333</v>
      </c>
      <c r="BM3">
        <v>8.9</v>
      </c>
      <c r="BN3" s="3">
        <f t="shared" si="20"/>
        <v>0.962106743913854</v>
      </c>
      <c r="BP3" s="9">
        <v>0.127741666666667</v>
      </c>
      <c r="BQ3">
        <v>0.09</v>
      </c>
      <c r="BR3" s="5">
        <f t="shared" si="21"/>
        <v>0.037741666666667</v>
      </c>
      <c r="BS3">
        <v>0.43</v>
      </c>
      <c r="BT3" s="3">
        <f t="shared" si="22"/>
        <v>0.0877713178294582</v>
      </c>
      <c r="BV3" s="4">
        <v>6.33278340416667</v>
      </c>
      <c r="BW3">
        <v>6.18</v>
      </c>
      <c r="BX3" s="5">
        <f t="shared" si="23"/>
        <v>0.15278340416667</v>
      </c>
      <c r="BY3">
        <v>1.68</v>
      </c>
      <c r="BZ3" s="3">
        <f t="shared" si="24"/>
        <v>0.0909425024801609</v>
      </c>
      <c r="CB3" s="10">
        <v>105.6</v>
      </c>
      <c r="CC3">
        <v>54.3</v>
      </c>
      <c r="CD3" s="12">
        <f t="shared" si="25"/>
        <v>51.3</v>
      </c>
      <c r="CE3">
        <v>71.3</v>
      </c>
      <c r="CF3" s="3">
        <f t="shared" si="26"/>
        <v>0.719495091164095</v>
      </c>
      <c r="CH3" s="13">
        <v>33.4</v>
      </c>
      <c r="CI3">
        <v>22.6</v>
      </c>
      <c r="CJ3">
        <f t="shared" si="27"/>
        <v>10.8</v>
      </c>
      <c r="CK3">
        <v>25.1</v>
      </c>
      <c r="CL3">
        <f t="shared" si="28"/>
        <v>0.430278884462151</v>
      </c>
      <c r="CN3" s="10">
        <v>3.8</v>
      </c>
      <c r="CO3">
        <v>3</v>
      </c>
      <c r="CP3" s="12">
        <f t="shared" si="29"/>
        <v>0.8</v>
      </c>
      <c r="CQ3">
        <v>3.4</v>
      </c>
      <c r="CR3" s="3">
        <f t="shared" si="30"/>
        <v>0.235294117647059</v>
      </c>
    </row>
    <row r="4" spans="2:96">
      <c r="B4" s="1">
        <v>43257</v>
      </c>
      <c r="C4">
        <v>32416</v>
      </c>
      <c r="D4" s="2">
        <f t="shared" si="31"/>
        <v>10841</v>
      </c>
      <c r="E4">
        <v>31904</v>
      </c>
      <c r="F4" s="3">
        <f t="shared" si="0"/>
        <v>0.339800651955868</v>
      </c>
      <c r="H4" s="1">
        <v>42226.7714845</v>
      </c>
      <c r="I4">
        <v>31145</v>
      </c>
      <c r="J4" s="2">
        <f t="shared" si="1"/>
        <v>11081.7714845</v>
      </c>
      <c r="K4">
        <v>32760</v>
      </c>
      <c r="L4" s="3">
        <f t="shared" si="2"/>
        <v>0.338271412835775</v>
      </c>
      <c r="N4" s="4">
        <v>250.96666845</v>
      </c>
      <c r="O4">
        <v>201.27</v>
      </c>
      <c r="P4" s="5">
        <f t="shared" si="3"/>
        <v>49.69666845</v>
      </c>
      <c r="Q4">
        <v>79.69</v>
      </c>
      <c r="R4" s="3">
        <f t="shared" si="4"/>
        <v>0.623624902120718</v>
      </c>
      <c r="T4" s="4">
        <v>215.945831291667</v>
      </c>
      <c r="U4">
        <v>100.23</v>
      </c>
      <c r="V4" s="5">
        <f t="shared" si="5"/>
        <v>115.715831291667</v>
      </c>
      <c r="W4">
        <v>410.93</v>
      </c>
      <c r="X4" s="3">
        <f t="shared" si="6"/>
        <v>0.281594994991037</v>
      </c>
      <c r="Z4" s="4">
        <v>23.9301709622563</v>
      </c>
      <c r="AA4">
        <v>13.25</v>
      </c>
      <c r="AB4" s="5">
        <f t="shared" si="7"/>
        <v>10.6801709622563</v>
      </c>
      <c r="AC4">
        <v>33.93</v>
      </c>
      <c r="AD4" s="3">
        <f t="shared" si="8"/>
        <v>0.314770732751438</v>
      </c>
      <c r="AF4" s="6">
        <v>3.6</v>
      </c>
      <c r="AG4">
        <v>2.09</v>
      </c>
      <c r="AH4" s="5">
        <f t="shared" si="9"/>
        <v>1.51</v>
      </c>
      <c r="AI4">
        <v>3.85</v>
      </c>
      <c r="AJ4" s="3">
        <f t="shared" si="10"/>
        <v>0.392207792207792</v>
      </c>
      <c r="AL4" s="4">
        <v>6.69719999166667</v>
      </c>
      <c r="AM4">
        <v>6.1</v>
      </c>
      <c r="AN4" s="5">
        <f t="shared" si="11"/>
        <v>0.59719999166667</v>
      </c>
      <c r="AO4">
        <v>1.89</v>
      </c>
      <c r="AP4" s="3">
        <f t="shared" si="12"/>
        <v>0.315978831569667</v>
      </c>
      <c r="AR4" s="4">
        <v>1.44169131636479</v>
      </c>
      <c r="AS4">
        <v>0.02</v>
      </c>
      <c r="AT4" s="5">
        <f t="shared" si="13"/>
        <v>1.42169131636479</v>
      </c>
      <c r="AU4">
        <v>2.84</v>
      </c>
      <c r="AV4" s="3">
        <f t="shared" si="14"/>
        <v>0.500595533931264</v>
      </c>
      <c r="AX4" s="4">
        <v>11.8308667333333</v>
      </c>
      <c r="AY4">
        <v>3.44</v>
      </c>
      <c r="AZ4" s="5">
        <f t="shared" si="15"/>
        <v>8.3908667333333</v>
      </c>
      <c r="BA4">
        <v>29.17</v>
      </c>
      <c r="BB4" s="3">
        <f t="shared" si="16"/>
        <v>0.287653984687463</v>
      </c>
      <c r="BD4" s="4">
        <v>1.62900002083333</v>
      </c>
      <c r="BE4">
        <v>0.17</v>
      </c>
      <c r="BF4" s="5">
        <f t="shared" si="17"/>
        <v>1.45900002083333</v>
      </c>
      <c r="BG4">
        <v>4</v>
      </c>
      <c r="BH4" s="3">
        <f t="shared" si="18"/>
        <v>0.364750005208333</v>
      </c>
      <c r="BJ4" s="9">
        <v>12.4490832833333</v>
      </c>
      <c r="BK4">
        <v>4.8</v>
      </c>
      <c r="BL4" s="5">
        <f t="shared" si="19"/>
        <v>7.6490832833333</v>
      </c>
      <c r="BM4">
        <v>8.9</v>
      </c>
      <c r="BN4" s="3">
        <f t="shared" si="20"/>
        <v>0.85944755992509</v>
      </c>
      <c r="BP4" s="9">
        <v>0.133941666666667</v>
      </c>
      <c r="BQ4">
        <v>0.09</v>
      </c>
      <c r="BR4" s="5">
        <f t="shared" si="21"/>
        <v>0.043941666666667</v>
      </c>
      <c r="BS4">
        <v>0.43</v>
      </c>
      <c r="BT4" s="3">
        <f t="shared" si="22"/>
        <v>0.102189922480621</v>
      </c>
      <c r="BV4" s="4">
        <v>6.30414169166667</v>
      </c>
      <c r="BW4">
        <v>6.18</v>
      </c>
      <c r="BX4" s="5">
        <f t="shared" si="23"/>
        <v>0.12414169166667</v>
      </c>
      <c r="BY4">
        <v>1.68</v>
      </c>
      <c r="BZ4" s="3">
        <f t="shared" si="24"/>
        <v>0.0738938640873038</v>
      </c>
      <c r="CB4" s="10">
        <v>106.2</v>
      </c>
      <c r="CC4">
        <v>54.3</v>
      </c>
      <c r="CD4" s="12">
        <f t="shared" si="25"/>
        <v>51.9</v>
      </c>
      <c r="CE4">
        <v>71.3</v>
      </c>
      <c r="CF4" s="3">
        <f t="shared" si="26"/>
        <v>0.727910238429173</v>
      </c>
      <c r="CH4" s="13">
        <v>34.7</v>
      </c>
      <c r="CI4">
        <v>22.6</v>
      </c>
      <c r="CJ4">
        <f t="shared" si="27"/>
        <v>12.1</v>
      </c>
      <c r="CK4">
        <v>25.1</v>
      </c>
      <c r="CL4">
        <f t="shared" si="28"/>
        <v>0.48207171314741</v>
      </c>
      <c r="CN4" s="10">
        <v>3.9</v>
      </c>
      <c r="CO4">
        <v>3</v>
      </c>
      <c r="CP4" s="12">
        <f t="shared" si="29"/>
        <v>0.9</v>
      </c>
      <c r="CQ4">
        <v>3.4</v>
      </c>
      <c r="CR4" s="3">
        <f t="shared" si="30"/>
        <v>0.264705882352941</v>
      </c>
    </row>
    <row r="5" spans="2:96">
      <c r="B5" s="1">
        <v>42776</v>
      </c>
      <c r="C5">
        <v>32416</v>
      </c>
      <c r="D5" s="2">
        <f t="shared" si="31"/>
        <v>10360</v>
      </c>
      <c r="E5">
        <v>31904</v>
      </c>
      <c r="F5" s="3">
        <f t="shared" si="0"/>
        <v>0.324724172517553</v>
      </c>
      <c r="H5" s="1">
        <v>42178.8609621</v>
      </c>
      <c r="I5">
        <v>31145</v>
      </c>
      <c r="J5" s="2">
        <f t="shared" si="1"/>
        <v>11033.8609621</v>
      </c>
      <c r="K5">
        <v>32760</v>
      </c>
      <c r="L5" s="3">
        <f t="shared" si="2"/>
        <v>0.336808942677045</v>
      </c>
      <c r="N5" s="4">
        <v>251.833333975</v>
      </c>
      <c r="O5">
        <v>201.27</v>
      </c>
      <c r="P5" s="5">
        <f t="shared" si="3"/>
        <v>50.563333975</v>
      </c>
      <c r="Q5">
        <v>79.69</v>
      </c>
      <c r="R5" s="3">
        <f t="shared" si="4"/>
        <v>0.634500363596436</v>
      </c>
      <c r="T5" s="4">
        <v>164.212498983333</v>
      </c>
      <c r="U5">
        <v>100.23</v>
      </c>
      <c r="V5" s="5">
        <f t="shared" si="5"/>
        <v>63.982498983333</v>
      </c>
      <c r="W5">
        <v>410.93</v>
      </c>
      <c r="X5" s="3">
        <f t="shared" si="6"/>
        <v>0.155701698545575</v>
      </c>
      <c r="Z5" s="4">
        <v>25.9608189636015</v>
      </c>
      <c r="AA5">
        <v>13.25</v>
      </c>
      <c r="AB5" s="5">
        <f t="shared" si="7"/>
        <v>12.7108189636015</v>
      </c>
      <c r="AC5">
        <v>33.93</v>
      </c>
      <c r="AD5" s="3">
        <f t="shared" si="8"/>
        <v>0.374618890763381</v>
      </c>
      <c r="AF5" s="6">
        <v>4.62</v>
      </c>
      <c r="AG5">
        <v>2.09</v>
      </c>
      <c r="AH5" s="5">
        <f t="shared" si="9"/>
        <v>2.53</v>
      </c>
      <c r="AI5">
        <v>3.85</v>
      </c>
      <c r="AJ5" s="3">
        <f t="shared" si="10"/>
        <v>0.657142857142857</v>
      </c>
      <c r="AL5" s="4">
        <v>6.62035824583333</v>
      </c>
      <c r="AM5">
        <v>6.1</v>
      </c>
      <c r="AN5" s="5">
        <f t="shared" si="11"/>
        <v>0.52035824583333</v>
      </c>
      <c r="AO5">
        <v>1.89</v>
      </c>
      <c r="AP5" s="3">
        <f t="shared" si="12"/>
        <v>0.275321823192238</v>
      </c>
      <c r="AR5" s="4">
        <v>1.34333804282989</v>
      </c>
      <c r="AS5">
        <v>0.02</v>
      </c>
      <c r="AT5" s="5">
        <f t="shared" si="13"/>
        <v>1.32333804282989</v>
      </c>
      <c r="AU5">
        <v>2.84</v>
      </c>
      <c r="AV5" s="3">
        <f t="shared" si="14"/>
        <v>0.465964099587989</v>
      </c>
      <c r="AX5" s="4">
        <v>13.3102664916667</v>
      </c>
      <c r="AY5">
        <v>3.44</v>
      </c>
      <c r="AZ5" s="5">
        <f t="shared" si="15"/>
        <v>9.8702664916667</v>
      </c>
      <c r="BA5">
        <v>29.17</v>
      </c>
      <c r="BB5" s="3">
        <f t="shared" si="16"/>
        <v>0.33837046594675</v>
      </c>
      <c r="BD5" s="4">
        <v>3.71124999166667</v>
      </c>
      <c r="BE5">
        <v>0.17</v>
      </c>
      <c r="BF5" s="5">
        <f t="shared" si="17"/>
        <v>3.54124999166667</v>
      </c>
      <c r="BG5">
        <v>4</v>
      </c>
      <c r="BH5" s="3">
        <f t="shared" si="18"/>
        <v>0.885312497916668</v>
      </c>
      <c r="BJ5" s="9">
        <v>13.7003334</v>
      </c>
      <c r="BK5">
        <v>4.8</v>
      </c>
      <c r="BL5" s="5">
        <f t="shared" si="19"/>
        <v>8.9003334</v>
      </c>
      <c r="BM5">
        <v>8.9</v>
      </c>
      <c r="BN5" s="3">
        <f t="shared" si="20"/>
        <v>1.00003746067416</v>
      </c>
      <c r="BP5" s="9">
        <v>0.124825</v>
      </c>
      <c r="BQ5">
        <v>0.09</v>
      </c>
      <c r="BR5" s="5">
        <f t="shared" si="21"/>
        <v>0.034825</v>
      </c>
      <c r="BS5">
        <v>0.43</v>
      </c>
      <c r="BT5" s="3">
        <f t="shared" si="22"/>
        <v>0.0809883720930233</v>
      </c>
      <c r="BV5" s="4">
        <v>6.28979166666667</v>
      </c>
      <c r="BW5">
        <v>6.18</v>
      </c>
      <c r="BX5" s="5">
        <f t="shared" si="23"/>
        <v>0.10979166666667</v>
      </c>
      <c r="BY5">
        <v>1.68</v>
      </c>
      <c r="BZ5" s="3">
        <f t="shared" si="24"/>
        <v>0.0653521825396844</v>
      </c>
      <c r="CB5" s="10">
        <v>102.7</v>
      </c>
      <c r="CC5">
        <v>54.3</v>
      </c>
      <c r="CD5" s="12">
        <f t="shared" si="25"/>
        <v>48.4</v>
      </c>
      <c r="CE5">
        <v>71.3</v>
      </c>
      <c r="CF5" s="3">
        <f t="shared" si="26"/>
        <v>0.678821879382889</v>
      </c>
      <c r="CH5" s="13">
        <v>31.2</v>
      </c>
      <c r="CI5">
        <v>22.6</v>
      </c>
      <c r="CJ5">
        <f t="shared" si="27"/>
        <v>8.6</v>
      </c>
      <c r="CK5">
        <v>25.1</v>
      </c>
      <c r="CL5">
        <f t="shared" si="28"/>
        <v>0.342629482071713</v>
      </c>
      <c r="CN5" s="10">
        <v>4</v>
      </c>
      <c r="CO5">
        <v>3</v>
      </c>
      <c r="CP5" s="12">
        <f t="shared" si="29"/>
        <v>1</v>
      </c>
      <c r="CQ5">
        <v>3.4</v>
      </c>
      <c r="CR5" s="3">
        <f t="shared" si="30"/>
        <v>0.294117647058824</v>
      </c>
    </row>
    <row r="6" spans="2:96">
      <c r="B6" s="1">
        <v>43159</v>
      </c>
      <c r="C6">
        <v>32416</v>
      </c>
      <c r="D6" s="2">
        <f t="shared" si="31"/>
        <v>10743</v>
      </c>
      <c r="E6">
        <v>31904</v>
      </c>
      <c r="F6" s="3">
        <f t="shared" si="0"/>
        <v>0.336728936810431</v>
      </c>
      <c r="H6" s="1">
        <v>42752.8230659</v>
      </c>
      <c r="I6">
        <v>31145</v>
      </c>
      <c r="J6" s="2">
        <f t="shared" si="1"/>
        <v>11607.8230659</v>
      </c>
      <c r="K6">
        <v>32760</v>
      </c>
      <c r="L6" s="3">
        <f t="shared" si="2"/>
        <v>0.354329153415751</v>
      </c>
      <c r="N6" s="4">
        <v>250.76666705</v>
      </c>
      <c r="O6">
        <v>201.27</v>
      </c>
      <c r="P6" s="5">
        <f t="shared" si="3"/>
        <v>49.49666705</v>
      </c>
      <c r="Q6">
        <v>79.69</v>
      </c>
      <c r="R6" s="3">
        <f t="shared" si="4"/>
        <v>0.621115159367549</v>
      </c>
      <c r="T6" s="4">
        <v>147.1708355</v>
      </c>
      <c r="U6">
        <v>100.23</v>
      </c>
      <c r="V6" s="5">
        <f t="shared" si="5"/>
        <v>46.9408355</v>
      </c>
      <c r="W6">
        <v>410.93</v>
      </c>
      <c r="X6" s="3">
        <f t="shared" si="6"/>
        <v>0.114230733944954</v>
      </c>
      <c r="Z6" s="4">
        <v>24.1926249538754</v>
      </c>
      <c r="AA6">
        <v>13.25</v>
      </c>
      <c r="AB6" s="5">
        <f t="shared" si="7"/>
        <v>10.9426249538754</v>
      </c>
      <c r="AC6">
        <v>33.93</v>
      </c>
      <c r="AD6" s="3">
        <f t="shared" si="8"/>
        <v>0.322505893129248</v>
      </c>
      <c r="AF6" s="7">
        <v>3.39</v>
      </c>
      <c r="AG6">
        <v>2.09</v>
      </c>
      <c r="AH6" s="5">
        <f t="shared" si="9"/>
        <v>1.3</v>
      </c>
      <c r="AI6">
        <v>3.85</v>
      </c>
      <c r="AJ6" s="3">
        <f t="shared" si="10"/>
        <v>0.337662337662338</v>
      </c>
      <c r="AL6" s="4">
        <v>6.46</v>
      </c>
      <c r="AM6">
        <v>6.1</v>
      </c>
      <c r="AN6" s="5">
        <f t="shared" si="11"/>
        <v>0.36</v>
      </c>
      <c r="AO6">
        <v>1.89</v>
      </c>
      <c r="AP6" s="3">
        <f t="shared" si="12"/>
        <v>0.190476190476191</v>
      </c>
      <c r="AR6" s="4">
        <v>1.49908659579858</v>
      </c>
      <c r="AS6">
        <v>0.02</v>
      </c>
      <c r="AT6" s="5">
        <f t="shared" si="13"/>
        <v>1.47908659579858</v>
      </c>
      <c r="AU6">
        <v>2.84</v>
      </c>
      <c r="AV6" s="3">
        <f t="shared" si="14"/>
        <v>0.520805139365697</v>
      </c>
      <c r="AX6" s="4">
        <v>14.6648665125</v>
      </c>
      <c r="AY6">
        <v>3.44</v>
      </c>
      <c r="AZ6" s="5">
        <f t="shared" si="15"/>
        <v>11.2248665125</v>
      </c>
      <c r="BA6">
        <v>29.17</v>
      </c>
      <c r="BB6" s="3">
        <f t="shared" si="16"/>
        <v>0.384808588018512</v>
      </c>
      <c r="BD6" s="4">
        <v>3.4222500125</v>
      </c>
      <c r="BE6">
        <v>0.17</v>
      </c>
      <c r="BF6" s="5">
        <f t="shared" si="17"/>
        <v>3.2522500125</v>
      </c>
      <c r="BG6">
        <v>4</v>
      </c>
      <c r="BH6" s="3">
        <f t="shared" si="18"/>
        <v>0.813062503125</v>
      </c>
      <c r="BJ6" s="9">
        <v>12.4864167041667</v>
      </c>
      <c r="BK6">
        <v>4.8</v>
      </c>
      <c r="BL6" s="5">
        <f t="shared" si="19"/>
        <v>7.6864167041667</v>
      </c>
      <c r="BM6">
        <v>8.9</v>
      </c>
      <c r="BN6" s="3">
        <f t="shared" si="20"/>
        <v>0.863642326310865</v>
      </c>
      <c r="BP6" s="9">
        <v>0.116108333333333</v>
      </c>
      <c r="BQ6">
        <v>0.09</v>
      </c>
      <c r="BR6" s="5">
        <f t="shared" si="21"/>
        <v>0.026108333333333</v>
      </c>
      <c r="BS6">
        <v>0.43</v>
      </c>
      <c r="BT6" s="3">
        <f t="shared" si="22"/>
        <v>0.0607170542635651</v>
      </c>
      <c r="BV6" s="4">
        <v>6.3095082875</v>
      </c>
      <c r="BW6">
        <v>6.18</v>
      </c>
      <c r="BX6" s="5">
        <f t="shared" si="23"/>
        <v>0.1295082875</v>
      </c>
      <c r="BY6">
        <v>1.68</v>
      </c>
      <c r="BZ6" s="3">
        <f t="shared" si="24"/>
        <v>0.0770882663690477</v>
      </c>
      <c r="CB6" s="10">
        <v>103.4</v>
      </c>
      <c r="CC6">
        <v>54.3</v>
      </c>
      <c r="CD6" s="12">
        <f t="shared" si="25"/>
        <v>49.1</v>
      </c>
      <c r="CE6">
        <v>71.3</v>
      </c>
      <c r="CF6" s="3">
        <f t="shared" si="26"/>
        <v>0.688639551192146</v>
      </c>
      <c r="CH6" s="13">
        <v>34.5</v>
      </c>
      <c r="CI6">
        <v>22.6</v>
      </c>
      <c r="CJ6">
        <f t="shared" si="27"/>
        <v>11.9</v>
      </c>
      <c r="CK6">
        <v>25.1</v>
      </c>
      <c r="CL6">
        <f t="shared" si="28"/>
        <v>0.47410358565737</v>
      </c>
      <c r="CN6" s="10">
        <v>4.1</v>
      </c>
      <c r="CO6">
        <v>3</v>
      </c>
      <c r="CP6" s="12">
        <f t="shared" si="29"/>
        <v>1.1</v>
      </c>
      <c r="CQ6">
        <v>3.4</v>
      </c>
      <c r="CR6" s="3">
        <f t="shared" si="30"/>
        <v>0.323529411764706</v>
      </c>
    </row>
    <row r="7" spans="2:96">
      <c r="B7" s="1">
        <v>39024</v>
      </c>
      <c r="C7">
        <v>32416</v>
      </c>
      <c r="D7" s="2">
        <f t="shared" si="31"/>
        <v>6608</v>
      </c>
      <c r="E7">
        <v>31904</v>
      </c>
      <c r="F7" s="3">
        <f t="shared" si="0"/>
        <v>0.207121364092277</v>
      </c>
      <c r="H7" s="1">
        <v>38619.4665526</v>
      </c>
      <c r="I7">
        <v>31145</v>
      </c>
      <c r="J7" s="2">
        <f t="shared" si="1"/>
        <v>7474.4665526</v>
      </c>
      <c r="K7">
        <v>32760</v>
      </c>
      <c r="L7" s="3">
        <f t="shared" si="2"/>
        <v>0.228158319676435</v>
      </c>
      <c r="N7" s="4">
        <v>251.266668316667</v>
      </c>
      <c r="O7">
        <v>201.27</v>
      </c>
      <c r="P7" s="5">
        <f t="shared" si="3"/>
        <v>49.996668316667</v>
      </c>
      <c r="Q7">
        <v>79.69</v>
      </c>
      <c r="R7" s="3">
        <f t="shared" si="4"/>
        <v>0.62738948822521</v>
      </c>
      <c r="T7" s="4">
        <v>147.6083326375</v>
      </c>
      <c r="U7">
        <v>100.23</v>
      </c>
      <c r="V7" s="5">
        <f t="shared" si="5"/>
        <v>47.3783326375</v>
      </c>
      <c r="W7">
        <v>410.93</v>
      </c>
      <c r="X7" s="3">
        <f t="shared" si="6"/>
        <v>0.115295385193342</v>
      </c>
      <c r="Z7" s="4">
        <v>24.8319710020407</v>
      </c>
      <c r="AA7">
        <v>13.25</v>
      </c>
      <c r="AB7" s="5">
        <f t="shared" si="7"/>
        <v>11.5819710020407</v>
      </c>
      <c r="AC7">
        <v>33.93</v>
      </c>
      <c r="AD7" s="3">
        <f t="shared" si="8"/>
        <v>0.341348983260852</v>
      </c>
      <c r="AF7" s="6">
        <v>4.05</v>
      </c>
      <c r="AG7">
        <v>2.09</v>
      </c>
      <c r="AH7" s="5">
        <f t="shared" si="9"/>
        <v>1.96</v>
      </c>
      <c r="AI7">
        <v>3.85</v>
      </c>
      <c r="AJ7" s="3">
        <f t="shared" si="10"/>
        <v>0.509090909090909</v>
      </c>
      <c r="AL7" s="4">
        <v>6.72</v>
      </c>
      <c r="AM7">
        <v>6.1</v>
      </c>
      <c r="AN7" s="5">
        <f t="shared" si="11"/>
        <v>0.62</v>
      </c>
      <c r="AO7">
        <v>1.89</v>
      </c>
      <c r="AP7" s="3">
        <f t="shared" si="12"/>
        <v>0.328042328042328</v>
      </c>
      <c r="AR7" s="4">
        <v>1.07076201296924</v>
      </c>
      <c r="AS7">
        <v>0.02</v>
      </c>
      <c r="AT7" s="5">
        <f t="shared" si="13"/>
        <v>1.05076201296924</v>
      </c>
      <c r="AU7">
        <v>2.84</v>
      </c>
      <c r="AV7" s="3">
        <f t="shared" si="14"/>
        <v>0.369986624284944</v>
      </c>
      <c r="AX7" s="4">
        <v>11.5526667541667</v>
      </c>
      <c r="AY7">
        <v>3.44</v>
      </c>
      <c r="AZ7" s="5">
        <f t="shared" si="15"/>
        <v>8.1126667541667</v>
      </c>
      <c r="BA7">
        <v>29.17</v>
      </c>
      <c r="BB7" s="3">
        <f t="shared" si="16"/>
        <v>0.278116789652612</v>
      </c>
      <c r="BD7" s="4">
        <v>2.36716665416667</v>
      </c>
      <c r="BE7">
        <v>0.17</v>
      </c>
      <c r="BF7" s="5">
        <f t="shared" si="17"/>
        <v>2.19716665416667</v>
      </c>
      <c r="BG7">
        <v>4</v>
      </c>
      <c r="BH7" s="3">
        <f t="shared" si="18"/>
        <v>0.549291663541667</v>
      </c>
      <c r="BJ7" s="9">
        <v>12.2115833375</v>
      </c>
      <c r="BK7">
        <v>4.8</v>
      </c>
      <c r="BL7" s="5">
        <f t="shared" si="19"/>
        <v>7.4115833375</v>
      </c>
      <c r="BM7">
        <v>8.9</v>
      </c>
      <c r="BN7" s="3">
        <f t="shared" si="20"/>
        <v>0.832762172752809</v>
      </c>
      <c r="BP7" s="9">
        <v>0.09775</v>
      </c>
      <c r="BQ7">
        <v>0.09</v>
      </c>
      <c r="BR7" s="5">
        <f t="shared" si="21"/>
        <v>0.00775000000000001</v>
      </c>
      <c r="BS7">
        <v>0.43</v>
      </c>
      <c r="BT7" s="3">
        <f t="shared" si="22"/>
        <v>0.0180232558139535</v>
      </c>
      <c r="BV7" s="4">
        <v>6.22358334166667</v>
      </c>
      <c r="BW7">
        <v>6.18</v>
      </c>
      <c r="BX7" s="5">
        <f t="shared" si="23"/>
        <v>0.04358334166667</v>
      </c>
      <c r="BY7">
        <v>1.68</v>
      </c>
      <c r="BZ7" s="3">
        <f t="shared" si="24"/>
        <v>0.0259424652777798</v>
      </c>
      <c r="CB7" s="10">
        <v>105.3</v>
      </c>
      <c r="CC7">
        <v>54.3</v>
      </c>
      <c r="CD7" s="12">
        <f t="shared" si="25"/>
        <v>51</v>
      </c>
      <c r="CE7">
        <v>71.3</v>
      </c>
      <c r="CF7" s="3">
        <f t="shared" si="26"/>
        <v>0.715287517531557</v>
      </c>
      <c r="CH7" s="13">
        <v>33.6</v>
      </c>
      <c r="CI7">
        <v>22.6</v>
      </c>
      <c r="CJ7">
        <f t="shared" si="27"/>
        <v>11</v>
      </c>
      <c r="CK7">
        <v>25.1</v>
      </c>
      <c r="CL7">
        <f t="shared" si="28"/>
        <v>0.438247011952191</v>
      </c>
      <c r="CN7" s="10">
        <v>4.36</v>
      </c>
      <c r="CO7">
        <v>3</v>
      </c>
      <c r="CP7" s="12">
        <f t="shared" si="29"/>
        <v>1.36</v>
      </c>
      <c r="CQ7">
        <v>3.4</v>
      </c>
      <c r="CR7" s="3">
        <f t="shared" si="30"/>
        <v>0.4</v>
      </c>
    </row>
    <row r="8" spans="2:96">
      <c r="B8" s="1">
        <v>40365</v>
      </c>
      <c r="C8">
        <v>32416</v>
      </c>
      <c r="D8" s="2">
        <f t="shared" si="31"/>
        <v>7949</v>
      </c>
      <c r="E8">
        <v>31904</v>
      </c>
      <c r="F8" s="3">
        <f t="shared" si="0"/>
        <v>0.2491537111334</v>
      </c>
      <c r="H8" s="1">
        <v>39734.5274289</v>
      </c>
      <c r="I8">
        <v>31145</v>
      </c>
      <c r="J8" s="2">
        <f t="shared" si="1"/>
        <v>8589.5274289</v>
      </c>
      <c r="K8">
        <v>32760</v>
      </c>
      <c r="L8" s="3">
        <f t="shared" si="2"/>
        <v>0.262195586962759</v>
      </c>
      <c r="N8" s="4">
        <v>252.790000279167</v>
      </c>
      <c r="O8">
        <v>201.27</v>
      </c>
      <c r="P8" s="5">
        <f t="shared" si="3"/>
        <v>51.520000279167</v>
      </c>
      <c r="Q8">
        <v>79.69</v>
      </c>
      <c r="R8" s="3">
        <f t="shared" si="4"/>
        <v>0.646505211182921</v>
      </c>
      <c r="T8" s="4">
        <v>275.0208333375</v>
      </c>
      <c r="U8">
        <v>100.23</v>
      </c>
      <c r="V8" s="5">
        <f t="shared" si="5"/>
        <v>174.7908333375</v>
      </c>
      <c r="W8">
        <v>410.93</v>
      </c>
      <c r="X8" s="3">
        <f t="shared" si="6"/>
        <v>0.425354277705449</v>
      </c>
      <c r="Z8" s="4">
        <v>24.7475937179984</v>
      </c>
      <c r="AA8">
        <v>13.25</v>
      </c>
      <c r="AB8" s="5">
        <f t="shared" si="7"/>
        <v>11.4975937179984</v>
      </c>
      <c r="AC8">
        <v>33.93</v>
      </c>
      <c r="AD8" s="3">
        <f t="shared" si="8"/>
        <v>0.338862178544014</v>
      </c>
      <c r="AF8" s="6">
        <v>5.1</v>
      </c>
      <c r="AG8">
        <v>2.09</v>
      </c>
      <c r="AH8" s="5">
        <f t="shared" si="9"/>
        <v>3.01</v>
      </c>
      <c r="AI8">
        <v>3.85</v>
      </c>
      <c r="AJ8" s="3">
        <f t="shared" si="10"/>
        <v>0.781818181818182</v>
      </c>
      <c r="AL8" s="4">
        <v>6.63</v>
      </c>
      <c r="AM8">
        <v>6.1</v>
      </c>
      <c r="AN8" s="5">
        <f t="shared" si="11"/>
        <v>0.53</v>
      </c>
      <c r="AO8">
        <v>1.89</v>
      </c>
      <c r="AP8" s="3">
        <f t="shared" si="12"/>
        <v>0.280423280423281</v>
      </c>
      <c r="AR8" s="4">
        <v>1.4969171748261</v>
      </c>
      <c r="AS8">
        <v>0.02</v>
      </c>
      <c r="AT8" s="5">
        <f t="shared" si="13"/>
        <v>1.4769171748261</v>
      </c>
      <c r="AU8">
        <v>2.84</v>
      </c>
      <c r="AV8" s="3">
        <f t="shared" si="14"/>
        <v>0.520041258741585</v>
      </c>
      <c r="AX8" s="4">
        <v>14.0729334708333</v>
      </c>
      <c r="AY8">
        <v>3.44</v>
      </c>
      <c r="AZ8" s="5">
        <f t="shared" si="15"/>
        <v>10.6329334708333</v>
      </c>
      <c r="BA8">
        <v>29.17</v>
      </c>
      <c r="BB8" s="3">
        <f t="shared" si="16"/>
        <v>0.364516060021711</v>
      </c>
      <c r="BD8" s="4">
        <v>0.794249991666666</v>
      </c>
      <c r="BE8">
        <v>0.17</v>
      </c>
      <c r="BF8" s="5">
        <f t="shared" si="17"/>
        <v>0.624249991666666</v>
      </c>
      <c r="BG8">
        <v>4</v>
      </c>
      <c r="BH8" s="3">
        <f t="shared" si="18"/>
        <v>0.156062497916666</v>
      </c>
      <c r="BJ8" s="9">
        <v>12.4004166583333</v>
      </c>
      <c r="BK8">
        <v>4.8</v>
      </c>
      <c r="BL8" s="5">
        <f t="shared" si="19"/>
        <v>7.6004166583333</v>
      </c>
      <c r="BM8">
        <v>8.9</v>
      </c>
      <c r="BN8" s="3">
        <f t="shared" si="20"/>
        <v>0.85397939981273</v>
      </c>
      <c r="BP8" s="9">
        <v>0.106358333333333</v>
      </c>
      <c r="BQ8">
        <v>0.09</v>
      </c>
      <c r="BR8" s="5">
        <f t="shared" si="21"/>
        <v>0.016358333333333</v>
      </c>
      <c r="BS8">
        <v>0.43</v>
      </c>
      <c r="BT8" s="3">
        <f t="shared" si="22"/>
        <v>0.038042635658914</v>
      </c>
      <c r="BV8" s="4">
        <v>6.25514171666667</v>
      </c>
      <c r="BW8">
        <v>6.18</v>
      </c>
      <c r="BX8" s="5">
        <f t="shared" si="23"/>
        <v>0.0751417166666704</v>
      </c>
      <c r="BY8">
        <v>1.68</v>
      </c>
      <c r="BZ8" s="3">
        <f t="shared" si="24"/>
        <v>0.0447272123015895</v>
      </c>
      <c r="CB8" s="10">
        <v>105.7</v>
      </c>
      <c r="CC8">
        <v>54.3</v>
      </c>
      <c r="CD8" s="12">
        <f t="shared" si="25"/>
        <v>51.4</v>
      </c>
      <c r="CE8">
        <v>71.3</v>
      </c>
      <c r="CF8" s="3">
        <f t="shared" si="26"/>
        <v>0.720897615708275</v>
      </c>
      <c r="CH8" s="13">
        <v>32.3</v>
      </c>
      <c r="CI8">
        <v>22.6</v>
      </c>
      <c r="CJ8">
        <f t="shared" si="27"/>
        <v>9.7</v>
      </c>
      <c r="CK8">
        <v>25.1</v>
      </c>
      <c r="CL8">
        <f t="shared" si="28"/>
        <v>0.386454183266932</v>
      </c>
      <c r="CN8" s="11">
        <v>4.5</v>
      </c>
      <c r="CO8">
        <v>3</v>
      </c>
      <c r="CP8" s="12">
        <f t="shared" si="29"/>
        <v>1.5</v>
      </c>
      <c r="CQ8">
        <v>3.4</v>
      </c>
      <c r="CR8" s="3">
        <f t="shared" si="30"/>
        <v>0.441176470588235</v>
      </c>
    </row>
    <row r="9" spans="2:96">
      <c r="B9" s="1">
        <v>46057</v>
      </c>
      <c r="C9">
        <v>32416</v>
      </c>
      <c r="D9" s="2">
        <f t="shared" si="31"/>
        <v>13641</v>
      </c>
      <c r="E9">
        <v>31904</v>
      </c>
      <c r="F9" s="3">
        <f t="shared" si="0"/>
        <v>0.427563941825476</v>
      </c>
      <c r="H9" s="1">
        <v>45802.5820446</v>
      </c>
      <c r="I9">
        <v>31145</v>
      </c>
      <c r="J9" s="2">
        <f t="shared" si="1"/>
        <v>14657.5820446</v>
      </c>
      <c r="K9">
        <v>32760</v>
      </c>
      <c r="L9" s="3">
        <f t="shared" si="2"/>
        <v>0.447423139334554</v>
      </c>
      <c r="N9" s="4">
        <v>251.170000079167</v>
      </c>
      <c r="O9">
        <v>201.27</v>
      </c>
      <c r="P9" s="5">
        <f t="shared" si="3"/>
        <v>49.900000079167</v>
      </c>
      <c r="Q9">
        <v>79.69</v>
      </c>
      <c r="R9" s="3">
        <f t="shared" si="4"/>
        <v>0.626176434673949</v>
      </c>
      <c r="T9" s="4">
        <v>236.375001904167</v>
      </c>
      <c r="U9">
        <v>100.23</v>
      </c>
      <c r="V9" s="5">
        <f t="shared" si="5"/>
        <v>136.145001904167</v>
      </c>
      <c r="W9">
        <v>410.93</v>
      </c>
      <c r="X9" s="3">
        <f t="shared" si="6"/>
        <v>0.331309473399769</v>
      </c>
      <c r="Z9" s="4">
        <v>23.5891501791234</v>
      </c>
      <c r="AA9">
        <v>13.25</v>
      </c>
      <c r="AB9" s="5">
        <f t="shared" si="7"/>
        <v>10.3391501791234</v>
      </c>
      <c r="AC9">
        <v>33.93</v>
      </c>
      <c r="AD9" s="3">
        <f t="shared" si="8"/>
        <v>0.304720017068182</v>
      </c>
      <c r="AF9" s="6">
        <v>4.74</v>
      </c>
      <c r="AG9">
        <v>2.09</v>
      </c>
      <c r="AH9" s="5">
        <f t="shared" si="9"/>
        <v>2.65</v>
      </c>
      <c r="AI9">
        <v>3.85</v>
      </c>
      <c r="AJ9" s="3">
        <f t="shared" si="10"/>
        <v>0.688311688311688</v>
      </c>
      <c r="AL9" s="4">
        <v>6.74</v>
      </c>
      <c r="AM9">
        <v>6.1</v>
      </c>
      <c r="AN9" s="5">
        <f t="shared" si="11"/>
        <v>0.640000000000001</v>
      </c>
      <c r="AO9">
        <v>1.89</v>
      </c>
      <c r="AP9" s="3">
        <f t="shared" si="12"/>
        <v>0.338624338624339</v>
      </c>
      <c r="AR9" s="4">
        <v>1.3824576509493</v>
      </c>
      <c r="AS9">
        <v>0.02</v>
      </c>
      <c r="AT9" s="5">
        <f t="shared" si="13"/>
        <v>1.3624576509493</v>
      </c>
      <c r="AU9">
        <v>2.84</v>
      </c>
      <c r="AV9" s="3">
        <f t="shared" si="14"/>
        <v>0.47973860948919</v>
      </c>
      <c r="AX9" s="4">
        <v>14.2627332833333</v>
      </c>
      <c r="AY9">
        <v>3.44</v>
      </c>
      <c r="AZ9" s="5">
        <f t="shared" si="15"/>
        <v>10.8227332833333</v>
      </c>
      <c r="BA9">
        <v>29.17</v>
      </c>
      <c r="BB9" s="3">
        <f t="shared" si="16"/>
        <v>0.371022738544165</v>
      </c>
      <c r="BD9" s="4">
        <v>0.709083341666667</v>
      </c>
      <c r="BE9">
        <v>0.17</v>
      </c>
      <c r="BF9" s="5">
        <f t="shared" si="17"/>
        <v>0.539083341666667</v>
      </c>
      <c r="BG9">
        <v>4</v>
      </c>
      <c r="BH9" s="3">
        <f t="shared" si="18"/>
        <v>0.134770835416667</v>
      </c>
      <c r="BJ9" s="9">
        <v>13.0019999791667</v>
      </c>
      <c r="BK9">
        <v>4.8</v>
      </c>
      <c r="BL9" s="5">
        <f t="shared" si="19"/>
        <v>8.2019999791667</v>
      </c>
      <c r="BM9">
        <v>8.9</v>
      </c>
      <c r="BN9" s="3">
        <f t="shared" si="20"/>
        <v>0.921573031367045</v>
      </c>
      <c r="BP9" s="9">
        <v>0.192258333333333</v>
      </c>
      <c r="BQ9">
        <v>0.09</v>
      </c>
      <c r="BR9" s="5">
        <f t="shared" si="21"/>
        <v>0.102258333333333</v>
      </c>
      <c r="BS9">
        <v>0.43</v>
      </c>
      <c r="BT9" s="3">
        <f t="shared" si="22"/>
        <v>0.237810077519379</v>
      </c>
      <c r="BV9" s="4">
        <v>6.18870002916667</v>
      </c>
      <c r="BW9">
        <v>6.18</v>
      </c>
      <c r="BX9" s="5">
        <f t="shared" si="23"/>
        <v>0.00870002916667012</v>
      </c>
      <c r="BY9">
        <v>1.68</v>
      </c>
      <c r="BZ9" s="3">
        <f t="shared" si="24"/>
        <v>0.0051785887896846</v>
      </c>
      <c r="CB9" s="10">
        <v>106.3</v>
      </c>
      <c r="CC9">
        <v>54.3</v>
      </c>
      <c r="CD9" s="12">
        <f t="shared" si="25"/>
        <v>52</v>
      </c>
      <c r="CE9">
        <v>71.3</v>
      </c>
      <c r="CF9" s="3">
        <f t="shared" si="26"/>
        <v>0.729312762973352</v>
      </c>
      <c r="CH9" s="13">
        <v>33.7</v>
      </c>
      <c r="CI9">
        <v>22.6</v>
      </c>
      <c r="CJ9">
        <f t="shared" si="27"/>
        <v>11.1</v>
      </c>
      <c r="CK9">
        <v>25.1</v>
      </c>
      <c r="CL9">
        <f t="shared" si="28"/>
        <v>0.442231075697211</v>
      </c>
      <c r="CN9" s="10">
        <v>4.8</v>
      </c>
      <c r="CO9">
        <v>3</v>
      </c>
      <c r="CP9" s="12">
        <f t="shared" si="29"/>
        <v>1.8</v>
      </c>
      <c r="CQ9">
        <v>3.4</v>
      </c>
      <c r="CR9" s="3">
        <f t="shared" si="30"/>
        <v>0.529411764705882</v>
      </c>
    </row>
    <row r="10" spans="2:96">
      <c r="B10" s="1">
        <v>45036</v>
      </c>
      <c r="C10">
        <v>32416</v>
      </c>
      <c r="D10" s="2">
        <f t="shared" si="31"/>
        <v>12620</v>
      </c>
      <c r="E10">
        <v>31904</v>
      </c>
      <c r="F10" s="3">
        <f t="shared" si="0"/>
        <v>0.395561685055165</v>
      </c>
      <c r="H10" s="1">
        <v>44398.0764959</v>
      </c>
      <c r="I10">
        <v>31145</v>
      </c>
      <c r="J10" s="2">
        <f t="shared" si="1"/>
        <v>13253.0764959</v>
      </c>
      <c r="K10">
        <v>32760</v>
      </c>
      <c r="L10" s="3">
        <f t="shared" si="2"/>
        <v>0.404550564587912</v>
      </c>
      <c r="N10" s="4">
        <v>252.350002920833</v>
      </c>
      <c r="O10">
        <v>201.27</v>
      </c>
      <c r="P10" s="5">
        <f t="shared" si="3"/>
        <v>51.080002920833</v>
      </c>
      <c r="Q10">
        <v>79.69</v>
      </c>
      <c r="R10" s="3">
        <f t="shared" si="4"/>
        <v>0.640983848924997</v>
      </c>
      <c r="T10" s="4">
        <v>153.329167041667</v>
      </c>
      <c r="U10">
        <v>100.23</v>
      </c>
      <c r="V10" s="5">
        <f t="shared" si="5"/>
        <v>53.099167041667</v>
      </c>
      <c r="W10">
        <v>410.93</v>
      </c>
      <c r="X10" s="3">
        <f t="shared" si="6"/>
        <v>0.129217061401375</v>
      </c>
      <c r="Z10" s="4">
        <v>24.7114591771958</v>
      </c>
      <c r="AA10">
        <v>13.25</v>
      </c>
      <c r="AB10" s="5">
        <f t="shared" si="7"/>
        <v>11.4614591771958</v>
      </c>
      <c r="AC10">
        <v>33.93</v>
      </c>
      <c r="AD10" s="3">
        <f t="shared" si="8"/>
        <v>0.337797205340283</v>
      </c>
      <c r="AF10" s="6">
        <v>4.16</v>
      </c>
      <c r="AG10">
        <v>2.09</v>
      </c>
      <c r="AH10" s="5">
        <f t="shared" si="9"/>
        <v>2.07</v>
      </c>
      <c r="AI10">
        <v>3.85</v>
      </c>
      <c r="AJ10" s="3">
        <f t="shared" si="10"/>
        <v>0.537662337662338</v>
      </c>
      <c r="AL10" s="4">
        <v>6.73</v>
      </c>
      <c r="AM10">
        <v>6.1</v>
      </c>
      <c r="AN10" s="5">
        <f t="shared" si="11"/>
        <v>0.630000000000001</v>
      </c>
      <c r="AO10">
        <v>1.89</v>
      </c>
      <c r="AP10" s="3">
        <f t="shared" si="12"/>
        <v>0.333333333333334</v>
      </c>
      <c r="AR10" s="4">
        <v>1.64062416756396</v>
      </c>
      <c r="AS10">
        <v>0.02</v>
      </c>
      <c r="AT10" s="5">
        <f t="shared" si="13"/>
        <v>1.62062416756396</v>
      </c>
      <c r="AU10">
        <v>2.84</v>
      </c>
      <c r="AV10" s="3">
        <f t="shared" si="14"/>
        <v>0.570642312522521</v>
      </c>
      <c r="AX10" s="4">
        <v>11.0690666125</v>
      </c>
      <c r="AY10">
        <v>3.44</v>
      </c>
      <c r="AZ10" s="5">
        <f t="shared" si="15"/>
        <v>7.6290666125</v>
      </c>
      <c r="BA10">
        <v>29.17</v>
      </c>
      <c r="BB10" s="3">
        <f t="shared" si="16"/>
        <v>0.261538108073363</v>
      </c>
      <c r="BD10" s="4">
        <v>0.919499991666667</v>
      </c>
      <c r="BE10">
        <v>0.17</v>
      </c>
      <c r="BF10" s="5">
        <f t="shared" si="17"/>
        <v>0.749499991666667</v>
      </c>
      <c r="BG10">
        <v>4</v>
      </c>
      <c r="BH10" s="3">
        <f t="shared" si="18"/>
        <v>0.187374997916667</v>
      </c>
      <c r="BJ10" s="9">
        <v>12.9325833208333</v>
      </c>
      <c r="BK10">
        <v>4.8</v>
      </c>
      <c r="BL10" s="5">
        <f t="shared" si="19"/>
        <v>8.1325833208333</v>
      </c>
      <c r="BM10">
        <v>8.9</v>
      </c>
      <c r="BN10" s="3">
        <f t="shared" si="20"/>
        <v>0.913773406835202</v>
      </c>
      <c r="BP10" s="9">
        <v>0.186925</v>
      </c>
      <c r="BQ10">
        <v>0.09</v>
      </c>
      <c r="BR10" s="5">
        <f t="shared" si="21"/>
        <v>0.096925</v>
      </c>
      <c r="BS10">
        <v>0.43</v>
      </c>
      <c r="BT10" s="3">
        <f t="shared" si="22"/>
        <v>0.225406976744186</v>
      </c>
      <c r="BV10" s="4">
        <v>6.24312500833333</v>
      </c>
      <c r="BW10">
        <v>6.18</v>
      </c>
      <c r="BX10" s="5">
        <f t="shared" si="23"/>
        <v>0.0631250083333299</v>
      </c>
      <c r="BY10">
        <v>1.68</v>
      </c>
      <c r="BZ10" s="3">
        <f t="shared" si="24"/>
        <v>0.0375744097222202</v>
      </c>
      <c r="CB10" s="10">
        <v>105.8</v>
      </c>
      <c r="CC10">
        <v>54.3</v>
      </c>
      <c r="CD10" s="12">
        <f t="shared" si="25"/>
        <v>51.5</v>
      </c>
      <c r="CE10">
        <v>71.3</v>
      </c>
      <c r="CF10" s="3">
        <f t="shared" si="26"/>
        <v>0.722300140252454</v>
      </c>
      <c r="CH10" s="13">
        <v>31.9</v>
      </c>
      <c r="CI10">
        <v>22.6</v>
      </c>
      <c r="CJ10">
        <f t="shared" si="27"/>
        <v>9.3</v>
      </c>
      <c r="CK10">
        <v>25.1</v>
      </c>
      <c r="CL10">
        <f t="shared" si="28"/>
        <v>0.370517928286852</v>
      </c>
      <c r="CN10" s="10">
        <v>4.2</v>
      </c>
      <c r="CO10">
        <v>3</v>
      </c>
      <c r="CP10" s="12">
        <f t="shared" si="29"/>
        <v>1.2</v>
      </c>
      <c r="CQ10">
        <v>3.4</v>
      </c>
      <c r="CR10" s="3">
        <f t="shared" si="30"/>
        <v>0.352941176470588</v>
      </c>
    </row>
    <row r="11" spans="2:96">
      <c r="B11" s="1">
        <v>46987</v>
      </c>
      <c r="C11">
        <v>32416</v>
      </c>
      <c r="D11" s="2">
        <f t="shared" si="31"/>
        <v>14571</v>
      </c>
      <c r="E11">
        <v>31904</v>
      </c>
      <c r="F11" s="3">
        <f t="shared" si="0"/>
        <v>0.456713891675025</v>
      </c>
      <c r="H11" s="1">
        <v>46544.7202455</v>
      </c>
      <c r="I11">
        <v>31145</v>
      </c>
      <c r="J11" s="2">
        <f t="shared" si="1"/>
        <v>15399.7202455</v>
      </c>
      <c r="K11">
        <v>32760</v>
      </c>
      <c r="L11" s="3">
        <f t="shared" si="2"/>
        <v>0.470076930570818</v>
      </c>
      <c r="N11" s="4">
        <v>253.476669954167</v>
      </c>
      <c r="O11">
        <v>201.27</v>
      </c>
      <c r="P11" s="5">
        <f t="shared" si="3"/>
        <v>52.206669954167</v>
      </c>
      <c r="Q11">
        <v>79.69</v>
      </c>
      <c r="R11" s="3">
        <f t="shared" si="4"/>
        <v>0.655121972068854</v>
      </c>
      <c r="T11" s="4">
        <v>213.904162091667</v>
      </c>
      <c r="U11">
        <v>100.23</v>
      </c>
      <c r="V11" s="5">
        <f t="shared" si="5"/>
        <v>113.674162091667</v>
      </c>
      <c r="W11">
        <v>410.93</v>
      </c>
      <c r="X11" s="3">
        <f t="shared" si="6"/>
        <v>0.276626583826119</v>
      </c>
      <c r="Z11" s="4">
        <v>25.2434832971945</v>
      </c>
      <c r="AA11">
        <v>13.25</v>
      </c>
      <c r="AB11" s="5">
        <f t="shared" si="7"/>
        <v>11.9934832971945</v>
      </c>
      <c r="AC11">
        <v>33.93</v>
      </c>
      <c r="AD11" s="3">
        <f t="shared" si="8"/>
        <v>0.353477256032847</v>
      </c>
      <c r="AF11" s="7">
        <v>3.48</v>
      </c>
      <c r="AG11">
        <v>2.09</v>
      </c>
      <c r="AH11" s="5">
        <f t="shared" si="9"/>
        <v>1.39</v>
      </c>
      <c r="AI11">
        <v>3.85</v>
      </c>
      <c r="AJ11" s="3">
        <f t="shared" si="10"/>
        <v>0.361038961038961</v>
      </c>
      <c r="AL11" s="4">
        <v>6.84</v>
      </c>
      <c r="AM11">
        <v>6.1</v>
      </c>
      <c r="AN11" s="5">
        <f t="shared" si="11"/>
        <v>0.74</v>
      </c>
      <c r="AO11">
        <v>1.89</v>
      </c>
      <c r="AP11" s="3">
        <f t="shared" si="12"/>
        <v>0.391534391534392</v>
      </c>
      <c r="AR11" s="4">
        <v>1.19746000177686</v>
      </c>
      <c r="AS11">
        <v>0.02</v>
      </c>
      <c r="AT11" s="5">
        <f t="shared" si="13"/>
        <v>1.17746000177686</v>
      </c>
      <c r="AU11">
        <v>2.84</v>
      </c>
      <c r="AV11" s="3">
        <f t="shared" si="14"/>
        <v>0.414598592174951</v>
      </c>
      <c r="AX11" s="4">
        <v>11.4668666583333</v>
      </c>
      <c r="AY11">
        <v>3.44</v>
      </c>
      <c r="AZ11" s="5">
        <f t="shared" si="15"/>
        <v>8.0268666583333</v>
      </c>
      <c r="BA11">
        <v>29.17</v>
      </c>
      <c r="BB11" s="3">
        <f t="shared" si="16"/>
        <v>0.275175408239057</v>
      </c>
      <c r="BD11" s="4">
        <v>0.729416670833334</v>
      </c>
      <c r="BE11">
        <v>0.17</v>
      </c>
      <c r="BF11" s="5">
        <f t="shared" si="17"/>
        <v>0.559416670833334</v>
      </c>
      <c r="BG11">
        <v>4</v>
      </c>
      <c r="BH11" s="3">
        <f t="shared" si="18"/>
        <v>0.139854167708333</v>
      </c>
      <c r="BJ11" s="9">
        <v>11.6369166333333</v>
      </c>
      <c r="BK11">
        <v>4.8</v>
      </c>
      <c r="BL11" s="5">
        <f t="shared" si="19"/>
        <v>6.8369166333333</v>
      </c>
      <c r="BM11">
        <v>8.9</v>
      </c>
      <c r="BN11" s="3">
        <f t="shared" si="20"/>
        <v>0.768192880149809</v>
      </c>
      <c r="BP11" s="9">
        <v>0.0971916666666667</v>
      </c>
      <c r="BQ11">
        <v>0.09</v>
      </c>
      <c r="BR11" s="5">
        <f t="shared" si="21"/>
        <v>0.00719166666666671</v>
      </c>
      <c r="BS11">
        <v>0.43</v>
      </c>
      <c r="BT11" s="3">
        <f t="shared" si="22"/>
        <v>0.0167248062015505</v>
      </c>
      <c r="BV11" s="4">
        <v>6.269549975</v>
      </c>
      <c r="BW11">
        <v>6.18</v>
      </c>
      <c r="BX11" s="5">
        <f t="shared" si="23"/>
        <v>0.0895499750000006</v>
      </c>
      <c r="BY11">
        <v>1.68</v>
      </c>
      <c r="BZ11" s="3">
        <f t="shared" si="24"/>
        <v>0.0533035565476194</v>
      </c>
      <c r="CB11" s="10">
        <v>107.6</v>
      </c>
      <c r="CC11">
        <v>54.3</v>
      </c>
      <c r="CD11" s="12">
        <f t="shared" si="25"/>
        <v>53.3</v>
      </c>
      <c r="CE11">
        <v>71.3</v>
      </c>
      <c r="CF11" s="3">
        <f t="shared" si="26"/>
        <v>0.747545582047686</v>
      </c>
      <c r="CH11" s="13">
        <v>34.8</v>
      </c>
      <c r="CI11">
        <v>22.6</v>
      </c>
      <c r="CJ11">
        <f t="shared" si="27"/>
        <v>12.2</v>
      </c>
      <c r="CK11">
        <v>25.1</v>
      </c>
      <c r="CL11">
        <f t="shared" si="28"/>
        <v>0.48605577689243</v>
      </c>
      <c r="CN11" s="10">
        <v>4.6</v>
      </c>
      <c r="CO11">
        <v>3</v>
      </c>
      <c r="CP11" s="12">
        <f t="shared" si="29"/>
        <v>1.6</v>
      </c>
      <c r="CQ11">
        <v>3.4</v>
      </c>
      <c r="CR11" s="3">
        <f t="shared" si="30"/>
        <v>0.470588235294118</v>
      </c>
    </row>
    <row r="12" spans="2:96">
      <c r="B12" s="1">
        <v>44863</v>
      </c>
      <c r="C12">
        <v>32416</v>
      </c>
      <c r="D12" s="2">
        <f t="shared" si="31"/>
        <v>12447</v>
      </c>
      <c r="E12">
        <v>31904</v>
      </c>
      <c r="F12" s="3">
        <f t="shared" si="0"/>
        <v>0.390139167502508</v>
      </c>
      <c r="H12" s="1">
        <v>44142.9799501</v>
      </c>
      <c r="I12">
        <v>31145</v>
      </c>
      <c r="J12" s="2">
        <f t="shared" si="1"/>
        <v>12997.9799501</v>
      </c>
      <c r="K12">
        <v>32760</v>
      </c>
      <c r="L12" s="3">
        <f t="shared" si="2"/>
        <v>0.396763734740537</v>
      </c>
      <c r="N12" s="4">
        <v>253.390003833333</v>
      </c>
      <c r="O12">
        <v>201.27</v>
      </c>
      <c r="P12" s="5">
        <f t="shared" si="3"/>
        <v>52.120003833333</v>
      </c>
      <c r="Q12">
        <v>79.69</v>
      </c>
      <c r="R12" s="3">
        <f t="shared" si="4"/>
        <v>0.654034431338097</v>
      </c>
      <c r="T12" s="4">
        <v>247.7041651375</v>
      </c>
      <c r="U12">
        <v>100.23</v>
      </c>
      <c r="V12" s="5">
        <f t="shared" si="5"/>
        <v>147.4741651375</v>
      </c>
      <c r="W12">
        <v>410.93</v>
      </c>
      <c r="X12" s="3">
        <f t="shared" si="6"/>
        <v>0.358879042993941</v>
      </c>
      <c r="Z12" s="4">
        <v>23.7710512070991</v>
      </c>
      <c r="AA12">
        <v>13.25</v>
      </c>
      <c r="AB12" s="5">
        <f t="shared" si="7"/>
        <v>10.5210512070991</v>
      </c>
      <c r="AC12">
        <v>33.93</v>
      </c>
      <c r="AD12" s="3">
        <f t="shared" si="8"/>
        <v>0.31008108479514</v>
      </c>
      <c r="AF12" s="6">
        <v>5.13</v>
      </c>
      <c r="AG12">
        <v>2.09</v>
      </c>
      <c r="AH12" s="5">
        <f t="shared" si="9"/>
        <v>3.04</v>
      </c>
      <c r="AI12">
        <v>3.85</v>
      </c>
      <c r="AJ12" s="3">
        <f t="shared" si="10"/>
        <v>0.78961038961039</v>
      </c>
      <c r="AL12" s="4">
        <v>6.69</v>
      </c>
      <c r="AM12">
        <v>6.1</v>
      </c>
      <c r="AN12" s="5">
        <f t="shared" si="11"/>
        <v>0.590000000000001</v>
      </c>
      <c r="AO12">
        <v>1.89</v>
      </c>
      <c r="AP12" s="3">
        <f t="shared" si="12"/>
        <v>0.312169312169313</v>
      </c>
      <c r="AR12" s="4">
        <v>1.005633293454</v>
      </c>
      <c r="AS12">
        <v>0.02</v>
      </c>
      <c r="AT12" s="5">
        <f t="shared" si="13"/>
        <v>0.985633293454</v>
      </c>
      <c r="AU12">
        <v>2.84</v>
      </c>
      <c r="AV12" s="3">
        <f t="shared" si="14"/>
        <v>0.34705397656831</v>
      </c>
      <c r="AX12" s="4">
        <v>11.8308667333333</v>
      </c>
      <c r="AY12">
        <v>3.44</v>
      </c>
      <c r="AZ12" s="5">
        <f t="shared" si="15"/>
        <v>8.3908667333333</v>
      </c>
      <c r="BA12">
        <v>29.17</v>
      </c>
      <c r="BB12" s="3">
        <f t="shared" si="16"/>
        <v>0.287653984687463</v>
      </c>
      <c r="BD12" s="4">
        <v>1.62900002083333</v>
      </c>
      <c r="BE12">
        <v>0.17</v>
      </c>
      <c r="BF12" s="5">
        <f t="shared" si="17"/>
        <v>1.45900002083333</v>
      </c>
      <c r="BG12">
        <v>4</v>
      </c>
      <c r="BH12" s="3">
        <f t="shared" si="18"/>
        <v>0.364750005208333</v>
      </c>
      <c r="BJ12" s="9">
        <v>11.0110000333333</v>
      </c>
      <c r="BK12">
        <v>4.8</v>
      </c>
      <c r="BL12" s="5">
        <f t="shared" si="19"/>
        <v>6.2110000333333</v>
      </c>
      <c r="BM12">
        <v>8.9</v>
      </c>
      <c r="BN12" s="3">
        <f t="shared" si="20"/>
        <v>0.69786517228464</v>
      </c>
      <c r="BP12" s="9">
        <v>0.134758333333333</v>
      </c>
      <c r="BQ12">
        <v>0.09</v>
      </c>
      <c r="BR12" s="5">
        <f t="shared" si="21"/>
        <v>0.044758333333333</v>
      </c>
      <c r="BS12">
        <v>0.43</v>
      </c>
      <c r="BT12" s="3">
        <f t="shared" si="22"/>
        <v>0.104089147286821</v>
      </c>
      <c r="BV12" s="4">
        <v>6.31487505</v>
      </c>
      <c r="BW12">
        <v>6.18</v>
      </c>
      <c r="BX12" s="5">
        <f t="shared" si="23"/>
        <v>0.134875050000001</v>
      </c>
      <c r="BY12">
        <v>1.68</v>
      </c>
      <c r="BZ12" s="3">
        <f t="shared" si="24"/>
        <v>0.0802827678571432</v>
      </c>
      <c r="CB12" s="10">
        <v>108.2</v>
      </c>
      <c r="CC12">
        <v>54.3</v>
      </c>
      <c r="CD12" s="12">
        <f t="shared" si="25"/>
        <v>53.9</v>
      </c>
      <c r="CE12">
        <v>71.3</v>
      </c>
      <c r="CF12" s="3">
        <f t="shared" si="26"/>
        <v>0.755960729312763</v>
      </c>
      <c r="CH12" s="13">
        <v>31.6</v>
      </c>
      <c r="CI12">
        <v>22.6</v>
      </c>
      <c r="CJ12">
        <f t="shared" si="27"/>
        <v>9</v>
      </c>
      <c r="CK12">
        <v>25.1</v>
      </c>
      <c r="CL12">
        <f t="shared" si="28"/>
        <v>0.358565737051793</v>
      </c>
      <c r="CN12" s="10">
        <v>4</v>
      </c>
      <c r="CO12">
        <v>3</v>
      </c>
      <c r="CP12" s="12">
        <f t="shared" si="29"/>
        <v>1</v>
      </c>
      <c r="CQ12">
        <v>3.4</v>
      </c>
      <c r="CR12" s="3">
        <f t="shared" si="30"/>
        <v>0.294117647058824</v>
      </c>
    </row>
    <row r="13" spans="2:96">
      <c r="B13" s="1">
        <v>44034</v>
      </c>
      <c r="C13">
        <v>32416</v>
      </c>
      <c r="D13" s="2">
        <f t="shared" si="31"/>
        <v>11618</v>
      </c>
      <c r="E13">
        <v>31904</v>
      </c>
      <c r="F13" s="3">
        <f t="shared" si="0"/>
        <v>0.364154964894684</v>
      </c>
      <c r="H13" s="1">
        <v>43431.440571</v>
      </c>
      <c r="I13">
        <v>31145</v>
      </c>
      <c r="J13" s="2">
        <f t="shared" si="1"/>
        <v>12286.440571</v>
      </c>
      <c r="K13">
        <v>32760</v>
      </c>
      <c r="L13" s="3">
        <f t="shared" si="2"/>
        <v>0.375043973473748</v>
      </c>
      <c r="N13" s="4">
        <v>254.383337033333</v>
      </c>
      <c r="O13">
        <v>201.27</v>
      </c>
      <c r="P13" s="5">
        <f t="shared" si="3"/>
        <v>53.113337033333</v>
      </c>
      <c r="Q13">
        <v>79.69</v>
      </c>
      <c r="R13" s="3">
        <f t="shared" si="4"/>
        <v>0.666499398084239</v>
      </c>
      <c r="T13" s="4">
        <v>185.808329904167</v>
      </c>
      <c r="U13">
        <v>100.23</v>
      </c>
      <c r="V13" s="5">
        <f t="shared" si="5"/>
        <v>85.578329904167</v>
      </c>
      <c r="W13">
        <v>410.93</v>
      </c>
      <c r="X13" s="3">
        <f t="shared" si="6"/>
        <v>0.208255250052727</v>
      </c>
      <c r="Z13" s="4">
        <v>27.4696602356307</v>
      </c>
      <c r="AA13">
        <v>13.25</v>
      </c>
      <c r="AB13" s="5">
        <f t="shared" si="7"/>
        <v>14.2196602356307</v>
      </c>
      <c r="AC13">
        <v>33.93</v>
      </c>
      <c r="AD13" s="3">
        <f t="shared" si="8"/>
        <v>0.419088129549976</v>
      </c>
      <c r="AF13" s="4">
        <v>4.74</v>
      </c>
      <c r="AG13">
        <v>2.09</v>
      </c>
      <c r="AH13" s="5">
        <f t="shared" si="9"/>
        <v>2.65</v>
      </c>
      <c r="AI13">
        <v>3.85</v>
      </c>
      <c r="AJ13" s="3">
        <f t="shared" si="10"/>
        <v>0.688311688311688</v>
      </c>
      <c r="AL13" s="4">
        <v>6.76</v>
      </c>
      <c r="AM13">
        <v>6.1</v>
      </c>
      <c r="AN13" s="5">
        <f t="shared" si="11"/>
        <v>0.66</v>
      </c>
      <c r="AO13">
        <v>1.89</v>
      </c>
      <c r="AP13" s="3">
        <f t="shared" si="12"/>
        <v>0.349206349206349</v>
      </c>
      <c r="AR13" s="4">
        <v>1.13104739201237</v>
      </c>
      <c r="AS13">
        <v>0.02</v>
      </c>
      <c r="AT13" s="5">
        <f t="shared" si="13"/>
        <v>1.11104739201237</v>
      </c>
      <c r="AU13">
        <v>2.84</v>
      </c>
      <c r="AV13" s="3">
        <f t="shared" si="14"/>
        <v>0.391213870426891</v>
      </c>
      <c r="AX13" s="4">
        <v>13.3102664916667</v>
      </c>
      <c r="AY13">
        <v>3.44</v>
      </c>
      <c r="AZ13" s="5">
        <f t="shared" si="15"/>
        <v>9.8702664916667</v>
      </c>
      <c r="BA13">
        <v>29.17</v>
      </c>
      <c r="BB13" s="3">
        <f t="shared" si="16"/>
        <v>0.33837046594675</v>
      </c>
      <c r="BD13" s="4">
        <v>3.71124999166667</v>
      </c>
      <c r="BE13">
        <v>0.17</v>
      </c>
      <c r="BF13" s="5">
        <f t="shared" si="17"/>
        <v>3.54124999166667</v>
      </c>
      <c r="BG13">
        <v>4</v>
      </c>
      <c r="BH13" s="3">
        <f t="shared" si="18"/>
        <v>0.885312497916668</v>
      </c>
      <c r="BJ13" s="9">
        <v>9.5339165875</v>
      </c>
      <c r="BK13">
        <v>4.8</v>
      </c>
      <c r="BL13" s="5">
        <f t="shared" si="19"/>
        <v>4.7339165875</v>
      </c>
      <c r="BM13">
        <v>8.9</v>
      </c>
      <c r="BN13" s="3">
        <f t="shared" si="20"/>
        <v>0.531900740168539</v>
      </c>
      <c r="BP13" s="9">
        <v>0.1514</v>
      </c>
      <c r="BQ13">
        <v>0.09</v>
      </c>
      <c r="BR13" s="5">
        <f t="shared" si="21"/>
        <v>0.0614</v>
      </c>
      <c r="BS13">
        <v>0.43</v>
      </c>
      <c r="BT13" s="3">
        <f t="shared" si="22"/>
        <v>0.142790697674419</v>
      </c>
      <c r="BV13" s="4">
        <v>6.33278340416667</v>
      </c>
      <c r="BW13">
        <v>6.18</v>
      </c>
      <c r="BX13" s="5">
        <f t="shared" si="23"/>
        <v>0.15278340416667</v>
      </c>
      <c r="BY13">
        <v>1.68</v>
      </c>
      <c r="BZ13" s="3">
        <f t="shared" si="24"/>
        <v>0.0909425024801609</v>
      </c>
      <c r="CB13" s="10">
        <v>106.2</v>
      </c>
      <c r="CC13">
        <v>54.3</v>
      </c>
      <c r="CD13" s="12">
        <f t="shared" si="25"/>
        <v>51.9</v>
      </c>
      <c r="CE13">
        <v>71.3</v>
      </c>
      <c r="CF13" s="3">
        <f t="shared" si="26"/>
        <v>0.727910238429173</v>
      </c>
      <c r="CH13" s="13">
        <v>32.4</v>
      </c>
      <c r="CI13">
        <v>22.6</v>
      </c>
      <c r="CJ13">
        <f t="shared" si="27"/>
        <v>9.8</v>
      </c>
      <c r="CK13">
        <v>25.1</v>
      </c>
      <c r="CL13">
        <f t="shared" si="28"/>
        <v>0.390438247011952</v>
      </c>
      <c r="CN13" s="10">
        <v>4.9</v>
      </c>
      <c r="CO13">
        <v>3</v>
      </c>
      <c r="CP13" s="12">
        <f t="shared" si="29"/>
        <v>1.9</v>
      </c>
      <c r="CQ13">
        <v>3.4</v>
      </c>
      <c r="CR13" s="3">
        <f t="shared" si="30"/>
        <v>0.558823529411765</v>
      </c>
    </row>
    <row r="14" spans="2:96">
      <c r="B14" s="1">
        <v>43051</v>
      </c>
      <c r="C14">
        <v>32416</v>
      </c>
      <c r="D14" s="2">
        <f t="shared" si="31"/>
        <v>10635</v>
      </c>
      <c r="E14">
        <v>31904</v>
      </c>
      <c r="F14" s="3">
        <f t="shared" si="0"/>
        <v>0.333343781344032</v>
      </c>
      <c r="H14" s="1">
        <v>42599.3095931</v>
      </c>
      <c r="I14">
        <v>31145</v>
      </c>
      <c r="J14" s="2">
        <f t="shared" si="1"/>
        <v>11454.3095931</v>
      </c>
      <c r="K14">
        <v>32760</v>
      </c>
      <c r="L14" s="3">
        <f t="shared" si="2"/>
        <v>0.349643149972527</v>
      </c>
      <c r="N14" s="4">
        <v>256.7633374625</v>
      </c>
      <c r="O14">
        <v>201.27</v>
      </c>
      <c r="P14" s="5">
        <f t="shared" si="3"/>
        <v>55.4933374625</v>
      </c>
      <c r="Q14">
        <v>79.69</v>
      </c>
      <c r="R14" s="3">
        <f t="shared" si="4"/>
        <v>0.696365133172292</v>
      </c>
      <c r="T14" s="4">
        <v>262.545836129167</v>
      </c>
      <c r="U14">
        <v>100.23</v>
      </c>
      <c r="V14" s="5">
        <f t="shared" si="5"/>
        <v>162.315836129167</v>
      </c>
      <c r="W14">
        <v>410.93</v>
      </c>
      <c r="X14" s="3">
        <f t="shared" si="6"/>
        <v>0.394996315988531</v>
      </c>
      <c r="Z14" s="4">
        <v>22.2976197482066</v>
      </c>
      <c r="AA14">
        <v>13.25</v>
      </c>
      <c r="AB14" s="5">
        <f t="shared" si="7"/>
        <v>9.0476197482066</v>
      </c>
      <c r="AC14">
        <v>33.93</v>
      </c>
      <c r="AD14" s="3">
        <f t="shared" si="8"/>
        <v>0.266655459717259</v>
      </c>
      <c r="AF14" s="8">
        <v>3.76713159843109</v>
      </c>
      <c r="AG14">
        <v>2.09</v>
      </c>
      <c r="AH14" s="5">
        <f t="shared" si="9"/>
        <v>1.67713159843109</v>
      </c>
      <c r="AI14">
        <v>3.85</v>
      </c>
      <c r="AJ14" s="3">
        <f t="shared" si="10"/>
        <v>0.435618596995088</v>
      </c>
      <c r="AL14" s="4">
        <v>6.72</v>
      </c>
      <c r="AM14">
        <v>6.1</v>
      </c>
      <c r="AN14" s="5">
        <f t="shared" si="11"/>
        <v>0.62</v>
      </c>
      <c r="AO14">
        <v>1.89</v>
      </c>
      <c r="AP14" s="3">
        <f t="shared" si="12"/>
        <v>0.328042328042328</v>
      </c>
      <c r="AR14" s="4">
        <v>1.71144835270908</v>
      </c>
      <c r="AS14">
        <v>0.02</v>
      </c>
      <c r="AT14" s="5">
        <f t="shared" si="13"/>
        <v>1.69144835270908</v>
      </c>
      <c r="AU14">
        <v>2.84</v>
      </c>
      <c r="AV14" s="3">
        <f t="shared" si="14"/>
        <v>0.595580405883479</v>
      </c>
      <c r="AX14" s="4">
        <v>14.6648665125</v>
      </c>
      <c r="AY14">
        <v>3.44</v>
      </c>
      <c r="AZ14" s="5">
        <f t="shared" si="15"/>
        <v>11.2248665125</v>
      </c>
      <c r="BA14">
        <v>29.17</v>
      </c>
      <c r="BB14" s="3">
        <f t="shared" si="16"/>
        <v>0.384808588018512</v>
      </c>
      <c r="BD14" s="4">
        <v>3.4222500125</v>
      </c>
      <c r="BE14">
        <v>0.17</v>
      </c>
      <c r="BF14" s="5">
        <f t="shared" si="17"/>
        <v>3.2522500125</v>
      </c>
      <c r="BG14">
        <v>4</v>
      </c>
      <c r="BH14" s="3">
        <f t="shared" si="18"/>
        <v>0.813062503125</v>
      </c>
      <c r="BJ14" s="9">
        <v>9.8881665875</v>
      </c>
      <c r="BK14">
        <v>4.8</v>
      </c>
      <c r="BL14" s="5">
        <f t="shared" si="19"/>
        <v>5.0881665875</v>
      </c>
      <c r="BM14">
        <v>8.9</v>
      </c>
      <c r="BN14" s="3">
        <f t="shared" si="20"/>
        <v>0.571704110955056</v>
      </c>
      <c r="BP14" s="9">
        <v>0.148925</v>
      </c>
      <c r="BQ14">
        <v>0.09</v>
      </c>
      <c r="BR14" s="5">
        <f t="shared" si="21"/>
        <v>0.058925</v>
      </c>
      <c r="BS14">
        <v>0.43</v>
      </c>
      <c r="BT14" s="3">
        <f t="shared" si="22"/>
        <v>0.13703488372093</v>
      </c>
      <c r="BV14" s="4">
        <v>6.30414169166667</v>
      </c>
      <c r="BW14">
        <v>6.18</v>
      </c>
      <c r="BX14" s="5">
        <f t="shared" si="23"/>
        <v>0.12414169166667</v>
      </c>
      <c r="BY14">
        <v>1.68</v>
      </c>
      <c r="BZ14" s="3">
        <f t="shared" si="24"/>
        <v>0.0738938640873038</v>
      </c>
      <c r="CB14" s="10">
        <v>110.4</v>
      </c>
      <c r="CC14">
        <v>54.3</v>
      </c>
      <c r="CD14" s="12">
        <f t="shared" si="25"/>
        <v>56.1</v>
      </c>
      <c r="CE14">
        <v>71.3</v>
      </c>
      <c r="CF14" s="3">
        <f t="shared" si="26"/>
        <v>0.786816269284713</v>
      </c>
      <c r="CH14" s="13">
        <v>32.1</v>
      </c>
      <c r="CI14">
        <v>22.6</v>
      </c>
      <c r="CJ14">
        <f t="shared" si="27"/>
        <v>9.5</v>
      </c>
      <c r="CK14">
        <v>25.1</v>
      </c>
      <c r="CL14">
        <f t="shared" si="28"/>
        <v>0.378486055776892</v>
      </c>
      <c r="CN14" s="10">
        <v>4.7</v>
      </c>
      <c r="CO14">
        <v>3</v>
      </c>
      <c r="CP14" s="12">
        <f t="shared" si="29"/>
        <v>1.7</v>
      </c>
      <c r="CQ14">
        <v>3.4</v>
      </c>
      <c r="CR14" s="3">
        <f t="shared" si="30"/>
        <v>0.5</v>
      </c>
    </row>
    <row r="15" spans="2:96">
      <c r="B15" s="1">
        <v>40687</v>
      </c>
      <c r="C15">
        <v>32416</v>
      </c>
      <c r="D15" s="2">
        <f t="shared" si="31"/>
        <v>8271</v>
      </c>
      <c r="E15">
        <v>31904</v>
      </c>
      <c r="F15" s="3">
        <f t="shared" si="0"/>
        <v>0.259246489468405</v>
      </c>
      <c r="H15" s="1">
        <v>39929.6291893</v>
      </c>
      <c r="I15">
        <v>31145</v>
      </c>
      <c r="J15" s="2">
        <f t="shared" si="1"/>
        <v>8784.6291893</v>
      </c>
      <c r="K15">
        <v>32760</v>
      </c>
      <c r="L15" s="3">
        <f t="shared" si="2"/>
        <v>0.268151074154457</v>
      </c>
      <c r="N15" s="4">
        <v>255.526671091667</v>
      </c>
      <c r="O15">
        <v>201.27</v>
      </c>
      <c r="P15" s="5">
        <f t="shared" si="3"/>
        <v>54.256671091667</v>
      </c>
      <c r="Q15">
        <v>79.69</v>
      </c>
      <c r="R15" s="3">
        <f t="shared" si="4"/>
        <v>0.680846669490112</v>
      </c>
      <c r="T15" s="4">
        <v>268.770833329167</v>
      </c>
      <c r="U15">
        <v>100.23</v>
      </c>
      <c r="V15" s="5">
        <f t="shared" si="5"/>
        <v>168.540833329167</v>
      </c>
      <c r="W15">
        <v>410.93</v>
      </c>
      <c r="X15" s="3">
        <f t="shared" si="6"/>
        <v>0.410144874623821</v>
      </c>
      <c r="Z15" s="4">
        <v>26.4685823396682</v>
      </c>
      <c r="AA15">
        <v>13.25</v>
      </c>
      <c r="AB15" s="5">
        <f t="shared" si="7"/>
        <v>13.2185823396682</v>
      </c>
      <c r="AC15">
        <v>33.93</v>
      </c>
      <c r="AD15" s="3">
        <f t="shared" si="8"/>
        <v>0.389583918056829</v>
      </c>
      <c r="AF15" s="8">
        <v>4.80357593427636</v>
      </c>
      <c r="AG15">
        <v>2.09</v>
      </c>
      <c r="AH15" s="5">
        <f t="shared" si="9"/>
        <v>2.71357593427636</v>
      </c>
      <c r="AI15">
        <v>3.85</v>
      </c>
      <c r="AJ15" s="3">
        <f t="shared" si="10"/>
        <v>0.70482491799386</v>
      </c>
      <c r="AL15" s="4">
        <v>6.75</v>
      </c>
      <c r="AM15">
        <v>6.1</v>
      </c>
      <c r="AN15" s="5">
        <f t="shared" si="11"/>
        <v>0.65</v>
      </c>
      <c r="AO15">
        <v>1.89</v>
      </c>
      <c r="AP15" s="3">
        <f t="shared" si="12"/>
        <v>0.343915343915344</v>
      </c>
      <c r="AR15" s="4">
        <v>1.72637070870636</v>
      </c>
      <c r="AS15">
        <v>0.02</v>
      </c>
      <c r="AT15" s="5">
        <f t="shared" si="13"/>
        <v>1.70637070870636</v>
      </c>
      <c r="AU15">
        <v>2.84</v>
      </c>
      <c r="AV15" s="3">
        <f t="shared" si="14"/>
        <v>0.600834756586746</v>
      </c>
      <c r="AX15" s="4">
        <v>32.6091996416667</v>
      </c>
      <c r="AY15">
        <v>3.44</v>
      </c>
      <c r="AZ15" s="5">
        <f t="shared" si="15"/>
        <v>29.1691996416667</v>
      </c>
      <c r="BA15">
        <v>29.17</v>
      </c>
      <c r="BB15" s="3">
        <f t="shared" si="16"/>
        <v>0.999972562278598</v>
      </c>
      <c r="BD15" s="4">
        <v>2.36716665416667</v>
      </c>
      <c r="BE15">
        <v>0.17</v>
      </c>
      <c r="BF15" s="5">
        <f t="shared" si="17"/>
        <v>2.19716665416667</v>
      </c>
      <c r="BG15">
        <v>4</v>
      </c>
      <c r="BH15" s="3">
        <f t="shared" si="18"/>
        <v>0.549291663541667</v>
      </c>
      <c r="BJ15" s="9">
        <v>11.5885833875</v>
      </c>
      <c r="BK15">
        <v>4.8</v>
      </c>
      <c r="BL15" s="5">
        <f t="shared" si="19"/>
        <v>6.7885833875</v>
      </c>
      <c r="BM15">
        <v>8.9</v>
      </c>
      <c r="BN15" s="3">
        <f t="shared" si="20"/>
        <v>0.762762178370787</v>
      </c>
      <c r="BP15" s="9">
        <v>0.208716666666667</v>
      </c>
      <c r="BQ15">
        <v>0.09</v>
      </c>
      <c r="BR15" s="5">
        <f t="shared" si="21"/>
        <v>0.118716666666667</v>
      </c>
      <c r="BS15">
        <v>0.43</v>
      </c>
      <c r="BT15" s="3">
        <f t="shared" si="22"/>
        <v>0.27608527131783</v>
      </c>
      <c r="BV15" s="4">
        <v>6.28979166666667</v>
      </c>
      <c r="BW15">
        <v>6.18</v>
      </c>
      <c r="BX15" s="5">
        <f t="shared" si="23"/>
        <v>0.10979166666667</v>
      </c>
      <c r="BY15">
        <v>1.68</v>
      </c>
      <c r="BZ15" s="3">
        <f t="shared" si="24"/>
        <v>0.0653521825396844</v>
      </c>
      <c r="CB15" s="10">
        <v>109.8</v>
      </c>
      <c r="CC15">
        <v>54.3</v>
      </c>
      <c r="CD15" s="12">
        <f t="shared" si="25"/>
        <v>55.5</v>
      </c>
      <c r="CE15">
        <v>71.3</v>
      </c>
      <c r="CF15" s="3">
        <f t="shared" si="26"/>
        <v>0.778401122019635</v>
      </c>
      <c r="CH15" s="13">
        <v>33.4</v>
      </c>
      <c r="CI15">
        <v>22.6</v>
      </c>
      <c r="CJ15">
        <f t="shared" si="27"/>
        <v>10.8</v>
      </c>
      <c r="CK15">
        <v>25.1</v>
      </c>
      <c r="CL15">
        <f t="shared" si="28"/>
        <v>0.430278884462151</v>
      </c>
      <c r="CN15" s="11">
        <v>5</v>
      </c>
      <c r="CO15">
        <v>3</v>
      </c>
      <c r="CP15" s="12">
        <f t="shared" si="29"/>
        <v>2</v>
      </c>
      <c r="CQ15">
        <v>3.4</v>
      </c>
      <c r="CR15" s="3">
        <f t="shared" si="30"/>
        <v>0.588235294117647</v>
      </c>
    </row>
    <row r="16" spans="2:96">
      <c r="B16" s="1">
        <v>41367</v>
      </c>
      <c r="C16">
        <v>32416</v>
      </c>
      <c r="D16" s="2">
        <f t="shared" si="31"/>
        <v>8951</v>
      </c>
      <c r="E16">
        <v>31904</v>
      </c>
      <c r="F16" s="3">
        <f t="shared" si="0"/>
        <v>0.280560431293882</v>
      </c>
      <c r="H16" s="1">
        <v>39689.9010285</v>
      </c>
      <c r="I16">
        <v>31145</v>
      </c>
      <c r="J16" s="2">
        <f t="shared" si="1"/>
        <v>8544.9010285</v>
      </c>
      <c r="K16">
        <v>32760</v>
      </c>
      <c r="L16" s="3">
        <f t="shared" si="2"/>
        <v>0.260833364728327</v>
      </c>
      <c r="N16" s="4">
        <v>258.09667015</v>
      </c>
      <c r="O16">
        <v>201.27</v>
      </c>
      <c r="P16" s="5">
        <f t="shared" si="3"/>
        <v>56.82667015</v>
      </c>
      <c r="Q16">
        <v>79.69</v>
      </c>
      <c r="R16" s="3">
        <f t="shared" si="4"/>
        <v>0.71309662630192</v>
      </c>
      <c r="T16" s="4">
        <v>255.833333016667</v>
      </c>
      <c r="U16">
        <v>100.23</v>
      </c>
      <c r="V16" s="5">
        <f t="shared" si="5"/>
        <v>155.603333016667</v>
      </c>
      <c r="W16">
        <v>410.93</v>
      </c>
      <c r="X16" s="3">
        <f t="shared" si="6"/>
        <v>0.37866140952636</v>
      </c>
      <c r="Z16" s="4">
        <v>26.2569572867012</v>
      </c>
      <c r="AA16">
        <v>13.25</v>
      </c>
      <c r="AB16" s="5">
        <f t="shared" si="7"/>
        <v>13.0069572867012</v>
      </c>
      <c r="AC16">
        <v>33.93</v>
      </c>
      <c r="AD16" s="3">
        <f t="shared" si="8"/>
        <v>0.383346810689691</v>
      </c>
      <c r="AF16" s="8">
        <v>3.49957164738289</v>
      </c>
      <c r="AG16">
        <v>2.09</v>
      </c>
      <c r="AH16" s="5">
        <f t="shared" si="9"/>
        <v>1.40957164738289</v>
      </c>
      <c r="AI16">
        <v>3.85</v>
      </c>
      <c r="AJ16" s="3">
        <f t="shared" si="10"/>
        <v>0.366122505813738</v>
      </c>
      <c r="AL16" s="4">
        <v>6.17173520377815</v>
      </c>
      <c r="AM16">
        <v>6.1</v>
      </c>
      <c r="AN16" s="5">
        <f t="shared" si="11"/>
        <v>0.0717352037781502</v>
      </c>
      <c r="AO16">
        <v>1.89</v>
      </c>
      <c r="AP16" s="3">
        <f t="shared" si="12"/>
        <v>0.0379551342741536</v>
      </c>
      <c r="AR16" s="4">
        <v>1.54735988458751</v>
      </c>
      <c r="AS16">
        <v>0.02</v>
      </c>
      <c r="AT16" s="5">
        <f t="shared" si="13"/>
        <v>1.52735988458751</v>
      </c>
      <c r="AU16">
        <v>2.84</v>
      </c>
      <c r="AV16" s="3">
        <f t="shared" si="14"/>
        <v>0.537802776263208</v>
      </c>
      <c r="AX16" s="4">
        <v>16.1728666916667</v>
      </c>
      <c r="AY16">
        <v>3.44</v>
      </c>
      <c r="AZ16" s="5">
        <f t="shared" si="15"/>
        <v>12.7328666916667</v>
      </c>
      <c r="BA16">
        <v>29.17</v>
      </c>
      <c r="BB16" s="3">
        <f t="shared" si="16"/>
        <v>0.436505543080792</v>
      </c>
      <c r="BD16" s="4">
        <v>0.794249991666666</v>
      </c>
      <c r="BE16">
        <v>0.17</v>
      </c>
      <c r="BF16" s="5">
        <f t="shared" si="17"/>
        <v>0.624249991666666</v>
      </c>
      <c r="BG16">
        <v>4</v>
      </c>
      <c r="BH16" s="3">
        <f t="shared" si="18"/>
        <v>0.156062497916666</v>
      </c>
      <c r="BJ16" s="9">
        <v>12.224333375</v>
      </c>
      <c r="BK16">
        <v>4.8</v>
      </c>
      <c r="BL16" s="5">
        <f t="shared" si="19"/>
        <v>7.424333375</v>
      </c>
      <c r="BM16">
        <v>8.9</v>
      </c>
      <c r="BN16" s="3">
        <f t="shared" si="20"/>
        <v>0.834194761235955</v>
      </c>
      <c r="BP16" s="9">
        <v>0.292691666666667</v>
      </c>
      <c r="BQ16">
        <v>0.09</v>
      </c>
      <c r="BR16" s="5">
        <f t="shared" si="21"/>
        <v>0.202691666666667</v>
      </c>
      <c r="BS16">
        <v>0.43</v>
      </c>
      <c r="BT16" s="3">
        <f t="shared" si="22"/>
        <v>0.471375968992249</v>
      </c>
      <c r="BV16" s="4">
        <v>6.3095082875</v>
      </c>
      <c r="BW16">
        <v>6.18</v>
      </c>
      <c r="BX16" s="5">
        <f t="shared" si="23"/>
        <v>0.1295082875</v>
      </c>
      <c r="BY16">
        <v>1.68</v>
      </c>
      <c r="BZ16" s="3">
        <f t="shared" si="24"/>
        <v>0.0770882663690477</v>
      </c>
      <c r="CB16" s="10">
        <v>108.3</v>
      </c>
      <c r="CC16">
        <v>54.3</v>
      </c>
      <c r="CD16" s="12">
        <f t="shared" si="25"/>
        <v>54</v>
      </c>
      <c r="CE16">
        <v>71.3</v>
      </c>
      <c r="CF16" s="3">
        <f t="shared" si="26"/>
        <v>0.757363253856942</v>
      </c>
      <c r="CH16" s="13">
        <v>32.7</v>
      </c>
      <c r="CI16">
        <v>22.6</v>
      </c>
      <c r="CJ16">
        <f t="shared" si="27"/>
        <v>10.1</v>
      </c>
      <c r="CK16">
        <v>25.1</v>
      </c>
      <c r="CL16">
        <f t="shared" si="28"/>
        <v>0.402390438247012</v>
      </c>
      <c r="CN16" s="10">
        <v>5</v>
      </c>
      <c r="CO16">
        <v>3</v>
      </c>
      <c r="CP16" s="12">
        <f t="shared" si="29"/>
        <v>2</v>
      </c>
      <c r="CQ16">
        <v>3.4</v>
      </c>
      <c r="CR16" s="3">
        <f t="shared" si="30"/>
        <v>0.588235294117647</v>
      </c>
    </row>
    <row r="17" spans="2:96">
      <c r="B17" s="1">
        <v>40961</v>
      </c>
      <c r="C17">
        <v>32416</v>
      </c>
      <c r="D17" s="2">
        <f t="shared" si="31"/>
        <v>8545</v>
      </c>
      <c r="E17">
        <v>31904</v>
      </c>
      <c r="F17" s="3">
        <f t="shared" si="0"/>
        <v>0.267834754262788</v>
      </c>
      <c r="H17" s="1">
        <v>40088.68573</v>
      </c>
      <c r="I17">
        <v>31145</v>
      </c>
      <c r="J17" s="2">
        <f t="shared" si="1"/>
        <v>8943.68573</v>
      </c>
      <c r="K17">
        <v>32760</v>
      </c>
      <c r="L17" s="3">
        <f t="shared" si="2"/>
        <v>0.27300627991453</v>
      </c>
      <c r="N17" s="4">
        <v>270.093336741667</v>
      </c>
      <c r="O17">
        <v>201.27</v>
      </c>
      <c r="P17" s="5">
        <f t="shared" si="3"/>
        <v>68.823336741667</v>
      </c>
      <c r="Q17">
        <v>79.69</v>
      </c>
      <c r="R17" s="3">
        <f t="shared" si="4"/>
        <v>0.863638307713226</v>
      </c>
      <c r="T17" s="4">
        <v>213.649996758333</v>
      </c>
      <c r="U17">
        <v>100.23</v>
      </c>
      <c r="V17" s="5">
        <f t="shared" si="5"/>
        <v>113.419996758333</v>
      </c>
      <c r="W17">
        <v>410.93</v>
      </c>
      <c r="X17" s="3">
        <f t="shared" si="6"/>
        <v>0.276008071346295</v>
      </c>
      <c r="Z17" s="4">
        <v>25.9128571190476</v>
      </c>
      <c r="AA17">
        <v>13.25</v>
      </c>
      <c r="AB17" s="5">
        <f t="shared" si="7"/>
        <v>12.6628571190476</v>
      </c>
      <c r="AC17">
        <v>33.93</v>
      </c>
      <c r="AD17" s="3">
        <f t="shared" si="8"/>
        <v>0.373205338020855</v>
      </c>
      <c r="AF17" s="8">
        <v>5.60745913227294</v>
      </c>
      <c r="AG17">
        <v>2.09</v>
      </c>
      <c r="AH17" s="5">
        <f t="shared" si="9"/>
        <v>3.51745913227294</v>
      </c>
      <c r="AI17">
        <v>3.85</v>
      </c>
      <c r="AJ17" s="3">
        <f t="shared" si="10"/>
        <v>0.913625748642322</v>
      </c>
      <c r="AL17" s="4">
        <v>6.65182111191801</v>
      </c>
      <c r="AM17">
        <v>6.1</v>
      </c>
      <c r="AN17" s="5">
        <f t="shared" si="11"/>
        <v>0.55182111191801</v>
      </c>
      <c r="AO17">
        <v>1.89</v>
      </c>
      <c r="AP17" s="3">
        <f t="shared" si="12"/>
        <v>0.291968842284662</v>
      </c>
      <c r="AR17" s="4">
        <v>0.91312512083333</v>
      </c>
      <c r="AS17">
        <v>0.02</v>
      </c>
      <c r="AT17" s="5">
        <f t="shared" si="13"/>
        <v>0.89312512083333</v>
      </c>
      <c r="AU17">
        <v>2.84</v>
      </c>
      <c r="AV17" s="3">
        <f t="shared" si="14"/>
        <v>0.314480676349764</v>
      </c>
      <c r="AX17" s="4">
        <v>13.6222665541667</v>
      </c>
      <c r="AY17">
        <v>3.44</v>
      </c>
      <c r="AZ17" s="5">
        <f t="shared" si="15"/>
        <v>10.1822665541667</v>
      </c>
      <c r="BA17">
        <v>29.17</v>
      </c>
      <c r="BB17" s="3">
        <f t="shared" si="16"/>
        <v>0.349066388555595</v>
      </c>
      <c r="BD17" s="4">
        <v>0.709083341666667</v>
      </c>
      <c r="BE17">
        <v>0.17</v>
      </c>
      <c r="BF17" s="5">
        <f t="shared" si="17"/>
        <v>0.539083341666667</v>
      </c>
      <c r="BG17">
        <v>4</v>
      </c>
      <c r="BH17" s="3">
        <f t="shared" si="18"/>
        <v>0.134770835416667</v>
      </c>
      <c r="BJ17" s="9">
        <v>9.75091664166667</v>
      </c>
      <c r="BK17">
        <v>4.8</v>
      </c>
      <c r="BL17" s="5">
        <f t="shared" si="19"/>
        <v>4.95091664166667</v>
      </c>
      <c r="BM17">
        <v>8.9</v>
      </c>
      <c r="BN17" s="3">
        <f t="shared" si="20"/>
        <v>0.556282768726592</v>
      </c>
      <c r="BP17" s="9">
        <v>0.108058333333333</v>
      </c>
      <c r="BQ17">
        <v>0.09</v>
      </c>
      <c r="BR17" s="5">
        <f t="shared" si="21"/>
        <v>0.018058333333333</v>
      </c>
      <c r="BS17">
        <v>0.43</v>
      </c>
      <c r="BT17" s="3">
        <f t="shared" si="22"/>
        <v>0.041996124031007</v>
      </c>
      <c r="BV17" s="4">
        <v>6.27229172083333</v>
      </c>
      <c r="BW17">
        <v>6.18</v>
      </c>
      <c r="BX17" s="5">
        <f t="shared" si="23"/>
        <v>0.0922917208333303</v>
      </c>
      <c r="BY17">
        <v>1.68</v>
      </c>
      <c r="BZ17" s="3">
        <f t="shared" si="24"/>
        <v>0.0549355481150775</v>
      </c>
      <c r="CB17" s="10">
        <v>115.9</v>
      </c>
      <c r="CC17">
        <v>54.3</v>
      </c>
      <c r="CD17" s="12">
        <f t="shared" si="25"/>
        <v>61.6</v>
      </c>
      <c r="CE17">
        <v>71.3</v>
      </c>
      <c r="CF17" s="3">
        <f t="shared" si="26"/>
        <v>0.863955119214586</v>
      </c>
      <c r="CH17" s="13">
        <v>31.5</v>
      </c>
      <c r="CI17">
        <v>22.6</v>
      </c>
      <c r="CJ17">
        <f t="shared" si="27"/>
        <v>8.9</v>
      </c>
      <c r="CK17">
        <v>25.1</v>
      </c>
      <c r="CL17">
        <f t="shared" si="28"/>
        <v>0.354581673306773</v>
      </c>
      <c r="CN17" s="10">
        <v>5.3</v>
      </c>
      <c r="CO17">
        <v>3</v>
      </c>
      <c r="CP17" s="12">
        <f t="shared" si="29"/>
        <v>2.3</v>
      </c>
      <c r="CQ17">
        <v>3.4</v>
      </c>
      <c r="CR17" s="3">
        <f t="shared" si="30"/>
        <v>0.676470588235294</v>
      </c>
    </row>
    <row r="18" spans="2:96">
      <c r="B18" s="1">
        <v>40258</v>
      </c>
      <c r="C18">
        <v>32416</v>
      </c>
      <c r="D18" s="2">
        <f t="shared" si="31"/>
        <v>7842</v>
      </c>
      <c r="E18">
        <v>31904</v>
      </c>
      <c r="F18" s="3">
        <f t="shared" si="0"/>
        <v>0.245799899699097</v>
      </c>
      <c r="H18" s="1">
        <v>41929.7339786</v>
      </c>
      <c r="I18">
        <v>31145</v>
      </c>
      <c r="J18" s="2">
        <f t="shared" si="1"/>
        <v>10784.7339786</v>
      </c>
      <c r="K18">
        <v>32760</v>
      </c>
      <c r="L18" s="3">
        <f t="shared" si="2"/>
        <v>0.329204333901099</v>
      </c>
      <c r="N18" s="4">
        <v>269.923334120833</v>
      </c>
      <c r="O18">
        <v>201.27</v>
      </c>
      <c r="P18" s="5">
        <f t="shared" si="3"/>
        <v>68.653334120833</v>
      </c>
      <c r="Q18">
        <v>79.69</v>
      </c>
      <c r="R18" s="3">
        <f t="shared" si="4"/>
        <v>0.861505008418032</v>
      </c>
      <c r="T18" s="4">
        <v>152.2166675</v>
      </c>
      <c r="U18">
        <v>100.23</v>
      </c>
      <c r="V18" s="5">
        <f t="shared" si="5"/>
        <v>51.9866675</v>
      </c>
      <c r="W18">
        <v>410.93</v>
      </c>
      <c r="X18" s="3">
        <f t="shared" si="6"/>
        <v>0.12650978877181</v>
      </c>
      <c r="Z18" s="4">
        <v>24.4385</v>
      </c>
      <c r="AA18">
        <v>13.25</v>
      </c>
      <c r="AB18" s="5">
        <f t="shared" si="7"/>
        <v>11.1885</v>
      </c>
      <c r="AC18">
        <v>33.93</v>
      </c>
      <c r="AD18" s="3">
        <f t="shared" si="8"/>
        <v>0.329752431476569</v>
      </c>
      <c r="AF18" s="8">
        <v>3.34768406464284</v>
      </c>
      <c r="AG18">
        <v>2.09</v>
      </c>
      <c r="AH18" s="5">
        <f t="shared" si="9"/>
        <v>1.25768406464284</v>
      </c>
      <c r="AI18">
        <v>3.85</v>
      </c>
      <c r="AJ18" s="3">
        <f t="shared" si="10"/>
        <v>0.326671185621517</v>
      </c>
      <c r="AL18" s="4">
        <v>6.80423334583333</v>
      </c>
      <c r="AM18">
        <v>6.1</v>
      </c>
      <c r="AN18" s="5">
        <f t="shared" si="11"/>
        <v>0.70423334583333</v>
      </c>
      <c r="AO18">
        <v>1.89</v>
      </c>
      <c r="AP18" s="3">
        <f t="shared" si="12"/>
        <v>0.372610235890651</v>
      </c>
      <c r="AR18" s="4">
        <v>1.40270834166667</v>
      </c>
      <c r="AS18">
        <v>0.02</v>
      </c>
      <c r="AT18" s="5">
        <f t="shared" si="13"/>
        <v>1.38270834166667</v>
      </c>
      <c r="AU18">
        <v>2.84</v>
      </c>
      <c r="AV18" s="3">
        <f t="shared" si="14"/>
        <v>0.486869134389672</v>
      </c>
      <c r="AX18" s="4">
        <v>12.9592666916667</v>
      </c>
      <c r="AY18">
        <v>3.44</v>
      </c>
      <c r="AZ18" s="5">
        <f t="shared" si="15"/>
        <v>9.5192666916667</v>
      </c>
      <c r="BA18">
        <v>29.17</v>
      </c>
      <c r="BB18" s="3">
        <f t="shared" si="16"/>
        <v>0.326337562278598</v>
      </c>
      <c r="BD18" s="4">
        <v>0.919499991666667</v>
      </c>
      <c r="BE18">
        <v>0.17</v>
      </c>
      <c r="BF18" s="5">
        <f t="shared" si="17"/>
        <v>0.749499991666667</v>
      </c>
      <c r="BG18">
        <v>4</v>
      </c>
      <c r="BH18" s="3">
        <f t="shared" si="18"/>
        <v>0.187374997916667</v>
      </c>
      <c r="BJ18" s="9">
        <v>11.761166575</v>
      </c>
      <c r="BK18">
        <v>4.8</v>
      </c>
      <c r="BL18" s="5">
        <f t="shared" si="19"/>
        <v>6.961166575</v>
      </c>
      <c r="BM18">
        <v>8.9</v>
      </c>
      <c r="BN18" s="3">
        <f t="shared" si="20"/>
        <v>0.782153547752809</v>
      </c>
      <c r="BP18" s="9">
        <v>0.109441666666667</v>
      </c>
      <c r="BQ18">
        <v>0.09</v>
      </c>
      <c r="BR18" s="5">
        <f t="shared" si="21"/>
        <v>0.019441666666667</v>
      </c>
      <c r="BS18">
        <v>0.43</v>
      </c>
      <c r="BT18" s="3">
        <f t="shared" si="22"/>
        <v>0.0452131782945744</v>
      </c>
      <c r="BV18" s="4">
        <v>6.37274164166667</v>
      </c>
      <c r="BW18">
        <v>6.18</v>
      </c>
      <c r="BX18" s="5">
        <f t="shared" si="23"/>
        <v>0.19274164166667</v>
      </c>
      <c r="BY18">
        <v>1.68</v>
      </c>
      <c r="BZ18" s="3">
        <f t="shared" si="24"/>
        <v>0.114727167658732</v>
      </c>
      <c r="CB18" s="10">
        <v>119.4</v>
      </c>
      <c r="CC18">
        <v>54.3</v>
      </c>
      <c r="CD18" s="12">
        <f t="shared" si="25"/>
        <v>65.1</v>
      </c>
      <c r="CE18">
        <v>71.3</v>
      </c>
      <c r="CF18" s="3">
        <f t="shared" si="26"/>
        <v>0.91304347826087</v>
      </c>
      <c r="CH18" s="13">
        <v>32.5</v>
      </c>
      <c r="CI18">
        <v>22.6</v>
      </c>
      <c r="CJ18">
        <f t="shared" si="27"/>
        <v>9.9</v>
      </c>
      <c r="CK18">
        <v>25.1</v>
      </c>
      <c r="CL18">
        <f t="shared" si="28"/>
        <v>0.394422310756972</v>
      </c>
      <c r="CN18" s="10">
        <v>5.5</v>
      </c>
      <c r="CO18">
        <v>3</v>
      </c>
      <c r="CP18" s="12">
        <f t="shared" si="29"/>
        <v>2.5</v>
      </c>
      <c r="CQ18">
        <v>3.4</v>
      </c>
      <c r="CR18" s="3">
        <f t="shared" si="30"/>
        <v>0.735294117647059</v>
      </c>
    </row>
    <row r="19" spans="2:96">
      <c r="B19" s="1">
        <v>42318</v>
      </c>
      <c r="C19">
        <v>32416</v>
      </c>
      <c r="D19" s="2">
        <f t="shared" si="31"/>
        <v>9902</v>
      </c>
      <c r="E19">
        <v>31904</v>
      </c>
      <c r="F19" s="3">
        <f t="shared" si="0"/>
        <v>0.310368605817452</v>
      </c>
      <c r="H19" s="1">
        <v>41846.3230599</v>
      </c>
      <c r="I19">
        <v>31145</v>
      </c>
      <c r="J19" s="2">
        <f t="shared" si="1"/>
        <v>10701.3230599</v>
      </c>
      <c r="K19">
        <v>32760</v>
      </c>
      <c r="L19" s="3">
        <f t="shared" si="2"/>
        <v>0.326658213061661</v>
      </c>
      <c r="N19" s="4">
        <v>256.079999920833</v>
      </c>
      <c r="O19">
        <v>201.27</v>
      </c>
      <c r="P19" s="5">
        <f t="shared" si="3"/>
        <v>54.809999920833</v>
      </c>
      <c r="Q19">
        <v>79.69</v>
      </c>
      <c r="R19" s="3">
        <f t="shared" si="4"/>
        <v>0.687790185981089</v>
      </c>
      <c r="T19" s="4">
        <v>242.016665133333</v>
      </c>
      <c r="U19">
        <v>100.23</v>
      </c>
      <c r="V19" s="5">
        <f t="shared" si="5"/>
        <v>141.786665133333</v>
      </c>
      <c r="W19">
        <v>410.93</v>
      </c>
      <c r="X19" s="3">
        <f t="shared" si="6"/>
        <v>0.345038486197973</v>
      </c>
      <c r="Z19" s="4">
        <v>27.763999915</v>
      </c>
      <c r="AA19">
        <v>13.25</v>
      </c>
      <c r="AB19" s="5">
        <f t="shared" si="7"/>
        <v>14.513999915</v>
      </c>
      <c r="AC19">
        <v>33.93</v>
      </c>
      <c r="AD19" s="3">
        <f t="shared" si="8"/>
        <v>0.427763039050987</v>
      </c>
      <c r="AF19" s="8">
        <v>4.7058184774792</v>
      </c>
      <c r="AG19">
        <v>2.09</v>
      </c>
      <c r="AH19" s="5">
        <f t="shared" si="9"/>
        <v>2.6158184774792</v>
      </c>
      <c r="AI19">
        <v>3.85</v>
      </c>
      <c r="AJ19" s="3">
        <f t="shared" si="10"/>
        <v>0.679433370773818</v>
      </c>
      <c r="AL19" s="4">
        <v>6.5081416875</v>
      </c>
      <c r="AM19">
        <v>6.1</v>
      </c>
      <c r="AN19" s="5">
        <f t="shared" si="11"/>
        <v>0.408141687500001</v>
      </c>
      <c r="AO19">
        <v>1.89</v>
      </c>
      <c r="AP19" s="3">
        <f t="shared" si="12"/>
        <v>0.215947982804233</v>
      </c>
      <c r="AR19" s="4">
        <v>1.32645833333333</v>
      </c>
      <c r="AS19">
        <v>0.02</v>
      </c>
      <c r="AT19" s="5">
        <f t="shared" si="13"/>
        <v>1.30645833333333</v>
      </c>
      <c r="AU19">
        <v>2.84</v>
      </c>
      <c r="AV19" s="3">
        <f t="shared" si="14"/>
        <v>0.460020539906102</v>
      </c>
      <c r="AX19" s="4">
        <v>11.8447333083333</v>
      </c>
      <c r="AY19">
        <v>3.44</v>
      </c>
      <c r="AZ19" s="5">
        <f t="shared" si="15"/>
        <v>8.4047333083333</v>
      </c>
      <c r="BA19">
        <v>29.17</v>
      </c>
      <c r="BB19" s="3">
        <f t="shared" si="16"/>
        <v>0.288129355787909</v>
      </c>
      <c r="BD19" s="4">
        <v>0.729416670833334</v>
      </c>
      <c r="BE19">
        <v>0.17</v>
      </c>
      <c r="BF19" s="5">
        <f t="shared" si="17"/>
        <v>0.559416670833334</v>
      </c>
      <c r="BG19">
        <v>4</v>
      </c>
      <c r="BH19" s="3">
        <f t="shared" si="18"/>
        <v>0.139854167708333</v>
      </c>
      <c r="BJ19" s="9">
        <v>10.4174167041667</v>
      </c>
      <c r="BK19">
        <v>4.8</v>
      </c>
      <c r="BL19" s="5">
        <f t="shared" si="19"/>
        <v>5.6174167041667</v>
      </c>
      <c r="BM19">
        <v>8.9</v>
      </c>
      <c r="BN19" s="3">
        <f t="shared" si="20"/>
        <v>0.631170416198506</v>
      </c>
      <c r="BP19" s="9">
        <v>0.287775</v>
      </c>
      <c r="BQ19">
        <v>0.09</v>
      </c>
      <c r="BR19" s="5">
        <f t="shared" si="21"/>
        <v>0.197775</v>
      </c>
      <c r="BS19">
        <v>0.43</v>
      </c>
      <c r="BT19" s="3">
        <f t="shared" si="22"/>
        <v>0.459941860465116</v>
      </c>
      <c r="BV19" s="4">
        <v>6.37104999166667</v>
      </c>
      <c r="BW19">
        <v>6.18</v>
      </c>
      <c r="BX19" s="5">
        <f t="shared" si="23"/>
        <v>0.19104999166667</v>
      </c>
      <c r="BY19">
        <v>1.68</v>
      </c>
      <c r="BZ19" s="3">
        <f t="shared" si="24"/>
        <v>0.113720233134923</v>
      </c>
      <c r="CB19" s="10">
        <v>122.6</v>
      </c>
      <c r="CC19">
        <v>54.3</v>
      </c>
      <c r="CD19" s="12">
        <f t="shared" si="25"/>
        <v>68.3</v>
      </c>
      <c r="CE19">
        <v>71.3</v>
      </c>
      <c r="CF19" s="3">
        <f t="shared" si="26"/>
        <v>0.957924263674614</v>
      </c>
      <c r="CH19" s="13">
        <v>31.9</v>
      </c>
      <c r="CI19">
        <v>22.6</v>
      </c>
      <c r="CJ19">
        <f t="shared" si="27"/>
        <v>9.3</v>
      </c>
      <c r="CK19">
        <v>25.1</v>
      </c>
      <c r="CL19">
        <f t="shared" si="28"/>
        <v>0.370517928286852</v>
      </c>
      <c r="CN19" s="11">
        <v>5.1</v>
      </c>
      <c r="CO19">
        <v>3</v>
      </c>
      <c r="CP19" s="12">
        <f t="shared" si="29"/>
        <v>2.1</v>
      </c>
      <c r="CQ19">
        <v>3.4</v>
      </c>
      <c r="CR19" s="3">
        <f t="shared" si="30"/>
        <v>0.617647058823529</v>
      </c>
    </row>
    <row r="20" spans="2:96">
      <c r="B20" s="1">
        <v>38971</v>
      </c>
      <c r="C20">
        <v>32416</v>
      </c>
      <c r="D20" s="2">
        <f t="shared" si="31"/>
        <v>6555</v>
      </c>
      <c r="E20">
        <v>31904</v>
      </c>
      <c r="F20" s="3">
        <f t="shared" si="0"/>
        <v>0.205460130391174</v>
      </c>
      <c r="H20" s="1">
        <v>39507.3445573</v>
      </c>
      <c r="I20">
        <v>31145</v>
      </c>
      <c r="J20" s="2">
        <f t="shared" si="1"/>
        <v>8362.3445573</v>
      </c>
      <c r="K20">
        <v>32760</v>
      </c>
      <c r="L20" s="3">
        <f t="shared" si="2"/>
        <v>0.255260822872405</v>
      </c>
      <c r="N20" s="4">
        <v>238.019997916667</v>
      </c>
      <c r="O20">
        <v>201.27</v>
      </c>
      <c r="P20" s="5">
        <f t="shared" si="3"/>
        <v>36.749997916667</v>
      </c>
      <c r="Q20">
        <v>79.69</v>
      </c>
      <c r="R20" s="3">
        <f t="shared" si="4"/>
        <v>0.461161976617731</v>
      </c>
      <c r="T20" s="4">
        <v>216.4375054</v>
      </c>
      <c r="U20">
        <v>100.23</v>
      </c>
      <c r="V20" s="5">
        <f t="shared" si="5"/>
        <v>116.2075054</v>
      </c>
      <c r="W20">
        <v>410.93</v>
      </c>
      <c r="X20" s="3">
        <f t="shared" si="6"/>
        <v>0.282791486141192</v>
      </c>
      <c r="Z20" s="4">
        <v>27.625263168421</v>
      </c>
      <c r="AA20">
        <v>13.25</v>
      </c>
      <c r="AB20" s="5">
        <f t="shared" si="7"/>
        <v>14.375263168421</v>
      </c>
      <c r="AC20">
        <v>33.93</v>
      </c>
      <c r="AD20" s="3">
        <f t="shared" si="8"/>
        <v>0.423674128158591</v>
      </c>
      <c r="AF20" s="8">
        <v>3.28398035711634</v>
      </c>
      <c r="AG20">
        <v>2.09</v>
      </c>
      <c r="AH20" s="5">
        <f t="shared" si="9"/>
        <v>1.19398035711634</v>
      </c>
      <c r="AI20">
        <v>3.85</v>
      </c>
      <c r="AJ20" s="3">
        <f t="shared" si="10"/>
        <v>0.310124768082166</v>
      </c>
      <c r="AL20" s="4">
        <v>6.77442500416667</v>
      </c>
      <c r="AM20">
        <v>6.1</v>
      </c>
      <c r="AN20" s="5">
        <f t="shared" si="11"/>
        <v>0.67442500416667</v>
      </c>
      <c r="AO20">
        <v>1.89</v>
      </c>
      <c r="AP20" s="3">
        <f t="shared" si="12"/>
        <v>0.356838626543212</v>
      </c>
      <c r="AR20" s="4">
        <v>1.38375000833333</v>
      </c>
      <c r="AS20">
        <v>0.02</v>
      </c>
      <c r="AT20" s="5">
        <f t="shared" si="13"/>
        <v>1.36375000833333</v>
      </c>
      <c r="AU20">
        <v>2.84</v>
      </c>
      <c r="AV20" s="3">
        <f t="shared" si="14"/>
        <v>0.480193664906102</v>
      </c>
      <c r="AX20" s="4">
        <v>11.696533325</v>
      </c>
      <c r="AY20">
        <v>3.44</v>
      </c>
      <c r="AZ20" s="5">
        <f t="shared" si="15"/>
        <v>8.256533325</v>
      </c>
      <c r="BA20">
        <v>29.17</v>
      </c>
      <c r="BB20" s="3">
        <f t="shared" si="16"/>
        <v>0.283048794137813</v>
      </c>
      <c r="BD20" s="4">
        <v>0.394416666666667</v>
      </c>
      <c r="BE20">
        <v>0.17</v>
      </c>
      <c r="BF20" s="5">
        <f t="shared" si="17"/>
        <v>0.224416666666667</v>
      </c>
      <c r="BG20">
        <v>4</v>
      </c>
      <c r="BH20" s="3">
        <f t="shared" si="18"/>
        <v>0.0561041666666668</v>
      </c>
      <c r="BJ20" s="9">
        <v>9.3624166</v>
      </c>
      <c r="BK20">
        <v>4.8</v>
      </c>
      <c r="BL20" s="5">
        <f t="shared" si="19"/>
        <v>4.5624166</v>
      </c>
      <c r="BM20">
        <v>8.9</v>
      </c>
      <c r="BN20" s="3">
        <f t="shared" si="20"/>
        <v>0.512631078651685</v>
      </c>
      <c r="BP20" s="9">
        <v>0.182408333333333</v>
      </c>
      <c r="BQ20">
        <v>0.09</v>
      </c>
      <c r="BR20" s="5">
        <f t="shared" si="21"/>
        <v>0.092408333333333</v>
      </c>
      <c r="BS20">
        <v>0.43</v>
      </c>
      <c r="BT20" s="3">
        <f t="shared" si="22"/>
        <v>0.214903100775193</v>
      </c>
      <c r="BV20" s="4">
        <v>6.367024975</v>
      </c>
      <c r="BW20">
        <v>6.18</v>
      </c>
      <c r="BX20" s="5">
        <f t="shared" si="23"/>
        <v>0.187024975</v>
      </c>
      <c r="BY20">
        <v>1.68</v>
      </c>
      <c r="BZ20" s="3">
        <f t="shared" si="24"/>
        <v>0.111324389880952</v>
      </c>
      <c r="CB20" s="10">
        <v>118.5</v>
      </c>
      <c r="CC20">
        <v>54.3</v>
      </c>
      <c r="CD20" s="12">
        <f t="shared" si="25"/>
        <v>64.2</v>
      </c>
      <c r="CE20">
        <v>71.3</v>
      </c>
      <c r="CF20" s="3">
        <f t="shared" si="26"/>
        <v>0.900420757363254</v>
      </c>
      <c r="CH20" s="13">
        <v>33.3</v>
      </c>
      <c r="CI20">
        <v>22.6</v>
      </c>
      <c r="CJ20">
        <f t="shared" si="27"/>
        <v>10.7</v>
      </c>
      <c r="CK20">
        <v>25.1</v>
      </c>
      <c r="CL20">
        <f t="shared" si="28"/>
        <v>0.426294820717131</v>
      </c>
      <c r="CN20" s="10">
        <v>5.6</v>
      </c>
      <c r="CO20">
        <v>3</v>
      </c>
      <c r="CP20" s="12">
        <f t="shared" si="29"/>
        <v>2.6</v>
      </c>
      <c r="CQ20">
        <v>3.4</v>
      </c>
      <c r="CR20" s="3">
        <f t="shared" si="30"/>
        <v>0.764705882352941</v>
      </c>
    </row>
    <row r="21" spans="2:96">
      <c r="B21" s="1">
        <v>42893</v>
      </c>
      <c r="C21">
        <v>32416</v>
      </c>
      <c r="D21" s="2">
        <f t="shared" si="31"/>
        <v>10477</v>
      </c>
      <c r="E21">
        <v>31904</v>
      </c>
      <c r="F21" s="3">
        <f t="shared" si="0"/>
        <v>0.328391424272818</v>
      </c>
      <c r="H21" s="1">
        <v>42178.8609621</v>
      </c>
      <c r="I21">
        <v>31145</v>
      </c>
      <c r="J21" s="2">
        <f t="shared" si="1"/>
        <v>11033.8609621</v>
      </c>
      <c r="K21">
        <v>32760</v>
      </c>
      <c r="L21" s="3">
        <f t="shared" si="2"/>
        <v>0.336808942677045</v>
      </c>
      <c r="N21" s="4">
        <v>237.406669616667</v>
      </c>
      <c r="O21">
        <v>201.27</v>
      </c>
      <c r="P21" s="5">
        <f t="shared" si="3"/>
        <v>36.136669616667</v>
      </c>
      <c r="Q21">
        <v>79.69</v>
      </c>
      <c r="R21" s="3">
        <f t="shared" si="4"/>
        <v>0.453465549211532</v>
      </c>
      <c r="T21" s="4">
        <v>210.374998729167</v>
      </c>
      <c r="U21">
        <v>100.23</v>
      </c>
      <c r="V21" s="5">
        <f t="shared" si="5"/>
        <v>110.144998729167</v>
      </c>
      <c r="W21">
        <v>410.93</v>
      </c>
      <c r="X21" s="3">
        <f t="shared" si="6"/>
        <v>0.268038348938182</v>
      </c>
      <c r="Z21" s="4">
        <v>28.209999995</v>
      </c>
      <c r="AA21">
        <v>13.25</v>
      </c>
      <c r="AB21" s="5">
        <f t="shared" si="7"/>
        <v>14.959999995</v>
      </c>
      <c r="AC21">
        <v>33.93</v>
      </c>
      <c r="AD21" s="3">
        <f t="shared" si="8"/>
        <v>0.440907751105217</v>
      </c>
      <c r="AF21" s="8">
        <v>4.18713612539446</v>
      </c>
      <c r="AG21">
        <v>2.09</v>
      </c>
      <c r="AH21" s="5">
        <f t="shared" si="9"/>
        <v>2.09713612539446</v>
      </c>
      <c r="AI21">
        <v>3.85</v>
      </c>
      <c r="AJ21" s="3">
        <f t="shared" si="10"/>
        <v>0.544710681920639</v>
      </c>
      <c r="AL21" s="4">
        <v>6.73785008333333</v>
      </c>
      <c r="AM21">
        <v>6.1</v>
      </c>
      <c r="AN21" s="5">
        <f t="shared" si="11"/>
        <v>0.637850083333331</v>
      </c>
      <c r="AO21">
        <v>1.89</v>
      </c>
      <c r="AP21" s="3">
        <f t="shared" si="12"/>
        <v>0.337486816578482</v>
      </c>
      <c r="AR21" s="4">
        <v>1.35520834166667</v>
      </c>
      <c r="AS21">
        <v>0.02</v>
      </c>
      <c r="AT21" s="5">
        <f t="shared" si="13"/>
        <v>1.33520834166667</v>
      </c>
      <c r="AU21">
        <v>2.84</v>
      </c>
      <c r="AV21" s="3">
        <f t="shared" si="14"/>
        <v>0.470143782276996</v>
      </c>
      <c r="AX21" s="4">
        <v>13.8684000833333</v>
      </c>
      <c r="AY21">
        <v>3.44</v>
      </c>
      <c r="AZ21" s="5">
        <f t="shared" si="15"/>
        <v>10.4284000833333</v>
      </c>
      <c r="BA21">
        <v>29.17</v>
      </c>
      <c r="BB21" s="3">
        <f t="shared" si="16"/>
        <v>0.357504288081361</v>
      </c>
      <c r="BD21" s="4">
        <v>0.663833325</v>
      </c>
      <c r="BE21">
        <v>0.17</v>
      </c>
      <c r="BF21" s="5">
        <f t="shared" si="17"/>
        <v>0.493833325</v>
      </c>
      <c r="BG21">
        <v>4</v>
      </c>
      <c r="BH21" s="3">
        <f t="shared" si="18"/>
        <v>0.12345833125</v>
      </c>
      <c r="BJ21" s="9">
        <v>9.68258344583333</v>
      </c>
      <c r="BK21">
        <v>4.8</v>
      </c>
      <c r="BL21" s="5">
        <f t="shared" si="19"/>
        <v>4.88258344583333</v>
      </c>
      <c r="BM21">
        <v>8.9</v>
      </c>
      <c r="BN21" s="3">
        <f t="shared" si="20"/>
        <v>0.548604881554307</v>
      </c>
      <c r="BP21" s="9">
        <v>0.182366666666666</v>
      </c>
      <c r="BQ21">
        <v>0.09</v>
      </c>
      <c r="BR21" s="5">
        <f t="shared" si="21"/>
        <v>0.092366666666666</v>
      </c>
      <c r="BS21">
        <v>0.43</v>
      </c>
      <c r="BT21" s="3">
        <f t="shared" si="22"/>
        <v>0.214806201550386</v>
      </c>
      <c r="BV21" s="4">
        <v>6.37291671666667</v>
      </c>
      <c r="BW21">
        <v>6.18</v>
      </c>
      <c r="BX21" s="5">
        <f t="shared" si="23"/>
        <v>0.19291671666667</v>
      </c>
      <c r="BY21">
        <v>1.68</v>
      </c>
      <c r="BZ21" s="3">
        <f t="shared" si="24"/>
        <v>0.114831378968256</v>
      </c>
      <c r="CB21" s="10">
        <v>119.6</v>
      </c>
      <c r="CC21">
        <v>54.3</v>
      </c>
      <c r="CD21" s="12">
        <f t="shared" si="25"/>
        <v>65.3</v>
      </c>
      <c r="CE21">
        <v>71.3</v>
      </c>
      <c r="CF21" s="3">
        <f t="shared" si="26"/>
        <v>0.915848527349229</v>
      </c>
      <c r="CH21" s="13">
        <v>32.7</v>
      </c>
      <c r="CI21">
        <v>22.6</v>
      </c>
      <c r="CJ21">
        <f t="shared" si="27"/>
        <v>10.1</v>
      </c>
      <c r="CK21">
        <v>25.1</v>
      </c>
      <c r="CL21">
        <f t="shared" si="28"/>
        <v>0.402390438247012</v>
      </c>
      <c r="CN21" s="10">
        <v>5.2</v>
      </c>
      <c r="CO21">
        <v>3</v>
      </c>
      <c r="CP21" s="12">
        <f t="shared" si="29"/>
        <v>2.2</v>
      </c>
      <c r="CQ21">
        <v>3.4</v>
      </c>
      <c r="CR21" s="3">
        <f t="shared" si="30"/>
        <v>0.647058823529412</v>
      </c>
    </row>
    <row r="22" spans="2:96">
      <c r="B22" s="1">
        <v>45069</v>
      </c>
      <c r="C22">
        <v>32416</v>
      </c>
      <c r="D22" s="2">
        <f t="shared" si="31"/>
        <v>12653</v>
      </c>
      <c r="E22">
        <v>31904</v>
      </c>
      <c r="F22" s="3">
        <f t="shared" si="0"/>
        <v>0.396596038114343</v>
      </c>
      <c r="H22" s="1">
        <v>44178.2097778</v>
      </c>
      <c r="I22">
        <v>31145</v>
      </c>
      <c r="J22" s="2">
        <f t="shared" si="1"/>
        <v>13033.2097778</v>
      </c>
      <c r="K22">
        <v>32760</v>
      </c>
      <c r="L22" s="3">
        <f t="shared" si="2"/>
        <v>0.397839126306471</v>
      </c>
      <c r="N22" s="4">
        <v>251.293333679167</v>
      </c>
      <c r="O22">
        <v>201.27</v>
      </c>
      <c r="P22" s="5">
        <f t="shared" si="3"/>
        <v>50.023333679167</v>
      </c>
      <c r="Q22">
        <v>79.69</v>
      </c>
      <c r="R22" s="3">
        <f t="shared" si="4"/>
        <v>0.627724101884389</v>
      </c>
      <c r="T22" s="4">
        <v>186.808330533333</v>
      </c>
      <c r="U22">
        <v>100.23</v>
      </c>
      <c r="V22" s="5">
        <f t="shared" si="5"/>
        <v>86.578330533333</v>
      </c>
      <c r="W22">
        <v>410.93</v>
      </c>
      <c r="X22" s="3">
        <f t="shared" si="6"/>
        <v>0.210688756073621</v>
      </c>
      <c r="Z22" s="4">
        <v>27.3354761761904</v>
      </c>
      <c r="AA22">
        <v>13.25</v>
      </c>
      <c r="AB22" s="5">
        <f t="shared" si="7"/>
        <v>14.0854761761904</v>
      </c>
      <c r="AC22">
        <v>33.93</v>
      </c>
      <c r="AD22" s="3">
        <f t="shared" si="8"/>
        <v>0.415133397470981</v>
      </c>
      <c r="AF22" s="8">
        <v>3.86880559383775</v>
      </c>
      <c r="AG22">
        <v>2.09</v>
      </c>
      <c r="AH22" s="5">
        <f t="shared" si="9"/>
        <v>1.77880559383775</v>
      </c>
      <c r="AI22">
        <v>3.85</v>
      </c>
      <c r="AJ22" s="3">
        <f t="shared" si="10"/>
        <v>0.462027426970844</v>
      </c>
      <c r="AL22" s="4">
        <v>6.7715083</v>
      </c>
      <c r="AM22">
        <v>6.1</v>
      </c>
      <c r="AN22" s="5">
        <f t="shared" si="11"/>
        <v>0.6715083</v>
      </c>
      <c r="AO22">
        <v>1.89</v>
      </c>
      <c r="AP22" s="3">
        <f t="shared" si="12"/>
        <v>0.355295396825397</v>
      </c>
      <c r="AR22" s="4">
        <v>1.38937500833333</v>
      </c>
      <c r="AS22">
        <v>0.02</v>
      </c>
      <c r="AT22" s="5">
        <f t="shared" si="13"/>
        <v>1.36937500833333</v>
      </c>
      <c r="AU22">
        <v>2.84</v>
      </c>
      <c r="AV22" s="3">
        <f t="shared" si="14"/>
        <v>0.482174298708919</v>
      </c>
      <c r="AX22" s="4">
        <v>16.1728666916667</v>
      </c>
      <c r="AY22">
        <v>3.44</v>
      </c>
      <c r="AZ22" s="5">
        <f t="shared" si="15"/>
        <v>12.7328666916667</v>
      </c>
      <c r="BA22">
        <v>29.17</v>
      </c>
      <c r="BB22" s="3">
        <f t="shared" si="16"/>
        <v>0.436505543080792</v>
      </c>
      <c r="BD22" s="4">
        <v>0.339</v>
      </c>
      <c r="BE22">
        <v>0.17</v>
      </c>
      <c r="BF22" s="5">
        <f t="shared" si="17"/>
        <v>0.169</v>
      </c>
      <c r="BG22">
        <v>4</v>
      </c>
      <c r="BH22" s="3">
        <f t="shared" si="18"/>
        <v>0.04225</v>
      </c>
      <c r="BJ22" s="9">
        <v>10.349416575</v>
      </c>
      <c r="BK22">
        <v>4.8</v>
      </c>
      <c r="BL22" s="5">
        <f t="shared" si="19"/>
        <v>5.549416575</v>
      </c>
      <c r="BM22">
        <v>8.9</v>
      </c>
      <c r="BN22" s="3">
        <f t="shared" si="20"/>
        <v>0.623529952247191</v>
      </c>
      <c r="BP22" s="9">
        <v>0.188691670833333</v>
      </c>
      <c r="BQ22">
        <v>0.09</v>
      </c>
      <c r="BR22" s="5">
        <f t="shared" si="21"/>
        <v>0.098691670833333</v>
      </c>
      <c r="BS22">
        <v>0.43</v>
      </c>
      <c r="BT22" s="3">
        <f t="shared" si="22"/>
        <v>0.229515513565891</v>
      </c>
      <c r="BV22" s="4">
        <v>6.53345835</v>
      </c>
      <c r="BW22">
        <v>6.18</v>
      </c>
      <c r="BX22" s="5">
        <f t="shared" si="23"/>
        <v>0.35345835</v>
      </c>
      <c r="BY22">
        <v>1.68</v>
      </c>
      <c r="BZ22" s="3">
        <f t="shared" si="24"/>
        <v>0.210391875</v>
      </c>
      <c r="CB22" s="10">
        <v>120.6</v>
      </c>
      <c r="CC22">
        <v>54.3</v>
      </c>
      <c r="CD22" s="12">
        <f t="shared" si="25"/>
        <v>66.3</v>
      </c>
      <c r="CE22">
        <v>71.3</v>
      </c>
      <c r="CF22" s="3">
        <f t="shared" si="26"/>
        <v>0.929873772791024</v>
      </c>
      <c r="CH22" s="13">
        <v>31.5</v>
      </c>
      <c r="CI22">
        <v>22.6</v>
      </c>
      <c r="CJ22">
        <f t="shared" si="27"/>
        <v>8.9</v>
      </c>
      <c r="CK22">
        <v>25.1</v>
      </c>
      <c r="CL22">
        <f t="shared" si="28"/>
        <v>0.354581673306773</v>
      </c>
      <c r="CN22" s="10">
        <v>4.8</v>
      </c>
      <c r="CO22">
        <v>3</v>
      </c>
      <c r="CP22" s="12">
        <f t="shared" si="29"/>
        <v>1.8</v>
      </c>
      <c r="CQ22">
        <v>3.4</v>
      </c>
      <c r="CR22" s="3">
        <f t="shared" si="30"/>
        <v>0.529411764705882</v>
      </c>
    </row>
    <row r="23" spans="2:96">
      <c r="B23" s="1">
        <v>45871</v>
      </c>
      <c r="C23">
        <v>32416</v>
      </c>
      <c r="D23" s="2">
        <f t="shared" si="31"/>
        <v>13455</v>
      </c>
      <c r="E23">
        <v>31904</v>
      </c>
      <c r="F23" s="3">
        <f t="shared" si="0"/>
        <v>0.421733951855567</v>
      </c>
      <c r="H23" s="1">
        <v>45312</v>
      </c>
      <c r="I23">
        <v>31145</v>
      </c>
      <c r="J23" s="2">
        <f t="shared" si="1"/>
        <v>14167</v>
      </c>
      <c r="K23">
        <v>32760</v>
      </c>
      <c r="L23" s="3">
        <f t="shared" si="2"/>
        <v>0.432448107448107</v>
      </c>
      <c r="N23" s="4">
        <v>256.832725536364</v>
      </c>
      <c r="O23">
        <v>201.27</v>
      </c>
      <c r="P23" s="5">
        <f t="shared" si="3"/>
        <v>55.562725536364</v>
      </c>
      <c r="Q23">
        <v>79.69</v>
      </c>
      <c r="R23" s="3">
        <f t="shared" si="4"/>
        <v>0.6972358581549</v>
      </c>
      <c r="T23" s="4">
        <v>217.645455090909</v>
      </c>
      <c r="U23">
        <v>100.23</v>
      </c>
      <c r="V23" s="5">
        <f t="shared" si="5"/>
        <v>117.415455090909</v>
      </c>
      <c r="W23">
        <v>410.93</v>
      </c>
      <c r="X23" s="3">
        <f t="shared" si="6"/>
        <v>0.285731037137491</v>
      </c>
      <c r="Z23" s="4">
        <v>26.96575004</v>
      </c>
      <c r="AA23">
        <v>13.25</v>
      </c>
      <c r="AB23" s="5">
        <f t="shared" si="7"/>
        <v>13.71575004</v>
      </c>
      <c r="AC23">
        <v>33.93</v>
      </c>
      <c r="AD23" s="3">
        <f t="shared" si="8"/>
        <v>0.40423666489832</v>
      </c>
      <c r="AF23" s="8">
        <v>3.97183385827587</v>
      </c>
      <c r="AG23">
        <v>2.09</v>
      </c>
      <c r="AH23" s="5">
        <f t="shared" si="9"/>
        <v>1.88183385827587</v>
      </c>
      <c r="AI23">
        <v>3.85</v>
      </c>
      <c r="AJ23" s="3">
        <f t="shared" si="10"/>
        <v>0.48878801513659</v>
      </c>
      <c r="AL23" s="4">
        <v>6.78504162916667</v>
      </c>
      <c r="AM23">
        <v>6.1</v>
      </c>
      <c r="AN23" s="5">
        <f t="shared" si="11"/>
        <v>0.685041629166671</v>
      </c>
      <c r="AO23">
        <v>1.89</v>
      </c>
      <c r="AP23" s="3">
        <f t="shared" si="12"/>
        <v>0.362455888447974</v>
      </c>
      <c r="AR23" s="4">
        <v>1.4595833375</v>
      </c>
      <c r="AS23">
        <v>0.02</v>
      </c>
      <c r="AT23" s="5">
        <f t="shared" si="13"/>
        <v>1.4395833375</v>
      </c>
      <c r="AU23">
        <v>2.84</v>
      </c>
      <c r="AV23" s="3">
        <f t="shared" si="14"/>
        <v>0.506895541373239</v>
      </c>
      <c r="AX23" s="4">
        <v>13.6222665541667</v>
      </c>
      <c r="AY23">
        <v>3.44</v>
      </c>
      <c r="AZ23" s="5">
        <f t="shared" si="15"/>
        <v>10.1822665541667</v>
      </c>
      <c r="BA23">
        <v>29.17</v>
      </c>
      <c r="BB23" s="3">
        <f t="shared" si="16"/>
        <v>0.349066388555595</v>
      </c>
      <c r="BD23" s="4">
        <v>0.663833325</v>
      </c>
      <c r="BE23">
        <v>0.17</v>
      </c>
      <c r="BF23" s="5">
        <f t="shared" si="17"/>
        <v>0.493833325</v>
      </c>
      <c r="BG23">
        <v>4</v>
      </c>
      <c r="BH23" s="3">
        <f t="shared" si="18"/>
        <v>0.12345833125</v>
      </c>
      <c r="BJ23" s="9">
        <v>10.3600909545455</v>
      </c>
      <c r="BK23">
        <v>4.8</v>
      </c>
      <c r="BL23" s="5">
        <f t="shared" si="19"/>
        <v>5.5600909545455</v>
      </c>
      <c r="BM23">
        <v>8.9</v>
      </c>
      <c r="BN23" s="3">
        <f t="shared" si="20"/>
        <v>0.624729320735449</v>
      </c>
      <c r="BP23" s="9">
        <v>0.104954545454545</v>
      </c>
      <c r="BQ23">
        <v>0.09</v>
      </c>
      <c r="BR23" s="5">
        <f t="shared" si="21"/>
        <v>0.014954545454545</v>
      </c>
      <c r="BS23">
        <v>0.43</v>
      </c>
      <c r="BT23" s="3">
        <f t="shared" si="22"/>
        <v>0.0347780126849884</v>
      </c>
      <c r="BV23" s="4">
        <v>6.7</v>
      </c>
      <c r="BW23">
        <v>6.18</v>
      </c>
      <c r="BX23" s="5">
        <f t="shared" si="23"/>
        <v>0.52</v>
      </c>
      <c r="BY23">
        <v>1.68</v>
      </c>
      <c r="BZ23" s="3">
        <f t="shared" si="24"/>
        <v>0.30952380952381</v>
      </c>
      <c r="CB23" s="10">
        <v>107.5</v>
      </c>
      <c r="CC23">
        <v>54.3</v>
      </c>
      <c r="CD23" s="12">
        <f t="shared" si="25"/>
        <v>53.2</v>
      </c>
      <c r="CE23">
        <v>71.3</v>
      </c>
      <c r="CF23" s="3">
        <f t="shared" si="26"/>
        <v>0.746143057503506</v>
      </c>
      <c r="CH23" s="13">
        <v>30.7</v>
      </c>
      <c r="CI23">
        <v>22.6</v>
      </c>
      <c r="CJ23">
        <f t="shared" si="27"/>
        <v>8.1</v>
      </c>
      <c r="CK23">
        <v>25.1</v>
      </c>
      <c r="CL23">
        <f t="shared" si="28"/>
        <v>0.322709163346613</v>
      </c>
      <c r="CN23" s="10">
        <v>4.9</v>
      </c>
      <c r="CO23">
        <v>3</v>
      </c>
      <c r="CP23" s="12">
        <f t="shared" si="29"/>
        <v>1.9</v>
      </c>
      <c r="CQ23">
        <v>3.4</v>
      </c>
      <c r="CR23" s="3">
        <f t="shared" si="30"/>
        <v>0.558823529411765</v>
      </c>
    </row>
    <row r="24" spans="2:96">
      <c r="B24" s="1">
        <v>45617</v>
      </c>
      <c r="C24">
        <v>32416</v>
      </c>
      <c r="D24" s="2">
        <f t="shared" si="31"/>
        <v>13201</v>
      </c>
      <c r="E24">
        <v>31904</v>
      </c>
      <c r="F24" s="3">
        <f t="shared" si="0"/>
        <v>0.413772567703109</v>
      </c>
      <c r="H24" s="1">
        <v>44906.1108093</v>
      </c>
      <c r="I24">
        <v>31145</v>
      </c>
      <c r="J24" s="2">
        <f t="shared" si="1"/>
        <v>13761.1108093</v>
      </c>
      <c r="K24">
        <v>32760</v>
      </c>
      <c r="L24" s="3">
        <f t="shared" si="2"/>
        <v>0.42005832751221</v>
      </c>
      <c r="N24" s="4">
        <v>258.18800201</v>
      </c>
      <c r="O24">
        <v>201.27</v>
      </c>
      <c r="P24" s="5">
        <f t="shared" si="3"/>
        <v>56.91800201</v>
      </c>
      <c r="Q24">
        <v>79.69</v>
      </c>
      <c r="R24" s="3">
        <f t="shared" si="4"/>
        <v>0.714242715648136</v>
      </c>
      <c r="T24" s="4">
        <v>231.119999325</v>
      </c>
      <c r="U24">
        <v>100.23</v>
      </c>
      <c r="V24" s="5">
        <f t="shared" si="5"/>
        <v>130.889999325</v>
      </c>
      <c r="W24">
        <v>410.93</v>
      </c>
      <c r="X24" s="3">
        <f t="shared" si="6"/>
        <v>0.318521401029372</v>
      </c>
      <c r="Z24" s="4">
        <v>26.330714247619</v>
      </c>
      <c r="AA24">
        <v>13.25</v>
      </c>
      <c r="AB24" s="5">
        <f t="shared" si="7"/>
        <v>13.080714247619</v>
      </c>
      <c r="AC24">
        <v>33.93</v>
      </c>
      <c r="AD24" s="3">
        <f t="shared" si="8"/>
        <v>0.38552060853578</v>
      </c>
      <c r="AF24" s="8">
        <v>5.58879218718159</v>
      </c>
      <c r="AG24">
        <v>2.09</v>
      </c>
      <c r="AH24" s="5">
        <f t="shared" si="9"/>
        <v>3.49879218718159</v>
      </c>
      <c r="AI24">
        <v>3.85</v>
      </c>
      <c r="AJ24" s="3">
        <f t="shared" si="10"/>
        <v>0.908777191475738</v>
      </c>
      <c r="AL24" s="4">
        <v>6.73621674166667</v>
      </c>
      <c r="AM24">
        <v>6.1</v>
      </c>
      <c r="AN24" s="5">
        <f t="shared" si="11"/>
        <v>0.63621674166667</v>
      </c>
      <c r="AO24">
        <v>1.89</v>
      </c>
      <c r="AP24" s="3">
        <f t="shared" si="12"/>
        <v>0.33662261463845</v>
      </c>
      <c r="AR24" s="4">
        <v>1.393749975</v>
      </c>
      <c r="AS24">
        <v>0.02</v>
      </c>
      <c r="AT24" s="5">
        <f t="shared" si="13"/>
        <v>1.373749975</v>
      </c>
      <c r="AU24">
        <v>2.84</v>
      </c>
      <c r="AV24" s="3">
        <f t="shared" si="14"/>
        <v>0.483714779929577</v>
      </c>
      <c r="AX24" s="4">
        <v>12.9592666916667</v>
      </c>
      <c r="AY24">
        <v>3.44</v>
      </c>
      <c r="AZ24" s="5">
        <f t="shared" si="15"/>
        <v>9.5192666916667</v>
      </c>
      <c r="BA24">
        <v>29.17</v>
      </c>
      <c r="BB24" s="3">
        <f t="shared" si="16"/>
        <v>0.326337562278598</v>
      </c>
      <c r="BD24" s="4">
        <v>0.663833325</v>
      </c>
      <c r="BE24">
        <v>0.17</v>
      </c>
      <c r="BF24" s="5">
        <f t="shared" si="17"/>
        <v>0.493833325</v>
      </c>
      <c r="BG24">
        <v>4</v>
      </c>
      <c r="BH24" s="3">
        <f t="shared" si="18"/>
        <v>0.12345833125</v>
      </c>
      <c r="BJ24" s="9">
        <v>10.37799996</v>
      </c>
      <c r="BK24">
        <v>4.8</v>
      </c>
      <c r="BL24" s="5">
        <f t="shared" si="19"/>
        <v>5.57799996</v>
      </c>
      <c r="BM24">
        <v>8.9</v>
      </c>
      <c r="BN24" s="3">
        <f t="shared" si="20"/>
        <v>0.626741568539326</v>
      </c>
      <c r="BP24" s="9">
        <v>0.10789</v>
      </c>
      <c r="BQ24">
        <v>0.09</v>
      </c>
      <c r="BR24" s="5">
        <f t="shared" si="21"/>
        <v>0.01789</v>
      </c>
      <c r="BS24">
        <v>0.43</v>
      </c>
      <c r="BT24" s="3">
        <f t="shared" si="22"/>
        <v>0.0416046511627907</v>
      </c>
      <c r="BV24" s="4">
        <v>6.198719945</v>
      </c>
      <c r="BW24">
        <v>6.18</v>
      </c>
      <c r="BX24" s="5">
        <f t="shared" si="23"/>
        <v>0.018719945</v>
      </c>
      <c r="BY24">
        <v>1.68</v>
      </c>
      <c r="BZ24" s="3">
        <f t="shared" si="24"/>
        <v>0.0111428244047619</v>
      </c>
      <c r="CB24" s="10">
        <v>108.3</v>
      </c>
      <c r="CC24">
        <v>54.3</v>
      </c>
      <c r="CD24" s="12">
        <f t="shared" si="25"/>
        <v>54</v>
      </c>
      <c r="CE24">
        <v>71.3</v>
      </c>
      <c r="CF24" s="3">
        <f t="shared" si="26"/>
        <v>0.757363253856942</v>
      </c>
      <c r="CH24" s="13">
        <v>31.4</v>
      </c>
      <c r="CI24">
        <v>22.6</v>
      </c>
      <c r="CJ24">
        <f t="shared" si="27"/>
        <v>8.8</v>
      </c>
      <c r="CK24">
        <v>25.1</v>
      </c>
      <c r="CL24">
        <f t="shared" si="28"/>
        <v>0.350597609561753</v>
      </c>
      <c r="CN24" s="10">
        <v>5.2</v>
      </c>
      <c r="CO24">
        <v>3</v>
      </c>
      <c r="CP24" s="12">
        <f t="shared" si="29"/>
        <v>2.2</v>
      </c>
      <c r="CQ24">
        <v>3.4</v>
      </c>
      <c r="CR24" s="3">
        <f t="shared" si="30"/>
        <v>0.647058823529412</v>
      </c>
    </row>
    <row r="25" spans="2:96">
      <c r="B25" s="1">
        <v>42795</v>
      </c>
      <c r="C25">
        <v>32416</v>
      </c>
      <c r="D25" s="2">
        <f t="shared" si="31"/>
        <v>10379</v>
      </c>
      <c r="E25">
        <v>31904</v>
      </c>
      <c r="F25" s="3">
        <f t="shared" si="0"/>
        <v>0.325319709127382</v>
      </c>
      <c r="H25" s="1">
        <v>42308.6955028</v>
      </c>
      <c r="I25">
        <v>31145</v>
      </c>
      <c r="J25" s="2">
        <f t="shared" si="1"/>
        <v>11163.6955028</v>
      </c>
      <c r="K25">
        <v>32760</v>
      </c>
      <c r="L25" s="3">
        <f t="shared" si="2"/>
        <v>0.340772145995116</v>
      </c>
      <c r="N25" s="4">
        <v>250.796186909524</v>
      </c>
      <c r="O25">
        <v>201.27</v>
      </c>
      <c r="P25" s="5">
        <f t="shared" si="3"/>
        <v>49.526186909524</v>
      </c>
      <c r="Q25">
        <v>79.69</v>
      </c>
      <c r="R25" s="3">
        <f t="shared" si="4"/>
        <v>0.621485593042088</v>
      </c>
      <c r="T25" s="4">
        <v>200.96189662381</v>
      </c>
      <c r="U25">
        <v>100.23</v>
      </c>
      <c r="V25" s="5">
        <f t="shared" si="5"/>
        <v>100.73189662381</v>
      </c>
      <c r="W25">
        <v>410.93</v>
      </c>
      <c r="X25" s="3">
        <f t="shared" si="6"/>
        <v>0.245131522701701</v>
      </c>
      <c r="Z25" s="4">
        <v>26.169749875</v>
      </c>
      <c r="AA25">
        <v>13.25</v>
      </c>
      <c r="AB25" s="5">
        <f t="shared" si="7"/>
        <v>12.919749875</v>
      </c>
      <c r="AC25">
        <v>33.93</v>
      </c>
      <c r="AD25" s="3">
        <f t="shared" si="8"/>
        <v>0.380776595195992</v>
      </c>
      <c r="AF25" s="8">
        <v>3.38014836053572</v>
      </c>
      <c r="AG25">
        <v>2.09</v>
      </c>
      <c r="AH25" s="5">
        <f t="shared" si="9"/>
        <v>1.29014836053572</v>
      </c>
      <c r="AI25">
        <v>3.85</v>
      </c>
      <c r="AJ25" s="3">
        <f t="shared" si="10"/>
        <v>0.335103470269018</v>
      </c>
      <c r="AL25" s="4">
        <v>6.41939995</v>
      </c>
      <c r="AM25">
        <v>6.1</v>
      </c>
      <c r="AN25" s="5">
        <f t="shared" si="11"/>
        <v>0.31939995</v>
      </c>
      <c r="AO25">
        <v>1.89</v>
      </c>
      <c r="AP25" s="3">
        <f t="shared" si="12"/>
        <v>0.168994682539683</v>
      </c>
      <c r="AR25" s="4">
        <v>1.156666675</v>
      </c>
      <c r="AS25">
        <v>0.02</v>
      </c>
      <c r="AT25" s="5">
        <f t="shared" si="13"/>
        <v>1.136666675</v>
      </c>
      <c r="AU25">
        <v>2.84</v>
      </c>
      <c r="AV25" s="3">
        <f t="shared" si="14"/>
        <v>0.40023474471831</v>
      </c>
      <c r="AX25" s="4">
        <v>11.8447333083333</v>
      </c>
      <c r="AY25">
        <v>3.44</v>
      </c>
      <c r="AZ25" s="5">
        <f t="shared" si="15"/>
        <v>8.4047333083333</v>
      </c>
      <c r="BA25">
        <v>29.17</v>
      </c>
      <c r="BB25" s="3">
        <f t="shared" si="16"/>
        <v>0.288129355787909</v>
      </c>
      <c r="BD25" s="4">
        <v>0.461238095238095</v>
      </c>
      <c r="BE25">
        <v>0.17</v>
      </c>
      <c r="BF25" s="5">
        <f t="shared" si="17"/>
        <v>0.291238095238095</v>
      </c>
      <c r="BG25">
        <v>4</v>
      </c>
      <c r="BH25" s="3">
        <f t="shared" si="18"/>
        <v>0.0728095238095237</v>
      </c>
      <c r="BJ25" s="9">
        <v>9.66628569047619</v>
      </c>
      <c r="BK25">
        <v>4.8</v>
      </c>
      <c r="BL25" s="5">
        <f t="shared" si="19"/>
        <v>4.86628569047619</v>
      </c>
      <c r="BM25">
        <v>8.9</v>
      </c>
      <c r="BN25" s="3">
        <f t="shared" si="20"/>
        <v>0.546773673087212</v>
      </c>
      <c r="BP25" s="9">
        <v>0.141095238095238</v>
      </c>
      <c r="BQ25">
        <v>0.09</v>
      </c>
      <c r="BR25" s="5">
        <f t="shared" si="21"/>
        <v>0.051095238095238</v>
      </c>
      <c r="BS25">
        <v>0.43</v>
      </c>
      <c r="BT25" s="3">
        <f t="shared" si="22"/>
        <v>0.118826135105205</v>
      </c>
      <c r="BV25" s="4">
        <v>6.4592</v>
      </c>
      <c r="BW25">
        <v>6.18</v>
      </c>
      <c r="BX25" s="5">
        <f t="shared" si="23"/>
        <v>0.2792</v>
      </c>
      <c r="BY25">
        <v>1.68</v>
      </c>
      <c r="BZ25" s="3">
        <f t="shared" si="24"/>
        <v>0.166190476190476</v>
      </c>
      <c r="CB25" s="10">
        <v>106.2</v>
      </c>
      <c r="CC25">
        <v>54.3</v>
      </c>
      <c r="CD25" s="12">
        <f t="shared" si="25"/>
        <v>51.9</v>
      </c>
      <c r="CE25">
        <v>71.3</v>
      </c>
      <c r="CF25" s="3">
        <f t="shared" si="26"/>
        <v>0.727910238429173</v>
      </c>
      <c r="CH25" s="13">
        <v>30.57</v>
      </c>
      <c r="CI25">
        <v>22.6</v>
      </c>
      <c r="CJ25">
        <f t="shared" si="27"/>
        <v>7.97</v>
      </c>
      <c r="CK25">
        <v>25.1</v>
      </c>
      <c r="CL25">
        <f t="shared" si="28"/>
        <v>0.317529880478088</v>
      </c>
      <c r="CN25" s="10">
        <v>4.8</v>
      </c>
      <c r="CO25">
        <v>3</v>
      </c>
      <c r="CP25" s="12">
        <f t="shared" si="29"/>
        <v>1.8</v>
      </c>
      <c r="CQ25">
        <v>3.4</v>
      </c>
      <c r="CR25" s="3">
        <f t="shared" si="30"/>
        <v>0.529411764705882</v>
      </c>
    </row>
    <row r="26" spans="2:96">
      <c r="B26" s="1">
        <v>44816</v>
      </c>
      <c r="C26">
        <v>32416</v>
      </c>
      <c r="D26" s="2">
        <f t="shared" si="31"/>
        <v>12400</v>
      </c>
      <c r="E26">
        <v>31904</v>
      </c>
      <c r="F26" s="3">
        <f t="shared" si="0"/>
        <v>0.388665997993982</v>
      </c>
      <c r="H26" s="1">
        <v>44263.8069714</v>
      </c>
      <c r="I26">
        <v>31145</v>
      </c>
      <c r="J26" s="2">
        <f t="shared" si="1"/>
        <v>13118.8069714</v>
      </c>
      <c r="K26">
        <v>32760</v>
      </c>
      <c r="L26" s="3">
        <f t="shared" si="2"/>
        <v>0.400451983253968</v>
      </c>
      <c r="N26" s="4">
        <v>262.247619633333</v>
      </c>
      <c r="O26">
        <v>201.27</v>
      </c>
      <c r="P26" s="5">
        <f t="shared" si="3"/>
        <v>60.977619633333</v>
      </c>
      <c r="Q26">
        <v>79.69</v>
      </c>
      <c r="R26" s="3">
        <f t="shared" si="4"/>
        <v>0.765185338603752</v>
      </c>
      <c r="T26" s="4">
        <v>262.528567361905</v>
      </c>
      <c r="U26">
        <v>100.23</v>
      </c>
      <c r="V26" s="5">
        <f t="shared" si="5"/>
        <v>162.298567361905</v>
      </c>
      <c r="W26">
        <v>410.93</v>
      </c>
      <c r="X26" s="3">
        <f t="shared" si="6"/>
        <v>0.394954292365865</v>
      </c>
      <c r="Z26" s="4">
        <v>27.323750065</v>
      </c>
      <c r="AA26">
        <v>13.25</v>
      </c>
      <c r="AB26" s="5">
        <f t="shared" si="7"/>
        <v>14.073750065</v>
      </c>
      <c r="AC26">
        <v>33.93</v>
      </c>
      <c r="AD26" s="3">
        <f t="shared" si="8"/>
        <v>0.414787800324197</v>
      </c>
      <c r="AF26" s="8">
        <v>3.50268362274257</v>
      </c>
      <c r="AG26">
        <v>2.09</v>
      </c>
      <c r="AH26" s="5">
        <f t="shared" si="9"/>
        <v>1.41268362274257</v>
      </c>
      <c r="AI26">
        <v>3.85</v>
      </c>
      <c r="AJ26" s="3">
        <f t="shared" si="10"/>
        <v>0.366930811101966</v>
      </c>
      <c r="AL26" s="4">
        <v>6.52966664583333</v>
      </c>
      <c r="AM26">
        <v>6.1</v>
      </c>
      <c r="AN26" s="5">
        <f t="shared" si="11"/>
        <v>0.42966664583333</v>
      </c>
      <c r="AO26">
        <v>1.89</v>
      </c>
      <c r="AP26" s="3">
        <f t="shared" si="12"/>
        <v>0.227336849647265</v>
      </c>
      <c r="AR26" s="4">
        <v>1.16062501666667</v>
      </c>
      <c r="AS26">
        <v>0.02</v>
      </c>
      <c r="AT26" s="5">
        <f t="shared" si="13"/>
        <v>1.14062501666667</v>
      </c>
      <c r="AU26">
        <v>2.84</v>
      </c>
      <c r="AV26" s="3">
        <f t="shared" si="14"/>
        <v>0.401628526995306</v>
      </c>
      <c r="AX26" s="4">
        <v>11.696533325</v>
      </c>
      <c r="AY26">
        <v>3.44</v>
      </c>
      <c r="AZ26" s="5">
        <f t="shared" si="15"/>
        <v>8.256533325</v>
      </c>
      <c r="BA26">
        <v>29.17</v>
      </c>
      <c r="BB26" s="3">
        <f t="shared" si="16"/>
        <v>0.283048794137813</v>
      </c>
      <c r="BD26" s="4">
        <v>0.640190485714286</v>
      </c>
      <c r="BE26">
        <v>0.17</v>
      </c>
      <c r="BF26" s="5">
        <f t="shared" si="17"/>
        <v>0.470190485714286</v>
      </c>
      <c r="BG26">
        <v>4</v>
      </c>
      <c r="BH26" s="3">
        <f t="shared" si="18"/>
        <v>0.117547621428572</v>
      </c>
      <c r="BJ26" s="4">
        <v>9.40380940952381</v>
      </c>
      <c r="BK26">
        <v>4.8</v>
      </c>
      <c r="BL26" s="5">
        <f t="shared" si="19"/>
        <v>4.60380940952381</v>
      </c>
      <c r="BM26">
        <v>8.9</v>
      </c>
      <c r="BN26" s="3">
        <f t="shared" si="20"/>
        <v>0.517281956126271</v>
      </c>
      <c r="BP26" s="4">
        <v>0.146038095238095</v>
      </c>
      <c r="BQ26">
        <v>0.09</v>
      </c>
      <c r="BR26" s="5">
        <f t="shared" si="21"/>
        <v>0.056038095238095</v>
      </c>
      <c r="BS26">
        <v>0.43</v>
      </c>
      <c r="BT26" s="3">
        <f t="shared" si="22"/>
        <v>0.1303211517165</v>
      </c>
      <c r="BV26" s="4">
        <v>6.43080006666667</v>
      </c>
      <c r="BW26">
        <v>6.18</v>
      </c>
      <c r="BX26" s="5">
        <f t="shared" si="23"/>
        <v>0.25080006666667</v>
      </c>
      <c r="BY26">
        <v>1.68</v>
      </c>
      <c r="BZ26" s="3">
        <f t="shared" si="24"/>
        <v>0.149285753968256</v>
      </c>
      <c r="CB26" s="10">
        <v>108.2</v>
      </c>
      <c r="CC26">
        <v>54.3</v>
      </c>
      <c r="CD26" s="12">
        <f t="shared" si="25"/>
        <v>53.9</v>
      </c>
      <c r="CE26">
        <v>71.3</v>
      </c>
      <c r="CF26" s="3">
        <f t="shared" si="26"/>
        <v>0.755960729312763</v>
      </c>
      <c r="CH26" s="13">
        <v>32.7</v>
      </c>
      <c r="CI26">
        <v>22.6</v>
      </c>
      <c r="CJ26">
        <f t="shared" si="27"/>
        <v>10.1</v>
      </c>
      <c r="CK26">
        <v>25.1</v>
      </c>
      <c r="CL26">
        <f t="shared" si="28"/>
        <v>0.402390438247012</v>
      </c>
      <c r="CN26" s="10">
        <v>5.3</v>
      </c>
      <c r="CO26">
        <v>3</v>
      </c>
      <c r="CP26" s="12">
        <f t="shared" si="29"/>
        <v>2.3</v>
      </c>
      <c r="CQ26">
        <v>3.4</v>
      </c>
      <c r="CR26" s="3">
        <f t="shared" si="30"/>
        <v>0.676470588235294</v>
      </c>
    </row>
    <row r="27" spans="2:96">
      <c r="B27" s="1">
        <v>41925</v>
      </c>
      <c r="C27">
        <v>32416</v>
      </c>
      <c r="D27" s="2">
        <f t="shared" si="31"/>
        <v>9509</v>
      </c>
      <c r="E27">
        <v>31904</v>
      </c>
      <c r="F27" s="3">
        <f t="shared" si="0"/>
        <v>0.298050401203611</v>
      </c>
      <c r="H27" s="1">
        <v>41468.8814088</v>
      </c>
      <c r="I27">
        <v>31145</v>
      </c>
      <c r="J27" s="2">
        <f t="shared" si="1"/>
        <v>10323.8814088</v>
      </c>
      <c r="K27">
        <v>32760</v>
      </c>
      <c r="L27" s="3">
        <f t="shared" si="2"/>
        <v>0.315136795140415</v>
      </c>
      <c r="N27" s="4">
        <v>255.557891052632</v>
      </c>
      <c r="O27">
        <v>201.27</v>
      </c>
      <c r="P27" s="5">
        <f t="shared" si="3"/>
        <v>54.287891052632</v>
      </c>
      <c r="Q27">
        <v>79.69</v>
      </c>
      <c r="R27" s="3">
        <f t="shared" si="4"/>
        <v>0.681238437101669</v>
      </c>
      <c r="T27" s="4">
        <v>240.136841610526</v>
      </c>
      <c r="U27">
        <v>100.23</v>
      </c>
      <c r="V27" s="5">
        <f t="shared" si="5"/>
        <v>139.906841610526</v>
      </c>
      <c r="W27">
        <v>410.93</v>
      </c>
      <c r="X27" s="3">
        <f t="shared" si="6"/>
        <v>0.340463927215161</v>
      </c>
      <c r="Z27" s="4">
        <v>27.72875007</v>
      </c>
      <c r="AA27">
        <v>13.25</v>
      </c>
      <c r="AB27" s="5">
        <f t="shared" si="7"/>
        <v>14.47875007</v>
      </c>
      <c r="AC27">
        <v>33.93</v>
      </c>
      <c r="AD27" s="3">
        <f t="shared" si="8"/>
        <v>0.426724139994106</v>
      </c>
      <c r="AF27" s="8">
        <v>4.12285556000486</v>
      </c>
      <c r="AG27">
        <v>2.09</v>
      </c>
      <c r="AH27" s="5">
        <f t="shared" si="9"/>
        <v>2.03285556000486</v>
      </c>
      <c r="AI27">
        <v>3.85</v>
      </c>
      <c r="AJ27" s="3">
        <f t="shared" si="10"/>
        <v>0.528014431170094</v>
      </c>
      <c r="AL27" s="4">
        <v>6.49921665416667</v>
      </c>
      <c r="AM27">
        <v>6.1</v>
      </c>
      <c r="AN27" s="5">
        <f t="shared" si="11"/>
        <v>0.39921665416667</v>
      </c>
      <c r="AO27">
        <v>1.89</v>
      </c>
      <c r="AP27" s="3">
        <f t="shared" si="12"/>
        <v>0.211225742945328</v>
      </c>
      <c r="AR27" s="4">
        <v>1.12291665833333</v>
      </c>
      <c r="AS27">
        <v>0.02</v>
      </c>
      <c r="AT27" s="5">
        <f t="shared" si="13"/>
        <v>1.10291665833333</v>
      </c>
      <c r="AU27">
        <v>2.84</v>
      </c>
      <c r="AV27" s="3">
        <f t="shared" si="14"/>
        <v>0.388350936032863</v>
      </c>
      <c r="AX27" s="4">
        <v>13.8684000833333</v>
      </c>
      <c r="AY27">
        <v>3.44</v>
      </c>
      <c r="AZ27" s="5">
        <f t="shared" si="15"/>
        <v>10.4284000833333</v>
      </c>
      <c r="BA27">
        <v>29.17</v>
      </c>
      <c r="BB27" s="3">
        <f t="shared" si="16"/>
        <v>0.357504288081361</v>
      </c>
      <c r="BD27" s="4">
        <v>0.913578968421053</v>
      </c>
      <c r="BE27">
        <v>0.17</v>
      </c>
      <c r="BF27" s="5">
        <f t="shared" si="17"/>
        <v>0.743578968421053</v>
      </c>
      <c r="BG27">
        <v>4</v>
      </c>
      <c r="BH27" s="3">
        <f t="shared" si="18"/>
        <v>0.185894742105263</v>
      </c>
      <c r="BJ27" s="4">
        <v>8.76536834210526</v>
      </c>
      <c r="BK27">
        <v>4.8</v>
      </c>
      <c r="BL27" s="5">
        <f t="shared" si="19"/>
        <v>3.96536834210526</v>
      </c>
      <c r="BM27">
        <v>8.9</v>
      </c>
      <c r="BN27" s="3">
        <f t="shared" si="20"/>
        <v>0.445547004730928</v>
      </c>
      <c r="BP27" s="4">
        <v>0.143126315789474</v>
      </c>
      <c r="BQ27">
        <v>0.09</v>
      </c>
      <c r="BR27" s="5">
        <f t="shared" si="21"/>
        <v>0.053126315789474</v>
      </c>
      <c r="BS27">
        <v>0.43</v>
      </c>
      <c r="BT27" s="3">
        <f t="shared" si="22"/>
        <v>0.123549571603428</v>
      </c>
      <c r="BV27" s="4">
        <v>6.42703154210526</v>
      </c>
      <c r="BW27">
        <v>6.18</v>
      </c>
      <c r="BX27" s="5">
        <f t="shared" si="23"/>
        <v>0.24703154210526</v>
      </c>
      <c r="BY27">
        <v>1.68</v>
      </c>
      <c r="BZ27" s="3">
        <f t="shared" si="24"/>
        <v>0.147042584586464</v>
      </c>
      <c r="CB27" s="10">
        <v>111.2</v>
      </c>
      <c r="CC27">
        <v>54.3</v>
      </c>
      <c r="CD27" s="12">
        <f t="shared" si="25"/>
        <v>56.9</v>
      </c>
      <c r="CE27">
        <v>71.3</v>
      </c>
      <c r="CF27" s="3">
        <f t="shared" si="26"/>
        <v>0.798036465638149</v>
      </c>
      <c r="CH27" s="13">
        <v>33.6</v>
      </c>
      <c r="CI27">
        <v>22.6</v>
      </c>
      <c r="CJ27">
        <f t="shared" si="27"/>
        <v>11</v>
      </c>
      <c r="CK27">
        <v>25.1</v>
      </c>
      <c r="CL27">
        <f t="shared" si="28"/>
        <v>0.438247011952191</v>
      </c>
      <c r="CN27" s="11">
        <v>5.5</v>
      </c>
      <c r="CO27">
        <v>3</v>
      </c>
      <c r="CP27" s="12">
        <f t="shared" si="29"/>
        <v>2.5</v>
      </c>
      <c r="CQ27">
        <v>3.4</v>
      </c>
      <c r="CR27" s="3">
        <f t="shared" si="30"/>
        <v>0.735294117647059</v>
      </c>
    </row>
    <row r="28" spans="2:96">
      <c r="B28" s="1">
        <v>43571</v>
      </c>
      <c r="C28">
        <v>32416</v>
      </c>
      <c r="D28" s="2">
        <f t="shared" si="31"/>
        <v>11155</v>
      </c>
      <c r="E28">
        <v>31904</v>
      </c>
      <c r="F28" s="3">
        <f t="shared" si="0"/>
        <v>0.349642678034102</v>
      </c>
      <c r="H28" s="1">
        <v>42946.8814701</v>
      </c>
      <c r="I28">
        <v>31145</v>
      </c>
      <c r="J28" s="2">
        <f t="shared" si="1"/>
        <v>11801.8814701</v>
      </c>
      <c r="K28">
        <v>32760</v>
      </c>
      <c r="L28" s="3">
        <f t="shared" si="2"/>
        <v>0.360252792127595</v>
      </c>
      <c r="N28" s="4">
        <v>251.116189147619</v>
      </c>
      <c r="O28">
        <v>201.27</v>
      </c>
      <c r="P28" s="5">
        <f t="shared" si="3"/>
        <v>49.846189147619</v>
      </c>
      <c r="Q28">
        <v>79.69</v>
      </c>
      <c r="R28" s="3">
        <f t="shared" si="4"/>
        <v>0.625501181423252</v>
      </c>
      <c r="T28" s="4">
        <v>211.409522647619</v>
      </c>
      <c r="U28">
        <v>100.23</v>
      </c>
      <c r="V28" s="5">
        <f t="shared" si="5"/>
        <v>111.179522647619</v>
      </c>
      <c r="W28">
        <v>410.93</v>
      </c>
      <c r="X28" s="3">
        <f t="shared" si="6"/>
        <v>0.270555867538556</v>
      </c>
      <c r="Z28" s="4">
        <v>27.909047647619</v>
      </c>
      <c r="AA28">
        <v>13.25</v>
      </c>
      <c r="AB28" s="5">
        <f t="shared" si="7"/>
        <v>14.659047647619</v>
      </c>
      <c r="AC28">
        <v>33.93</v>
      </c>
      <c r="AD28" s="3">
        <f t="shared" si="8"/>
        <v>0.432037950121397</v>
      </c>
      <c r="AF28" s="8">
        <v>3.50520624973322</v>
      </c>
      <c r="AG28">
        <v>2.09</v>
      </c>
      <c r="AH28" s="5">
        <f t="shared" si="9"/>
        <v>1.41520624973322</v>
      </c>
      <c r="AI28">
        <v>3.85</v>
      </c>
      <c r="AJ28" s="3">
        <f t="shared" si="10"/>
        <v>0.367586038891746</v>
      </c>
      <c r="AL28" s="4">
        <v>6.77150830833333</v>
      </c>
      <c r="AM28">
        <v>6.1</v>
      </c>
      <c r="AN28" s="5">
        <f t="shared" si="11"/>
        <v>0.671508308333331</v>
      </c>
      <c r="AO28">
        <v>1.89</v>
      </c>
      <c r="AP28" s="3">
        <f t="shared" si="12"/>
        <v>0.355295401234566</v>
      </c>
      <c r="AR28" s="4">
        <v>1.10166665416667</v>
      </c>
      <c r="AS28">
        <v>0.02</v>
      </c>
      <c r="AT28" s="5">
        <f t="shared" si="13"/>
        <v>1.08166665416667</v>
      </c>
      <c r="AU28">
        <v>2.84</v>
      </c>
      <c r="AV28" s="3">
        <f t="shared" si="14"/>
        <v>0.380868540199532</v>
      </c>
      <c r="AX28" s="4">
        <v>13.7448383428571</v>
      </c>
      <c r="AY28">
        <v>3.44</v>
      </c>
      <c r="AZ28" s="5">
        <f t="shared" si="15"/>
        <v>10.3048383428571</v>
      </c>
      <c r="BA28">
        <v>29.17</v>
      </c>
      <c r="BB28" s="3">
        <f t="shared" si="16"/>
        <v>0.353268369655711</v>
      </c>
      <c r="BD28" s="4">
        <v>2.1730476</v>
      </c>
      <c r="BE28">
        <v>0.17</v>
      </c>
      <c r="BF28" s="5">
        <f t="shared" si="17"/>
        <v>2.0030476</v>
      </c>
      <c r="BG28">
        <v>4</v>
      </c>
      <c r="BH28" s="3">
        <f t="shared" si="18"/>
        <v>0.5007619</v>
      </c>
      <c r="BJ28" s="4">
        <v>9.76761914285714</v>
      </c>
      <c r="BK28">
        <v>4.8</v>
      </c>
      <c r="BL28" s="5">
        <f t="shared" si="19"/>
        <v>4.96761914285714</v>
      </c>
      <c r="BM28">
        <v>8.9</v>
      </c>
      <c r="BN28" s="3">
        <f t="shared" si="20"/>
        <v>0.558159454253611</v>
      </c>
      <c r="BP28" s="4">
        <v>0.152733333333333</v>
      </c>
      <c r="BQ28">
        <v>0.09</v>
      </c>
      <c r="BR28" s="5">
        <f t="shared" si="21"/>
        <v>0.062733333333333</v>
      </c>
      <c r="BS28">
        <v>0.43</v>
      </c>
      <c r="BT28" s="3">
        <f t="shared" si="22"/>
        <v>0.145891472868216</v>
      </c>
      <c r="BV28" s="4">
        <v>6.42160004761905</v>
      </c>
      <c r="BW28">
        <v>6.18</v>
      </c>
      <c r="BX28" s="5">
        <f t="shared" si="23"/>
        <v>0.24160004761905</v>
      </c>
      <c r="BY28">
        <v>1.68</v>
      </c>
      <c r="BZ28" s="3">
        <f t="shared" si="24"/>
        <v>0.143809552154196</v>
      </c>
      <c r="CB28" s="10">
        <v>113.4</v>
      </c>
      <c r="CC28">
        <v>54.3</v>
      </c>
      <c r="CD28" s="12">
        <f t="shared" si="25"/>
        <v>59.1</v>
      </c>
      <c r="CE28">
        <v>71.3</v>
      </c>
      <c r="CF28" s="3">
        <f t="shared" si="26"/>
        <v>0.828892005610098</v>
      </c>
      <c r="CH28" s="13">
        <v>30.6</v>
      </c>
      <c r="CI28">
        <v>22.6</v>
      </c>
      <c r="CJ28">
        <f t="shared" si="27"/>
        <v>8</v>
      </c>
      <c r="CK28">
        <v>25.1</v>
      </c>
      <c r="CL28">
        <f t="shared" si="28"/>
        <v>0.318725099601594</v>
      </c>
      <c r="CN28" s="10">
        <v>4.9</v>
      </c>
      <c r="CO28">
        <v>3</v>
      </c>
      <c r="CP28" s="12">
        <f t="shared" si="29"/>
        <v>1.9</v>
      </c>
      <c r="CQ28">
        <v>3.4</v>
      </c>
      <c r="CR28" s="3">
        <f t="shared" si="30"/>
        <v>0.558823529411765</v>
      </c>
    </row>
    <row r="29" spans="2:96">
      <c r="B29" s="1">
        <v>42687</v>
      </c>
      <c r="C29">
        <v>32416</v>
      </c>
      <c r="D29" s="2">
        <f t="shared" si="31"/>
        <v>10271</v>
      </c>
      <c r="E29">
        <v>31904</v>
      </c>
      <c r="F29" s="3">
        <f t="shared" si="0"/>
        <v>0.321934553660983</v>
      </c>
      <c r="H29" s="1">
        <v>42226.7714845</v>
      </c>
      <c r="I29">
        <v>31145</v>
      </c>
      <c r="J29" s="2">
        <f t="shared" si="1"/>
        <v>11081.7714845</v>
      </c>
      <c r="K29">
        <v>32760</v>
      </c>
      <c r="L29" s="3">
        <f t="shared" si="2"/>
        <v>0.338271412835775</v>
      </c>
      <c r="N29" s="4">
        <v>244.899999629167</v>
      </c>
      <c r="O29">
        <v>201.27</v>
      </c>
      <c r="P29" s="5">
        <f t="shared" si="3"/>
        <v>43.629999629167</v>
      </c>
      <c r="Q29">
        <v>79.69</v>
      </c>
      <c r="R29" s="3">
        <f t="shared" si="4"/>
        <v>0.547496544474426</v>
      </c>
      <c r="T29" s="4">
        <v>260.120836266667</v>
      </c>
      <c r="U29">
        <v>100.23</v>
      </c>
      <c r="V29" s="5">
        <f t="shared" si="5"/>
        <v>159.890836266667</v>
      </c>
      <c r="W29">
        <v>410.93</v>
      </c>
      <c r="X29" s="3">
        <f t="shared" si="6"/>
        <v>0.389095067935334</v>
      </c>
      <c r="Z29" s="4">
        <v>26.6030951571428</v>
      </c>
      <c r="AA29">
        <v>13.25</v>
      </c>
      <c r="AB29" s="5">
        <f t="shared" si="7"/>
        <v>13.3530951571428</v>
      </c>
      <c r="AC29">
        <v>33.93</v>
      </c>
      <c r="AD29" s="3">
        <f t="shared" si="8"/>
        <v>0.393548339438338</v>
      </c>
      <c r="AF29" s="7">
        <v>3.48</v>
      </c>
      <c r="AG29">
        <v>2.09</v>
      </c>
      <c r="AH29" s="5">
        <f t="shared" si="9"/>
        <v>1.39</v>
      </c>
      <c r="AI29">
        <v>3.85</v>
      </c>
      <c r="AJ29" s="3">
        <f t="shared" si="10"/>
        <v>0.361038961038961</v>
      </c>
      <c r="AL29" s="4">
        <v>6.10027494404171</v>
      </c>
      <c r="AM29">
        <v>6.1</v>
      </c>
      <c r="AN29" s="5">
        <f t="shared" si="11"/>
        <v>0.00027494404171069</v>
      </c>
      <c r="AO29">
        <v>1.89</v>
      </c>
      <c r="AP29" s="3">
        <f t="shared" si="12"/>
        <v>0.000145473037942164</v>
      </c>
      <c r="AR29" s="4">
        <v>1.22729167916667</v>
      </c>
      <c r="AS29">
        <v>0.02</v>
      </c>
      <c r="AT29" s="5">
        <f t="shared" si="13"/>
        <v>1.20729167916667</v>
      </c>
      <c r="AU29">
        <v>2.84</v>
      </c>
      <c r="AV29" s="3">
        <f t="shared" si="14"/>
        <v>0.425102703931926</v>
      </c>
      <c r="AX29" s="4">
        <v>13.1898000125</v>
      </c>
      <c r="AY29">
        <v>3.44</v>
      </c>
      <c r="AZ29" s="5">
        <f t="shared" si="15"/>
        <v>9.7498000125</v>
      </c>
      <c r="BA29">
        <v>29.17</v>
      </c>
      <c r="BB29" s="3">
        <f t="shared" si="16"/>
        <v>0.334240658639013</v>
      </c>
      <c r="BD29" s="4">
        <v>2.8810833375</v>
      </c>
      <c r="BE29">
        <v>0.17</v>
      </c>
      <c r="BF29" s="5">
        <f t="shared" si="17"/>
        <v>2.7110833375</v>
      </c>
      <c r="BG29">
        <v>4</v>
      </c>
      <c r="BH29" s="3">
        <f t="shared" si="18"/>
        <v>0.677770834375</v>
      </c>
      <c r="BJ29" s="4">
        <v>9.74200006666667</v>
      </c>
      <c r="BK29">
        <v>4.8</v>
      </c>
      <c r="BL29" s="5">
        <f t="shared" si="19"/>
        <v>4.94200006666667</v>
      </c>
      <c r="BM29">
        <v>8.9</v>
      </c>
      <c r="BN29" s="3">
        <f t="shared" si="20"/>
        <v>0.555280906367042</v>
      </c>
      <c r="BP29" s="4">
        <v>0.153041666666667</v>
      </c>
      <c r="BQ29">
        <v>0.09</v>
      </c>
      <c r="BR29" s="5">
        <f t="shared" si="21"/>
        <v>0.063041666666667</v>
      </c>
      <c r="BS29">
        <v>0.43</v>
      </c>
      <c r="BT29" s="3">
        <f t="shared" si="22"/>
        <v>0.146608527131784</v>
      </c>
      <c r="BV29" s="4">
        <v>6.34450829166667</v>
      </c>
      <c r="BW29">
        <v>6.18</v>
      </c>
      <c r="BX29" s="5">
        <f t="shared" si="23"/>
        <v>0.16450829166667</v>
      </c>
      <c r="BY29">
        <v>1.68</v>
      </c>
      <c r="BZ29" s="3">
        <f t="shared" si="24"/>
        <v>0.0979216021825417</v>
      </c>
      <c r="CB29" s="10">
        <v>112.5</v>
      </c>
      <c r="CC29">
        <v>54.3</v>
      </c>
      <c r="CD29" s="12">
        <f t="shared" si="25"/>
        <v>58.2</v>
      </c>
      <c r="CE29">
        <v>71.3</v>
      </c>
      <c r="CF29" s="3">
        <f t="shared" si="26"/>
        <v>0.816269284712483</v>
      </c>
      <c r="CH29" s="13">
        <v>31.4</v>
      </c>
      <c r="CI29">
        <v>22.6</v>
      </c>
      <c r="CJ29">
        <f t="shared" si="27"/>
        <v>8.8</v>
      </c>
      <c r="CK29">
        <v>25.1</v>
      </c>
      <c r="CL29">
        <f t="shared" si="28"/>
        <v>0.350597609561753</v>
      </c>
      <c r="CN29" s="10">
        <v>4.7</v>
      </c>
      <c r="CO29">
        <v>3</v>
      </c>
      <c r="CP29" s="12">
        <f t="shared" si="29"/>
        <v>1.7</v>
      </c>
      <c r="CQ29">
        <v>3.4</v>
      </c>
      <c r="CR29" s="3">
        <f t="shared" si="30"/>
        <v>0.5</v>
      </c>
    </row>
    <row r="30" spans="2:96">
      <c r="B30" s="1">
        <v>39157</v>
      </c>
      <c r="C30">
        <v>32416</v>
      </c>
      <c r="D30" s="2">
        <f t="shared" si="31"/>
        <v>6741</v>
      </c>
      <c r="E30">
        <v>31904</v>
      </c>
      <c r="F30" s="3">
        <f t="shared" si="0"/>
        <v>0.211290120361083</v>
      </c>
      <c r="H30" s="1">
        <v>39873.5767516</v>
      </c>
      <c r="I30">
        <v>31145</v>
      </c>
      <c r="J30" s="2">
        <f t="shared" si="1"/>
        <v>8728.5767516</v>
      </c>
      <c r="K30">
        <v>32760</v>
      </c>
      <c r="L30" s="3">
        <f t="shared" si="2"/>
        <v>0.266440071782662</v>
      </c>
      <c r="N30" s="4">
        <v>258.626666379167</v>
      </c>
      <c r="O30">
        <v>201.27</v>
      </c>
      <c r="P30" s="5">
        <f t="shared" si="3"/>
        <v>57.356666379167</v>
      </c>
      <c r="Q30">
        <v>79.69</v>
      </c>
      <c r="R30" s="3">
        <f t="shared" si="4"/>
        <v>0.719747350723641</v>
      </c>
      <c r="T30" s="4">
        <v>281.016666729167</v>
      </c>
      <c r="U30">
        <v>100.23</v>
      </c>
      <c r="V30" s="5">
        <f t="shared" si="5"/>
        <v>180.786666729167</v>
      </c>
      <c r="W30">
        <v>410.93</v>
      </c>
      <c r="X30" s="3">
        <f t="shared" si="6"/>
        <v>0.439945165184258</v>
      </c>
      <c r="Z30" s="4">
        <v>26.701750075</v>
      </c>
      <c r="AA30">
        <v>13.25</v>
      </c>
      <c r="AB30" s="5">
        <f t="shared" si="7"/>
        <v>13.451750075</v>
      </c>
      <c r="AC30">
        <v>33.93</v>
      </c>
      <c r="AD30" s="3">
        <f t="shared" si="8"/>
        <v>0.396455940907751</v>
      </c>
      <c r="AF30" s="6">
        <v>5.13</v>
      </c>
      <c r="AG30">
        <v>2.09</v>
      </c>
      <c r="AH30" s="5">
        <f t="shared" si="9"/>
        <v>3.04</v>
      </c>
      <c r="AI30">
        <v>3.85</v>
      </c>
      <c r="AJ30" s="3">
        <f t="shared" si="10"/>
        <v>0.78961038961039</v>
      </c>
      <c r="AL30" s="4">
        <v>6.41590814971554</v>
      </c>
      <c r="AM30">
        <v>6.1</v>
      </c>
      <c r="AN30" s="5">
        <f t="shared" si="11"/>
        <v>0.315908149715541</v>
      </c>
      <c r="AO30">
        <v>1.89</v>
      </c>
      <c r="AP30" s="3">
        <f t="shared" si="12"/>
        <v>0.167147169161662</v>
      </c>
      <c r="AR30" s="4">
        <v>2.0675</v>
      </c>
      <c r="AS30">
        <v>0.02</v>
      </c>
      <c r="AT30" s="5">
        <f t="shared" si="13"/>
        <v>2.0475</v>
      </c>
      <c r="AU30">
        <v>2.84</v>
      </c>
      <c r="AV30" s="3">
        <f t="shared" si="14"/>
        <v>0.720950704225352</v>
      </c>
      <c r="AX30" s="4">
        <v>11.765866725</v>
      </c>
      <c r="AY30">
        <v>3.44</v>
      </c>
      <c r="AZ30" s="5">
        <f t="shared" si="15"/>
        <v>8.325866725</v>
      </c>
      <c r="BA30">
        <v>29.17</v>
      </c>
      <c r="BB30" s="3">
        <f t="shared" si="16"/>
        <v>0.285425667637984</v>
      </c>
      <c r="BD30" s="4">
        <v>2.78624999583333</v>
      </c>
      <c r="BE30">
        <v>0.17</v>
      </c>
      <c r="BF30" s="5">
        <f t="shared" si="17"/>
        <v>2.61624999583333</v>
      </c>
      <c r="BG30">
        <v>4</v>
      </c>
      <c r="BH30" s="3">
        <f t="shared" si="18"/>
        <v>0.654062498958333</v>
      </c>
      <c r="BJ30" s="4">
        <v>9.6135832875</v>
      </c>
      <c r="BK30">
        <v>4.8</v>
      </c>
      <c r="BL30" s="5">
        <f t="shared" si="19"/>
        <v>4.8135832875</v>
      </c>
      <c r="BM30">
        <v>8.9</v>
      </c>
      <c r="BN30" s="3">
        <f t="shared" si="20"/>
        <v>0.540852054775281</v>
      </c>
      <c r="BP30" s="4">
        <v>0.163466666666667</v>
      </c>
      <c r="BQ30">
        <v>0.09</v>
      </c>
      <c r="BR30" s="5">
        <f t="shared" si="21"/>
        <v>0.073466666666667</v>
      </c>
      <c r="BS30">
        <v>0.43</v>
      </c>
      <c r="BT30" s="3">
        <f t="shared" si="22"/>
        <v>0.170852713178295</v>
      </c>
      <c r="BV30" s="4">
        <v>6.21296667916667</v>
      </c>
      <c r="BW30">
        <v>6.18</v>
      </c>
      <c r="BX30" s="5">
        <f t="shared" si="23"/>
        <v>0.0329666791666705</v>
      </c>
      <c r="BY30">
        <v>1.68</v>
      </c>
      <c r="BZ30" s="3">
        <f t="shared" si="24"/>
        <v>0.0196230233134944</v>
      </c>
      <c r="CB30" s="10">
        <v>111</v>
      </c>
      <c r="CC30">
        <v>54.3</v>
      </c>
      <c r="CD30" s="12">
        <f t="shared" si="25"/>
        <v>56.7</v>
      </c>
      <c r="CE30">
        <v>71.3</v>
      </c>
      <c r="CF30" s="3">
        <f t="shared" si="26"/>
        <v>0.79523141654979</v>
      </c>
      <c r="CH30" s="13">
        <v>30.9</v>
      </c>
      <c r="CI30">
        <v>22.6</v>
      </c>
      <c r="CJ30">
        <f t="shared" si="27"/>
        <v>8.3</v>
      </c>
      <c r="CK30">
        <v>25.1</v>
      </c>
      <c r="CL30">
        <f t="shared" si="28"/>
        <v>0.330677290836653</v>
      </c>
      <c r="CN30" s="10">
        <v>5.2</v>
      </c>
      <c r="CO30">
        <v>3</v>
      </c>
      <c r="CP30" s="12">
        <f t="shared" si="29"/>
        <v>2.2</v>
      </c>
      <c r="CQ30">
        <v>3.4</v>
      </c>
      <c r="CR30" s="3">
        <f t="shared" si="30"/>
        <v>0.647058823529412</v>
      </c>
    </row>
    <row r="31" spans="2:96">
      <c r="B31" s="1">
        <v>40246</v>
      </c>
      <c r="C31">
        <v>32416</v>
      </c>
      <c r="D31" s="2">
        <f t="shared" si="31"/>
        <v>7830</v>
      </c>
      <c r="E31">
        <v>31904</v>
      </c>
      <c r="F31" s="3">
        <f t="shared" si="0"/>
        <v>0.245423771313942</v>
      </c>
      <c r="H31" s="1">
        <v>39790.3431702</v>
      </c>
      <c r="I31">
        <v>31145</v>
      </c>
      <c r="J31" s="2">
        <f t="shared" si="1"/>
        <v>8645.3431702</v>
      </c>
      <c r="K31">
        <v>32760</v>
      </c>
      <c r="L31" s="3">
        <f t="shared" si="2"/>
        <v>0.263899364169719</v>
      </c>
      <c r="N31" s="4">
        <v>259.373335520833</v>
      </c>
      <c r="O31">
        <v>201.27</v>
      </c>
      <c r="P31" s="5">
        <f t="shared" si="3"/>
        <v>58.103335520833</v>
      </c>
      <c r="Q31">
        <v>79.69</v>
      </c>
      <c r="R31" s="3">
        <f t="shared" si="4"/>
        <v>0.729117022472493</v>
      </c>
      <c r="T31" s="4">
        <v>256.808334991667</v>
      </c>
      <c r="U31">
        <v>100.23</v>
      </c>
      <c r="V31" s="5">
        <f t="shared" si="5"/>
        <v>156.578334991667</v>
      </c>
      <c r="W31">
        <v>410.93</v>
      </c>
      <c r="X31" s="3">
        <f t="shared" si="6"/>
        <v>0.381034081210101</v>
      </c>
      <c r="Z31" s="4">
        <v>23.7976190666666</v>
      </c>
      <c r="AA31">
        <v>13.25</v>
      </c>
      <c r="AB31" s="5">
        <f t="shared" si="7"/>
        <v>10.5476190666666</v>
      </c>
      <c r="AC31">
        <v>33.93</v>
      </c>
      <c r="AD31" s="3">
        <f t="shared" si="8"/>
        <v>0.31086410452893</v>
      </c>
      <c r="AF31" s="4">
        <v>4.74</v>
      </c>
      <c r="AG31">
        <v>2.09</v>
      </c>
      <c r="AH31" s="5">
        <f t="shared" si="9"/>
        <v>2.65</v>
      </c>
      <c r="AI31">
        <v>3.85</v>
      </c>
      <c r="AJ31" s="3">
        <f t="shared" si="10"/>
        <v>0.688311688311688</v>
      </c>
      <c r="AL31" s="4">
        <v>6.80120000833333</v>
      </c>
      <c r="AM31">
        <v>6.1</v>
      </c>
      <c r="AN31" s="5">
        <f t="shared" si="11"/>
        <v>0.701200008333331</v>
      </c>
      <c r="AO31">
        <v>1.89</v>
      </c>
      <c r="AP31" s="3">
        <f t="shared" si="12"/>
        <v>0.371005295414461</v>
      </c>
      <c r="AR31" s="4">
        <v>2.35071428571428</v>
      </c>
      <c r="AS31">
        <v>0.02</v>
      </c>
      <c r="AT31" s="5">
        <f t="shared" si="13"/>
        <v>2.33071428571428</v>
      </c>
      <c r="AU31">
        <v>2.84</v>
      </c>
      <c r="AV31" s="3">
        <f t="shared" si="14"/>
        <v>0.820674044265592</v>
      </c>
      <c r="AX31" s="4">
        <v>14.546999925</v>
      </c>
      <c r="AY31">
        <v>3.44</v>
      </c>
      <c r="AZ31" s="5">
        <f t="shared" si="15"/>
        <v>11.106999925</v>
      </c>
      <c r="BA31">
        <v>29.17</v>
      </c>
      <c r="BB31" s="3">
        <f t="shared" si="16"/>
        <v>0.380767909667467</v>
      </c>
      <c r="BD31" s="4">
        <v>4.17</v>
      </c>
      <c r="BE31">
        <v>0.17</v>
      </c>
      <c r="BF31" s="5">
        <f t="shared" si="17"/>
        <v>4</v>
      </c>
      <c r="BG31">
        <v>4</v>
      </c>
      <c r="BH31" s="3">
        <f t="shared" si="18"/>
        <v>1</v>
      </c>
      <c r="BJ31" s="4">
        <v>9.25908335</v>
      </c>
      <c r="BK31">
        <v>4.8</v>
      </c>
      <c r="BL31" s="5">
        <f t="shared" si="19"/>
        <v>4.45908335</v>
      </c>
      <c r="BM31">
        <v>8.9</v>
      </c>
      <c r="BN31" s="3">
        <f t="shared" si="20"/>
        <v>0.501020601123595</v>
      </c>
      <c r="BP31" s="4">
        <v>0.145758333333333</v>
      </c>
      <c r="BQ31">
        <v>0.09</v>
      </c>
      <c r="BR31" s="5">
        <f t="shared" si="21"/>
        <v>0.055758333333333</v>
      </c>
      <c r="BS31">
        <v>0.43</v>
      </c>
      <c r="BT31" s="3">
        <f t="shared" si="22"/>
        <v>0.129670542635658</v>
      </c>
      <c r="BV31" s="4">
        <v>6.24551667916667</v>
      </c>
      <c r="BW31">
        <v>6.18</v>
      </c>
      <c r="BX31" s="5">
        <f t="shared" si="23"/>
        <v>0.0655166791666701</v>
      </c>
      <c r="BY31">
        <v>1.68</v>
      </c>
      <c r="BZ31" s="3">
        <f t="shared" si="24"/>
        <v>0.0389980233134941</v>
      </c>
      <c r="CB31" s="11">
        <v>113.9</v>
      </c>
      <c r="CC31">
        <v>54.3</v>
      </c>
      <c r="CD31" s="12">
        <f t="shared" si="25"/>
        <v>59.6</v>
      </c>
      <c r="CE31">
        <v>71.3</v>
      </c>
      <c r="CF31" s="3">
        <f t="shared" si="26"/>
        <v>0.835904628330996</v>
      </c>
      <c r="CH31" s="14">
        <v>31.64</v>
      </c>
      <c r="CI31">
        <v>22.6</v>
      </c>
      <c r="CJ31">
        <f t="shared" si="27"/>
        <v>9.04</v>
      </c>
      <c r="CK31">
        <v>25.1</v>
      </c>
      <c r="CL31">
        <f t="shared" si="28"/>
        <v>0.360159362549801</v>
      </c>
      <c r="CN31" s="10">
        <v>5.1</v>
      </c>
      <c r="CO31">
        <v>3</v>
      </c>
      <c r="CP31" s="12">
        <f t="shared" si="29"/>
        <v>2.1</v>
      </c>
      <c r="CQ31">
        <v>3.4</v>
      </c>
      <c r="CR31" s="3">
        <f t="shared" si="30"/>
        <v>0.617647058823529</v>
      </c>
    </row>
    <row r="32" spans="2:96">
      <c r="B32" s="1">
        <v>40825</v>
      </c>
      <c r="C32">
        <v>32416</v>
      </c>
      <c r="D32" s="2">
        <f t="shared" si="31"/>
        <v>8409</v>
      </c>
      <c r="E32">
        <v>31904</v>
      </c>
      <c r="F32" s="3">
        <f t="shared" si="0"/>
        <v>0.263571965897693</v>
      </c>
      <c r="H32" s="1">
        <v>39802.3580956</v>
      </c>
      <c r="I32">
        <v>31145</v>
      </c>
      <c r="J32" s="2">
        <f t="shared" si="1"/>
        <v>8657.3580956</v>
      </c>
      <c r="K32">
        <v>32760</v>
      </c>
      <c r="L32" s="3">
        <f t="shared" si="2"/>
        <v>0.26426612013431</v>
      </c>
      <c r="N32" s="4">
        <v>253.846666345833</v>
      </c>
      <c r="O32">
        <v>201.27</v>
      </c>
      <c r="P32" s="5">
        <f t="shared" si="3"/>
        <v>52.576666345833</v>
      </c>
      <c r="Q32">
        <v>79.69</v>
      </c>
      <c r="R32" s="3">
        <f t="shared" si="4"/>
        <v>0.659764918381641</v>
      </c>
      <c r="T32" s="4">
        <v>180.545835816667</v>
      </c>
      <c r="U32">
        <v>100.23</v>
      </c>
      <c r="V32" s="5">
        <f t="shared" si="5"/>
        <v>80.315835816667</v>
      </c>
      <c r="W32">
        <v>410.93</v>
      </c>
      <c r="X32" s="3">
        <f t="shared" si="6"/>
        <v>0.195448947063166</v>
      </c>
      <c r="Z32" s="4">
        <v>21.9952083625</v>
      </c>
      <c r="AA32">
        <v>13.25</v>
      </c>
      <c r="AB32" s="5">
        <f t="shared" si="7"/>
        <v>8.7452083625</v>
      </c>
      <c r="AC32">
        <v>33.93</v>
      </c>
      <c r="AD32" s="3">
        <f t="shared" si="8"/>
        <v>0.257742657309166</v>
      </c>
      <c r="AF32" s="4">
        <v>3.66</v>
      </c>
      <c r="AG32">
        <v>2.09</v>
      </c>
      <c r="AH32" s="5">
        <f t="shared" si="9"/>
        <v>1.57</v>
      </c>
      <c r="AI32">
        <v>3.85</v>
      </c>
      <c r="AJ32" s="3">
        <f t="shared" si="10"/>
        <v>0.407792207792208</v>
      </c>
      <c r="AL32" s="4">
        <v>6.82533332857143</v>
      </c>
      <c r="AM32">
        <v>6.1</v>
      </c>
      <c r="AN32" s="5">
        <f t="shared" si="11"/>
        <v>0.725333328571431</v>
      </c>
      <c r="AO32">
        <v>1.89</v>
      </c>
      <c r="AP32" s="3">
        <f t="shared" si="12"/>
        <v>0.383774247921392</v>
      </c>
      <c r="AR32" s="4">
        <v>1.80808023470158</v>
      </c>
      <c r="AS32">
        <v>0.02</v>
      </c>
      <c r="AT32" s="5">
        <f t="shared" si="13"/>
        <v>1.78808023470158</v>
      </c>
      <c r="AU32">
        <v>2.84</v>
      </c>
      <c r="AV32" s="3">
        <f t="shared" si="14"/>
        <v>0.629605716444218</v>
      </c>
      <c r="AX32" s="4">
        <v>14.2627332833333</v>
      </c>
      <c r="AY32">
        <v>3.44</v>
      </c>
      <c r="AZ32" s="5">
        <f t="shared" si="15"/>
        <v>10.8227332833333</v>
      </c>
      <c r="BA32">
        <v>29.17</v>
      </c>
      <c r="BB32" s="3">
        <f t="shared" si="16"/>
        <v>0.371022738544165</v>
      </c>
      <c r="BD32" s="4">
        <v>0.8845</v>
      </c>
      <c r="BE32">
        <v>0.17</v>
      </c>
      <c r="BF32" s="5">
        <f t="shared" si="17"/>
        <v>0.7145</v>
      </c>
      <c r="BG32">
        <v>4</v>
      </c>
      <c r="BH32" s="3">
        <f t="shared" si="18"/>
        <v>0.178625</v>
      </c>
      <c r="BJ32" s="9">
        <v>7.00641662916667</v>
      </c>
      <c r="BK32">
        <v>4.8</v>
      </c>
      <c r="BL32" s="5">
        <f t="shared" si="19"/>
        <v>2.20641662916667</v>
      </c>
      <c r="BM32">
        <v>8.9</v>
      </c>
      <c r="BN32" s="3">
        <f t="shared" si="20"/>
        <v>0.247911980805244</v>
      </c>
      <c r="BP32" s="9">
        <v>0.204758333333333</v>
      </c>
      <c r="BQ32">
        <v>0.09</v>
      </c>
      <c r="BR32" s="5">
        <f t="shared" si="21"/>
        <v>0.114758333333333</v>
      </c>
      <c r="BS32">
        <v>0.43</v>
      </c>
      <c r="BT32" s="3">
        <f t="shared" si="22"/>
        <v>0.26687984496124</v>
      </c>
      <c r="BV32" s="4">
        <v>6.28664168333333</v>
      </c>
      <c r="BW32">
        <v>6.18</v>
      </c>
      <c r="BX32" s="5">
        <f t="shared" si="23"/>
        <v>0.10664168333333</v>
      </c>
      <c r="BY32">
        <v>1.68</v>
      </c>
      <c r="BZ32" s="3">
        <f t="shared" si="24"/>
        <v>0.0634771924603156</v>
      </c>
      <c r="CB32" s="10">
        <v>108.2</v>
      </c>
      <c r="CC32">
        <v>54.3</v>
      </c>
      <c r="CD32" s="12">
        <f t="shared" si="25"/>
        <v>53.9</v>
      </c>
      <c r="CE32">
        <v>71.3</v>
      </c>
      <c r="CF32" s="3">
        <f t="shared" si="26"/>
        <v>0.755960729312763</v>
      </c>
      <c r="CH32" s="13">
        <v>30.7</v>
      </c>
      <c r="CI32">
        <v>22.6</v>
      </c>
      <c r="CJ32">
        <f t="shared" si="27"/>
        <v>8.1</v>
      </c>
      <c r="CK32">
        <v>25.1</v>
      </c>
      <c r="CL32">
        <f t="shared" si="28"/>
        <v>0.322709163346613</v>
      </c>
      <c r="CN32" s="11">
        <v>4.6</v>
      </c>
      <c r="CO32">
        <v>3</v>
      </c>
      <c r="CP32" s="12">
        <f t="shared" si="29"/>
        <v>1.6</v>
      </c>
      <c r="CQ32">
        <v>3.4</v>
      </c>
      <c r="CR32" s="3">
        <f t="shared" si="30"/>
        <v>0.470588235294118</v>
      </c>
    </row>
    <row r="33" spans="2:96">
      <c r="B33" s="1">
        <v>42076</v>
      </c>
      <c r="C33">
        <v>32416</v>
      </c>
      <c r="D33" s="2">
        <f t="shared" si="31"/>
        <v>9660</v>
      </c>
      <c r="E33">
        <v>31904</v>
      </c>
      <c r="F33" s="3">
        <f t="shared" si="0"/>
        <v>0.30278335005015</v>
      </c>
      <c r="H33" s="1">
        <v>41667.8952028</v>
      </c>
      <c r="I33">
        <v>31145</v>
      </c>
      <c r="J33" s="2">
        <f t="shared" si="1"/>
        <v>10522.8952028</v>
      </c>
      <c r="K33">
        <v>32760</v>
      </c>
      <c r="L33" s="3">
        <f t="shared" si="2"/>
        <v>0.321211697277167</v>
      </c>
      <c r="N33" s="4">
        <v>247.1433289875</v>
      </c>
      <c r="O33">
        <v>201.27</v>
      </c>
      <c r="P33" s="5">
        <f t="shared" si="3"/>
        <v>45.8733289875</v>
      </c>
      <c r="Q33">
        <v>79.69</v>
      </c>
      <c r="R33" s="3">
        <f t="shared" si="4"/>
        <v>0.575647245419752</v>
      </c>
      <c r="T33" s="4">
        <v>189.5416674625</v>
      </c>
      <c r="U33">
        <v>100.23</v>
      </c>
      <c r="V33" s="5">
        <f t="shared" si="5"/>
        <v>89.3116674625</v>
      </c>
      <c r="W33">
        <v>410.93</v>
      </c>
      <c r="X33" s="3">
        <f t="shared" si="6"/>
        <v>0.217340343762928</v>
      </c>
      <c r="Z33" s="4">
        <v>24.576874975</v>
      </c>
      <c r="AA33">
        <v>13.25</v>
      </c>
      <c r="AB33" s="5">
        <f t="shared" si="7"/>
        <v>11.326874975</v>
      </c>
      <c r="AC33">
        <v>33.93</v>
      </c>
      <c r="AD33" s="3">
        <f t="shared" si="8"/>
        <v>0.333830680076628</v>
      </c>
      <c r="AF33" s="4">
        <v>3.95</v>
      </c>
      <c r="AG33">
        <v>2.09</v>
      </c>
      <c r="AH33" s="5">
        <f t="shared" si="9"/>
        <v>1.86</v>
      </c>
      <c r="AI33">
        <v>3.85</v>
      </c>
      <c r="AJ33" s="3">
        <f t="shared" si="10"/>
        <v>0.483116883116883</v>
      </c>
      <c r="AL33" s="4">
        <v>6.91853330952381</v>
      </c>
      <c r="AM33">
        <v>6.1</v>
      </c>
      <c r="AN33" s="5">
        <f t="shared" si="11"/>
        <v>0.818533309523811</v>
      </c>
      <c r="AO33">
        <v>1.89</v>
      </c>
      <c r="AP33" s="3">
        <f t="shared" si="12"/>
        <v>0.433086407155455</v>
      </c>
      <c r="AR33" s="4">
        <v>1.72490400439535</v>
      </c>
      <c r="AS33">
        <v>0.02</v>
      </c>
      <c r="AT33" s="5">
        <f t="shared" si="13"/>
        <v>1.70490400439535</v>
      </c>
      <c r="AU33">
        <v>2.84</v>
      </c>
      <c r="AV33" s="3">
        <f t="shared" si="14"/>
        <v>0.600318311406813</v>
      </c>
      <c r="AX33" s="4">
        <v>11.0690666125</v>
      </c>
      <c r="AY33">
        <v>3.44</v>
      </c>
      <c r="AZ33" s="5">
        <f t="shared" si="15"/>
        <v>7.6290666125</v>
      </c>
      <c r="BA33">
        <v>29.17</v>
      </c>
      <c r="BB33" s="3">
        <f t="shared" si="16"/>
        <v>0.261538108073363</v>
      </c>
      <c r="BD33" s="4">
        <v>0.474249995833333</v>
      </c>
      <c r="BE33">
        <v>0.17</v>
      </c>
      <c r="BF33" s="5">
        <f t="shared" si="17"/>
        <v>0.304249995833333</v>
      </c>
      <c r="BG33">
        <v>4</v>
      </c>
      <c r="BH33" s="3">
        <f t="shared" si="18"/>
        <v>0.0760624989583333</v>
      </c>
      <c r="BJ33" s="9">
        <v>8.47758339583333</v>
      </c>
      <c r="BK33">
        <v>4.8</v>
      </c>
      <c r="BL33" s="5">
        <f t="shared" si="19"/>
        <v>3.67758339583333</v>
      </c>
      <c r="BM33">
        <v>8.9</v>
      </c>
      <c r="BN33" s="3">
        <f t="shared" si="20"/>
        <v>0.413211617509363</v>
      </c>
      <c r="BP33" s="9">
        <v>0.163858333333333</v>
      </c>
      <c r="BQ33">
        <v>0.09</v>
      </c>
      <c r="BR33" s="5">
        <f t="shared" si="21"/>
        <v>0.073858333333333</v>
      </c>
      <c r="BS33">
        <v>0.43</v>
      </c>
      <c r="BT33" s="3">
        <f t="shared" si="22"/>
        <v>0.171763565891472</v>
      </c>
      <c r="BV33" s="4">
        <v>6.32187499166667</v>
      </c>
      <c r="BW33">
        <v>6.18</v>
      </c>
      <c r="BX33" s="5">
        <f t="shared" si="23"/>
        <v>0.14187499166667</v>
      </c>
      <c r="BY33">
        <v>1.68</v>
      </c>
      <c r="BZ33" s="3">
        <f t="shared" si="24"/>
        <v>0.0844493998015894</v>
      </c>
      <c r="CB33" s="10">
        <v>98.3</v>
      </c>
      <c r="CC33">
        <v>54.3</v>
      </c>
      <c r="CD33" s="12">
        <f t="shared" si="25"/>
        <v>44</v>
      </c>
      <c r="CE33">
        <v>71.3</v>
      </c>
      <c r="CF33" s="3">
        <f t="shared" si="26"/>
        <v>0.61711079943899</v>
      </c>
      <c r="CH33" s="13">
        <v>29.8</v>
      </c>
      <c r="CI33">
        <v>22.6</v>
      </c>
      <c r="CJ33">
        <f t="shared" si="27"/>
        <v>7.2</v>
      </c>
      <c r="CK33">
        <v>25.1</v>
      </c>
      <c r="CL33">
        <f t="shared" si="28"/>
        <v>0.286852589641434</v>
      </c>
      <c r="CN33" s="10">
        <v>3.7</v>
      </c>
      <c r="CO33">
        <v>3</v>
      </c>
      <c r="CP33" s="12">
        <f t="shared" si="29"/>
        <v>0.7</v>
      </c>
      <c r="CQ33">
        <v>3.4</v>
      </c>
      <c r="CR33" s="3">
        <f t="shared" si="30"/>
        <v>0.205882352941177</v>
      </c>
    </row>
    <row r="34" spans="2:96">
      <c r="B34" s="1">
        <v>44154</v>
      </c>
      <c r="C34">
        <v>32416</v>
      </c>
      <c r="D34" s="2">
        <f t="shared" si="31"/>
        <v>11738</v>
      </c>
      <c r="E34">
        <v>31904</v>
      </c>
      <c r="F34" s="3">
        <f t="shared" si="0"/>
        <v>0.367916248746239</v>
      </c>
      <c r="H34" s="1">
        <v>43914.3217773</v>
      </c>
      <c r="I34">
        <v>31145</v>
      </c>
      <c r="J34" s="2">
        <f t="shared" si="1"/>
        <v>12769.3217773</v>
      </c>
      <c r="K34">
        <v>32760</v>
      </c>
      <c r="L34" s="3">
        <f t="shared" si="2"/>
        <v>0.38978393703602</v>
      </c>
      <c r="N34" s="4">
        <v>232.111303573913</v>
      </c>
      <c r="O34">
        <v>201.27</v>
      </c>
      <c r="P34" s="5">
        <f t="shared" si="3"/>
        <v>30.841303573913</v>
      </c>
      <c r="Q34">
        <v>79.69</v>
      </c>
      <c r="R34" s="3">
        <f t="shared" si="4"/>
        <v>0.387015981602623</v>
      </c>
      <c r="T34" s="4">
        <v>186.413042973913</v>
      </c>
      <c r="U34">
        <v>100.23</v>
      </c>
      <c r="V34" s="5">
        <f t="shared" si="5"/>
        <v>86.183042973913</v>
      </c>
      <c r="W34">
        <v>410.93</v>
      </c>
      <c r="X34" s="3">
        <f t="shared" si="6"/>
        <v>0.209726822023004</v>
      </c>
      <c r="Z34" s="4">
        <v>25.6152172913043</v>
      </c>
      <c r="AA34">
        <v>13.25</v>
      </c>
      <c r="AB34" s="5">
        <f t="shared" si="7"/>
        <v>12.3652172913043</v>
      </c>
      <c r="AC34">
        <v>33.93</v>
      </c>
      <c r="AD34" s="3">
        <f t="shared" si="8"/>
        <v>0.364433165084123</v>
      </c>
      <c r="AF34" s="4">
        <v>3.73</v>
      </c>
      <c r="AG34">
        <v>2.09</v>
      </c>
      <c r="AH34" s="5">
        <f t="shared" si="9"/>
        <v>1.64</v>
      </c>
      <c r="AI34">
        <v>3.85</v>
      </c>
      <c r="AJ34" s="3">
        <f t="shared" si="10"/>
        <v>0.425974025974026</v>
      </c>
      <c r="AL34" s="4">
        <v>6.90516845263158</v>
      </c>
      <c r="AM34">
        <v>6.1</v>
      </c>
      <c r="AN34" s="5">
        <f t="shared" si="11"/>
        <v>0.80516845263158</v>
      </c>
      <c r="AO34">
        <v>1.89</v>
      </c>
      <c r="AP34" s="3">
        <f t="shared" si="12"/>
        <v>0.426015054302423</v>
      </c>
      <c r="AR34" s="4">
        <v>1.20552694768249</v>
      </c>
      <c r="AS34">
        <v>0.02</v>
      </c>
      <c r="AT34" s="5">
        <f t="shared" si="13"/>
        <v>1.18552694768249</v>
      </c>
      <c r="AU34">
        <v>2.84</v>
      </c>
      <c r="AV34" s="3">
        <f t="shared" si="14"/>
        <v>0.417439066085384</v>
      </c>
      <c r="AX34" s="4">
        <v>11.4668666583333</v>
      </c>
      <c r="AY34">
        <v>3.44</v>
      </c>
      <c r="AZ34" s="5">
        <f t="shared" si="15"/>
        <v>8.0268666583333</v>
      </c>
      <c r="BA34">
        <v>29.17</v>
      </c>
      <c r="BB34" s="3">
        <f t="shared" si="16"/>
        <v>0.275175408239057</v>
      </c>
      <c r="BD34" s="4">
        <v>1.00933333333333</v>
      </c>
      <c r="BE34">
        <v>0.17</v>
      </c>
      <c r="BF34" s="5">
        <f t="shared" si="17"/>
        <v>0.83933333333333</v>
      </c>
      <c r="BG34">
        <v>4</v>
      </c>
      <c r="BH34" s="3">
        <f t="shared" si="18"/>
        <v>0.209833333333333</v>
      </c>
      <c r="BJ34" s="9">
        <v>8.41643476086956</v>
      </c>
      <c r="BK34">
        <v>4.8</v>
      </c>
      <c r="BL34" s="5">
        <f t="shared" si="19"/>
        <v>3.61643476086956</v>
      </c>
      <c r="BM34">
        <v>8.9</v>
      </c>
      <c r="BN34" s="3">
        <f t="shared" si="20"/>
        <v>0.406340984367366</v>
      </c>
      <c r="BP34" s="9">
        <v>0.244721739130434</v>
      </c>
      <c r="BQ34">
        <v>0.09</v>
      </c>
      <c r="BR34" s="5">
        <f t="shared" si="21"/>
        <v>0.154721739130434</v>
      </c>
      <c r="BS34">
        <v>0.43</v>
      </c>
      <c r="BT34" s="3">
        <f t="shared" si="22"/>
        <v>0.359817997977753</v>
      </c>
      <c r="BV34" s="4">
        <v>6.3653130173913</v>
      </c>
      <c r="BW34">
        <v>6.18</v>
      </c>
      <c r="BX34" s="5">
        <f t="shared" si="23"/>
        <v>0.185313017391301</v>
      </c>
      <c r="BY34">
        <v>1.68</v>
      </c>
      <c r="BZ34" s="3">
        <f t="shared" si="24"/>
        <v>0.110305367494822</v>
      </c>
      <c r="CB34" s="10">
        <v>99.4</v>
      </c>
      <c r="CC34">
        <v>54.3</v>
      </c>
      <c r="CD34" s="12">
        <f t="shared" si="25"/>
        <v>45.1</v>
      </c>
      <c r="CE34">
        <v>71.3</v>
      </c>
      <c r="CF34" s="3">
        <f t="shared" si="26"/>
        <v>0.632538569424965</v>
      </c>
      <c r="CH34" s="13">
        <v>30.4</v>
      </c>
      <c r="CI34">
        <v>22.6</v>
      </c>
      <c r="CJ34">
        <f t="shared" si="27"/>
        <v>7.8</v>
      </c>
      <c r="CK34">
        <v>25.1</v>
      </c>
      <c r="CL34">
        <f t="shared" si="28"/>
        <v>0.310756972111554</v>
      </c>
      <c r="CN34" s="10">
        <v>4</v>
      </c>
      <c r="CO34">
        <v>3</v>
      </c>
      <c r="CP34" s="12">
        <f t="shared" si="29"/>
        <v>1</v>
      </c>
      <c r="CQ34">
        <v>3.4</v>
      </c>
      <c r="CR34" s="3">
        <f t="shared" si="30"/>
        <v>0.294117647058824</v>
      </c>
    </row>
    <row r="35" spans="2:96">
      <c r="B35" s="1">
        <v>44287</v>
      </c>
      <c r="C35">
        <v>32416</v>
      </c>
      <c r="D35" s="2">
        <f t="shared" si="31"/>
        <v>11871</v>
      </c>
      <c r="E35">
        <v>31904</v>
      </c>
      <c r="F35" s="3">
        <f t="shared" si="0"/>
        <v>0.372085005015045</v>
      </c>
      <c r="H35" s="1">
        <v>43706.5770131</v>
      </c>
      <c r="I35">
        <v>31145</v>
      </c>
      <c r="J35" s="2">
        <f t="shared" si="1"/>
        <v>12561.5770131</v>
      </c>
      <c r="K35">
        <v>32760</v>
      </c>
      <c r="L35" s="3">
        <f t="shared" si="2"/>
        <v>0.383442521767399</v>
      </c>
      <c r="N35" s="4">
        <v>247.656667708333</v>
      </c>
      <c r="O35">
        <v>201.27</v>
      </c>
      <c r="P35" s="5">
        <f t="shared" si="3"/>
        <v>46.386667708333</v>
      </c>
      <c r="Q35">
        <v>79.69</v>
      </c>
      <c r="R35" s="3">
        <f t="shared" si="4"/>
        <v>0.58208894100054</v>
      </c>
      <c r="T35" s="4">
        <v>192.400000245833</v>
      </c>
      <c r="U35">
        <v>100.23</v>
      </c>
      <c r="V35" s="5">
        <f t="shared" si="5"/>
        <v>92.170000245833</v>
      </c>
      <c r="W35">
        <v>410.93</v>
      </c>
      <c r="X35" s="3">
        <f t="shared" si="6"/>
        <v>0.224296109424557</v>
      </c>
      <c r="Z35" s="4">
        <v>23.9624999416666</v>
      </c>
      <c r="AA35">
        <v>13.25</v>
      </c>
      <c r="AB35" s="5">
        <f t="shared" si="7"/>
        <v>10.7124999416666</v>
      </c>
      <c r="AC35">
        <v>33.93</v>
      </c>
      <c r="AD35" s="3">
        <f t="shared" si="8"/>
        <v>0.315723546762941</v>
      </c>
      <c r="AF35" s="4">
        <v>4.56</v>
      </c>
      <c r="AG35">
        <v>2.09</v>
      </c>
      <c r="AH35" s="5">
        <f t="shared" si="9"/>
        <v>2.47</v>
      </c>
      <c r="AI35">
        <v>3.85</v>
      </c>
      <c r="AJ35" s="3">
        <f t="shared" si="10"/>
        <v>0.641558441558441</v>
      </c>
      <c r="AL35" s="4">
        <v>6.89556002</v>
      </c>
      <c r="AM35">
        <v>6.1</v>
      </c>
      <c r="AN35" s="5">
        <f t="shared" si="11"/>
        <v>0.79556002</v>
      </c>
      <c r="AO35">
        <v>1.89</v>
      </c>
      <c r="AP35" s="3">
        <f t="shared" si="12"/>
        <v>0.420931227513227</v>
      </c>
      <c r="AR35" s="4">
        <v>1.44169131636479</v>
      </c>
      <c r="AS35">
        <v>0.02</v>
      </c>
      <c r="AT35" s="5">
        <f t="shared" si="13"/>
        <v>1.42169131636479</v>
      </c>
      <c r="AU35">
        <v>2.84</v>
      </c>
      <c r="AV35" s="3">
        <f t="shared" si="14"/>
        <v>0.500595533931264</v>
      </c>
      <c r="AX35" s="4">
        <v>11.8308667333333</v>
      </c>
      <c r="AY35">
        <v>3.44</v>
      </c>
      <c r="AZ35" s="5">
        <f t="shared" si="15"/>
        <v>8.3908667333333</v>
      </c>
      <c r="BA35">
        <v>29.17</v>
      </c>
      <c r="BB35" s="3">
        <f t="shared" si="16"/>
        <v>0.287653984687463</v>
      </c>
      <c r="BD35" s="4">
        <v>1.62900002083333</v>
      </c>
      <c r="BE35">
        <v>0.17</v>
      </c>
      <c r="BF35" s="5">
        <f t="shared" si="17"/>
        <v>1.45900002083333</v>
      </c>
      <c r="BG35">
        <v>4</v>
      </c>
      <c r="BH35" s="3">
        <f t="shared" si="18"/>
        <v>0.364750005208333</v>
      </c>
      <c r="BJ35" s="9">
        <v>9.63774998333333</v>
      </c>
      <c r="BK35">
        <v>4.8</v>
      </c>
      <c r="BL35" s="5">
        <f t="shared" si="19"/>
        <v>4.83774998333333</v>
      </c>
      <c r="BM35">
        <v>8.9</v>
      </c>
      <c r="BN35" s="3">
        <f t="shared" si="20"/>
        <v>0.543567413857678</v>
      </c>
      <c r="BP35" s="9">
        <v>0.242766666666666</v>
      </c>
      <c r="BQ35">
        <v>0.09</v>
      </c>
      <c r="BR35" s="5">
        <f t="shared" si="21"/>
        <v>0.152766666666666</v>
      </c>
      <c r="BS35">
        <v>0.43</v>
      </c>
      <c r="BT35" s="3">
        <f t="shared" si="22"/>
        <v>0.355271317829456</v>
      </c>
      <c r="BV35" s="4">
        <v>6.31994999166667</v>
      </c>
      <c r="BW35">
        <v>6.18</v>
      </c>
      <c r="BX35" s="5">
        <f t="shared" si="23"/>
        <v>0.13994999166667</v>
      </c>
      <c r="BY35">
        <v>1.68</v>
      </c>
      <c r="BZ35" s="3">
        <f t="shared" si="24"/>
        <v>0.0833035664682561</v>
      </c>
      <c r="CB35" s="10">
        <v>97.6</v>
      </c>
      <c r="CC35">
        <v>54.3</v>
      </c>
      <c r="CD35" s="12">
        <f t="shared" si="25"/>
        <v>43.3</v>
      </c>
      <c r="CE35">
        <v>71.3</v>
      </c>
      <c r="CF35" s="3">
        <f t="shared" si="26"/>
        <v>0.607293127629734</v>
      </c>
      <c r="CH35" s="13">
        <v>31.2</v>
      </c>
      <c r="CI35">
        <v>22.6</v>
      </c>
      <c r="CJ35">
        <f t="shared" si="27"/>
        <v>8.6</v>
      </c>
      <c r="CK35">
        <v>25.1</v>
      </c>
      <c r="CL35">
        <f t="shared" si="28"/>
        <v>0.342629482071713</v>
      </c>
      <c r="CN35" s="10">
        <v>3.8</v>
      </c>
      <c r="CO35">
        <v>3</v>
      </c>
      <c r="CP35" s="12">
        <f t="shared" si="29"/>
        <v>0.8</v>
      </c>
      <c r="CQ35">
        <v>3.4</v>
      </c>
      <c r="CR35" s="3">
        <f t="shared" si="30"/>
        <v>0.235294117647059</v>
      </c>
    </row>
    <row r="36" spans="2:96">
      <c r="B36" s="1">
        <v>46598</v>
      </c>
      <c r="C36">
        <v>32416</v>
      </c>
      <c r="D36" s="2">
        <f t="shared" si="31"/>
        <v>14182</v>
      </c>
      <c r="E36">
        <v>31904</v>
      </c>
      <c r="F36" s="3">
        <f t="shared" si="0"/>
        <v>0.444521063189569</v>
      </c>
      <c r="H36" s="1">
        <v>46183.1288451</v>
      </c>
      <c r="I36">
        <v>31145</v>
      </c>
      <c r="J36" s="2">
        <f t="shared" si="1"/>
        <v>15038.1288451</v>
      </c>
      <c r="K36">
        <v>32760</v>
      </c>
      <c r="L36" s="3">
        <f t="shared" si="2"/>
        <v>0.45903934203602</v>
      </c>
      <c r="N36" s="4">
        <v>228.4966697625</v>
      </c>
      <c r="O36">
        <v>201.27</v>
      </c>
      <c r="P36" s="5">
        <f t="shared" si="3"/>
        <v>27.2266697625</v>
      </c>
      <c r="Q36">
        <v>79.69</v>
      </c>
      <c r="R36" s="3">
        <f t="shared" si="4"/>
        <v>0.341657294045677</v>
      </c>
      <c r="T36" s="4">
        <v>240.387498695833</v>
      </c>
      <c r="U36">
        <v>100.23</v>
      </c>
      <c r="V36" s="5">
        <f t="shared" si="5"/>
        <v>140.157498695833</v>
      </c>
      <c r="W36">
        <v>410.93</v>
      </c>
      <c r="X36" s="3">
        <f t="shared" si="6"/>
        <v>0.341073902357659</v>
      </c>
      <c r="Z36" s="4">
        <v>24.1689583625</v>
      </c>
      <c r="AA36">
        <v>13.25</v>
      </c>
      <c r="AB36" s="5">
        <f t="shared" si="7"/>
        <v>10.9189583625</v>
      </c>
      <c r="AC36">
        <v>33.93</v>
      </c>
      <c r="AD36" s="3">
        <f t="shared" si="8"/>
        <v>0.321808380857648</v>
      </c>
      <c r="AF36" s="4">
        <v>4.04</v>
      </c>
      <c r="AG36">
        <v>2.09</v>
      </c>
      <c r="AH36" s="5">
        <f t="shared" si="9"/>
        <v>1.95</v>
      </c>
      <c r="AI36">
        <v>3.85</v>
      </c>
      <c r="AJ36" s="3">
        <f t="shared" si="10"/>
        <v>0.506493506493507</v>
      </c>
      <c r="AL36" s="4">
        <v>6.90199995</v>
      </c>
      <c r="AM36">
        <v>6.1</v>
      </c>
      <c r="AN36" s="5">
        <f t="shared" si="11"/>
        <v>0.801999950000001</v>
      </c>
      <c r="AO36">
        <v>1.89</v>
      </c>
      <c r="AP36" s="3">
        <f t="shared" si="12"/>
        <v>0.424338597883598</v>
      </c>
      <c r="AR36" s="4">
        <v>1.34333804282989</v>
      </c>
      <c r="AS36">
        <v>0.02</v>
      </c>
      <c r="AT36" s="5">
        <f t="shared" si="13"/>
        <v>1.32333804282989</v>
      </c>
      <c r="AU36">
        <v>2.84</v>
      </c>
      <c r="AV36" s="3">
        <f t="shared" si="14"/>
        <v>0.465964099587989</v>
      </c>
      <c r="AX36" s="4">
        <v>13.3102664916667</v>
      </c>
      <c r="AY36">
        <v>3.44</v>
      </c>
      <c r="AZ36" s="5">
        <f t="shared" si="15"/>
        <v>9.8702664916667</v>
      </c>
      <c r="BA36">
        <v>29.17</v>
      </c>
      <c r="BB36" s="3">
        <f t="shared" si="16"/>
        <v>0.33837046594675</v>
      </c>
      <c r="BD36" s="4">
        <v>3.71124999166667</v>
      </c>
      <c r="BE36">
        <v>0.17</v>
      </c>
      <c r="BF36" s="5">
        <f t="shared" si="17"/>
        <v>3.54124999166667</v>
      </c>
      <c r="BG36">
        <v>4</v>
      </c>
      <c r="BH36" s="3">
        <f t="shared" si="18"/>
        <v>0.885312497916668</v>
      </c>
      <c r="BJ36" s="9">
        <v>7.1951667</v>
      </c>
      <c r="BK36">
        <v>4.8</v>
      </c>
      <c r="BL36" s="5">
        <f t="shared" si="19"/>
        <v>2.3951667</v>
      </c>
      <c r="BM36">
        <v>8.9</v>
      </c>
      <c r="BN36" s="3">
        <f t="shared" si="20"/>
        <v>0.269119853932584</v>
      </c>
      <c r="BP36" s="9">
        <v>0.1412</v>
      </c>
      <c r="BQ36">
        <v>0.09</v>
      </c>
      <c r="BR36" s="5">
        <f t="shared" si="21"/>
        <v>0.0512</v>
      </c>
      <c r="BS36">
        <v>0.43</v>
      </c>
      <c r="BT36" s="3">
        <f t="shared" si="22"/>
        <v>0.11906976744186</v>
      </c>
      <c r="BV36" s="4">
        <v>6.29119169583333</v>
      </c>
      <c r="BW36">
        <v>6.18</v>
      </c>
      <c r="BX36" s="5">
        <f t="shared" si="23"/>
        <v>0.11119169583333</v>
      </c>
      <c r="BY36">
        <v>1.68</v>
      </c>
      <c r="BZ36" s="3">
        <f t="shared" si="24"/>
        <v>0.0661855332341252</v>
      </c>
      <c r="CB36" s="10">
        <v>110.8</v>
      </c>
      <c r="CC36">
        <v>54.3</v>
      </c>
      <c r="CD36" s="12">
        <f t="shared" si="25"/>
        <v>56.5</v>
      </c>
      <c r="CE36">
        <v>71.3</v>
      </c>
      <c r="CF36" s="3">
        <f t="shared" si="26"/>
        <v>0.792426367461431</v>
      </c>
      <c r="CH36" s="13">
        <v>32.7</v>
      </c>
      <c r="CI36">
        <v>22.6</v>
      </c>
      <c r="CJ36">
        <f t="shared" si="27"/>
        <v>10.1</v>
      </c>
      <c r="CK36">
        <v>25.1</v>
      </c>
      <c r="CL36">
        <f t="shared" si="28"/>
        <v>0.402390438247012</v>
      </c>
      <c r="CN36" s="10">
        <v>3.2</v>
      </c>
      <c r="CO36">
        <v>3</v>
      </c>
      <c r="CP36" s="12">
        <f t="shared" si="29"/>
        <v>0.2</v>
      </c>
      <c r="CQ36">
        <v>3.4</v>
      </c>
      <c r="CR36" s="3">
        <f t="shared" si="30"/>
        <v>0.0588235294117648</v>
      </c>
    </row>
    <row r="37" spans="2:96">
      <c r="B37" s="1">
        <v>46973</v>
      </c>
      <c r="C37">
        <v>32416</v>
      </c>
      <c r="D37" s="2">
        <f t="shared" si="31"/>
        <v>14557</v>
      </c>
      <c r="E37">
        <v>31904</v>
      </c>
      <c r="F37" s="3">
        <f t="shared" si="0"/>
        <v>0.456275075225677</v>
      </c>
      <c r="H37" s="1">
        <v>46475.8341672</v>
      </c>
      <c r="I37">
        <v>31145</v>
      </c>
      <c r="J37" s="2">
        <f t="shared" si="1"/>
        <v>15330.8341672</v>
      </c>
      <c r="K37">
        <v>32760</v>
      </c>
      <c r="L37" s="3">
        <f t="shared" si="2"/>
        <v>0.467974180927961</v>
      </c>
      <c r="N37" s="4">
        <v>241.423332220833</v>
      </c>
      <c r="O37">
        <v>201.27</v>
      </c>
      <c r="P37" s="5">
        <f t="shared" si="3"/>
        <v>40.153332220833</v>
      </c>
      <c r="Q37">
        <v>79.69</v>
      </c>
      <c r="R37" s="3">
        <f t="shared" si="4"/>
        <v>0.5038691457</v>
      </c>
      <c r="T37" s="4">
        <v>259.2166674875</v>
      </c>
      <c r="U37">
        <v>100.23</v>
      </c>
      <c r="V37" s="5">
        <f t="shared" si="5"/>
        <v>158.9866674875</v>
      </c>
      <c r="W37">
        <v>410.93</v>
      </c>
      <c r="X37" s="3">
        <f t="shared" si="6"/>
        <v>0.38689476915168</v>
      </c>
      <c r="Z37" s="4">
        <v>24.1272916625</v>
      </c>
      <c r="AA37">
        <v>13.25</v>
      </c>
      <c r="AB37" s="5">
        <f t="shared" si="7"/>
        <v>10.8772916625</v>
      </c>
      <c r="AC37">
        <v>33.93</v>
      </c>
      <c r="AD37" s="3">
        <f t="shared" si="8"/>
        <v>0.320580361405836</v>
      </c>
      <c r="AF37" s="4">
        <v>3.73</v>
      </c>
      <c r="AG37">
        <v>2.09</v>
      </c>
      <c r="AH37" s="5">
        <f t="shared" si="9"/>
        <v>1.64</v>
      </c>
      <c r="AI37">
        <v>3.85</v>
      </c>
      <c r="AJ37" s="3">
        <f t="shared" si="10"/>
        <v>0.425974025974026</v>
      </c>
      <c r="AL37" s="4">
        <v>6.871689985</v>
      </c>
      <c r="AM37">
        <v>6.1</v>
      </c>
      <c r="AN37" s="5">
        <f t="shared" si="11"/>
        <v>0.771689985</v>
      </c>
      <c r="AO37">
        <v>1.89</v>
      </c>
      <c r="AP37" s="3">
        <f t="shared" si="12"/>
        <v>0.408301579365079</v>
      </c>
      <c r="AR37" s="4">
        <v>1.49908659579858</v>
      </c>
      <c r="AS37">
        <v>0.02</v>
      </c>
      <c r="AT37" s="5">
        <f t="shared" si="13"/>
        <v>1.47908659579858</v>
      </c>
      <c r="AU37">
        <v>2.84</v>
      </c>
      <c r="AV37" s="3">
        <f t="shared" si="14"/>
        <v>0.520805139365697</v>
      </c>
      <c r="AX37" s="4">
        <v>14.6648665125</v>
      </c>
      <c r="AY37">
        <v>3.44</v>
      </c>
      <c r="AZ37" s="5">
        <f t="shared" si="15"/>
        <v>11.2248665125</v>
      </c>
      <c r="BA37">
        <v>29.17</v>
      </c>
      <c r="BB37" s="3">
        <f t="shared" si="16"/>
        <v>0.384808588018512</v>
      </c>
      <c r="BD37" s="4">
        <v>3.4222500125</v>
      </c>
      <c r="BE37">
        <v>0.17</v>
      </c>
      <c r="BF37" s="5">
        <f t="shared" si="17"/>
        <v>3.2522500125</v>
      </c>
      <c r="BG37">
        <v>4</v>
      </c>
      <c r="BH37" s="3">
        <f t="shared" si="18"/>
        <v>0.813062503125</v>
      </c>
      <c r="BJ37" s="9">
        <v>7.306</v>
      </c>
      <c r="BK37">
        <v>4.8</v>
      </c>
      <c r="BL37" s="5">
        <f t="shared" si="19"/>
        <v>2.506</v>
      </c>
      <c r="BM37">
        <v>8.9</v>
      </c>
      <c r="BN37" s="3">
        <f t="shared" si="20"/>
        <v>0.281573033707865</v>
      </c>
      <c r="BP37" s="9">
        <v>0.244866666666666</v>
      </c>
      <c r="BQ37">
        <v>0.09</v>
      </c>
      <c r="BR37" s="5">
        <f t="shared" si="21"/>
        <v>0.154866666666666</v>
      </c>
      <c r="BS37">
        <v>0.43</v>
      </c>
      <c r="BT37" s="3">
        <f t="shared" si="22"/>
        <v>0.360155038759688</v>
      </c>
      <c r="BV37" s="4">
        <v>6.36580005833333</v>
      </c>
      <c r="BW37">
        <v>6.18</v>
      </c>
      <c r="BX37" s="5">
        <f t="shared" si="23"/>
        <v>0.185800058333331</v>
      </c>
      <c r="BY37">
        <v>1.68</v>
      </c>
      <c r="BZ37" s="3">
        <f t="shared" si="24"/>
        <v>0.110595272817459</v>
      </c>
      <c r="CB37" s="10">
        <v>109.3</v>
      </c>
      <c r="CC37">
        <v>54.3</v>
      </c>
      <c r="CD37" s="12">
        <f t="shared" si="25"/>
        <v>55</v>
      </c>
      <c r="CE37">
        <v>71.3</v>
      </c>
      <c r="CF37" s="3">
        <f t="shared" si="26"/>
        <v>0.771388499298738</v>
      </c>
      <c r="CH37" s="13">
        <v>30.9</v>
      </c>
      <c r="CI37">
        <v>22.6</v>
      </c>
      <c r="CJ37">
        <f t="shared" si="27"/>
        <v>8.3</v>
      </c>
      <c r="CK37">
        <v>25.1</v>
      </c>
      <c r="CL37">
        <f t="shared" si="28"/>
        <v>0.330677290836653</v>
      </c>
      <c r="CN37" s="10">
        <v>4.3</v>
      </c>
      <c r="CO37">
        <v>3</v>
      </c>
      <c r="CP37" s="12">
        <f t="shared" si="29"/>
        <v>1.3</v>
      </c>
      <c r="CQ37">
        <v>3.4</v>
      </c>
      <c r="CR37" s="3">
        <f t="shared" si="30"/>
        <v>0.382352941176471</v>
      </c>
    </row>
    <row r="38" spans="2:96">
      <c r="B38" s="1">
        <v>42589</v>
      </c>
      <c r="C38">
        <v>32416</v>
      </c>
      <c r="D38" s="2">
        <f t="shared" si="31"/>
        <v>10173</v>
      </c>
      <c r="E38">
        <v>31904</v>
      </c>
      <c r="F38" s="3">
        <f t="shared" si="0"/>
        <v>0.318862838515547</v>
      </c>
      <c r="H38" s="1">
        <v>41283.5062866</v>
      </c>
      <c r="I38">
        <v>31145</v>
      </c>
      <c r="J38" s="2">
        <f t="shared" si="1"/>
        <v>10138.5062866</v>
      </c>
      <c r="K38">
        <v>32760</v>
      </c>
      <c r="L38" s="3">
        <f t="shared" si="2"/>
        <v>0.309478213876679</v>
      </c>
      <c r="N38" s="4">
        <v>247.236665095833</v>
      </c>
      <c r="O38">
        <v>201.27</v>
      </c>
      <c r="P38" s="5">
        <f t="shared" si="3"/>
        <v>45.966665095833</v>
      </c>
      <c r="Q38">
        <v>79.69</v>
      </c>
      <c r="R38" s="3">
        <f t="shared" si="4"/>
        <v>0.57681848532856</v>
      </c>
      <c r="T38" s="4">
        <v>212.233331995833</v>
      </c>
      <c r="U38">
        <v>100.23</v>
      </c>
      <c r="V38" s="5">
        <f t="shared" si="5"/>
        <v>112.003331995833</v>
      </c>
      <c r="W38">
        <v>410.93</v>
      </c>
      <c r="X38" s="3">
        <f t="shared" si="6"/>
        <v>0.272560611286187</v>
      </c>
      <c r="Z38" s="4">
        <v>25.7397917166666</v>
      </c>
      <c r="AA38">
        <v>13.25</v>
      </c>
      <c r="AB38" s="5">
        <f t="shared" si="7"/>
        <v>12.4897917166666</v>
      </c>
      <c r="AC38">
        <v>33.93</v>
      </c>
      <c r="AD38" s="3">
        <f t="shared" si="8"/>
        <v>0.368104677767952</v>
      </c>
      <c r="AF38" s="4">
        <v>3.86</v>
      </c>
      <c r="AG38">
        <v>2.09</v>
      </c>
      <c r="AH38" s="5">
        <f t="shared" si="9"/>
        <v>1.77</v>
      </c>
      <c r="AI38">
        <v>3.85</v>
      </c>
      <c r="AJ38" s="3">
        <f t="shared" si="10"/>
        <v>0.45974025974026</v>
      </c>
      <c r="AL38" s="4">
        <v>6.83433327142857</v>
      </c>
      <c r="AM38">
        <v>6.1</v>
      </c>
      <c r="AN38" s="5">
        <f t="shared" si="11"/>
        <v>0.734333271428571</v>
      </c>
      <c r="AO38">
        <v>1.89</v>
      </c>
      <c r="AP38" s="3">
        <f t="shared" si="12"/>
        <v>0.388536122448979</v>
      </c>
      <c r="AR38" s="4">
        <v>1.07076201296924</v>
      </c>
      <c r="AS38">
        <v>0.02</v>
      </c>
      <c r="AT38" s="5">
        <f t="shared" si="13"/>
        <v>1.05076201296924</v>
      </c>
      <c r="AU38">
        <v>2.84</v>
      </c>
      <c r="AV38" s="3">
        <f t="shared" si="14"/>
        <v>0.369986624284944</v>
      </c>
      <c r="AX38" s="4">
        <v>11.5526667541667</v>
      </c>
      <c r="AY38">
        <v>3.44</v>
      </c>
      <c r="AZ38" s="5">
        <f t="shared" si="15"/>
        <v>8.1126667541667</v>
      </c>
      <c r="BA38">
        <v>29.17</v>
      </c>
      <c r="BB38" s="3">
        <f t="shared" si="16"/>
        <v>0.278116789652612</v>
      </c>
      <c r="BD38" s="4">
        <v>2.36716665416667</v>
      </c>
      <c r="BE38">
        <v>0.17</v>
      </c>
      <c r="BF38" s="5">
        <f t="shared" si="17"/>
        <v>2.19716665416667</v>
      </c>
      <c r="BG38">
        <v>4</v>
      </c>
      <c r="BH38" s="3">
        <f t="shared" si="18"/>
        <v>0.549291663541667</v>
      </c>
      <c r="BJ38" s="9">
        <v>9.371666675</v>
      </c>
      <c r="BK38">
        <v>4.8</v>
      </c>
      <c r="BL38" s="5">
        <f t="shared" si="19"/>
        <v>4.571666675</v>
      </c>
      <c r="BM38">
        <v>8.9</v>
      </c>
      <c r="BN38" s="3">
        <f t="shared" si="20"/>
        <v>0.513670412921348</v>
      </c>
      <c r="BP38" s="9">
        <v>0.13815</v>
      </c>
      <c r="BQ38">
        <v>0.09</v>
      </c>
      <c r="BR38" s="5">
        <f t="shared" si="21"/>
        <v>0.04815</v>
      </c>
      <c r="BS38">
        <v>0.43</v>
      </c>
      <c r="BT38" s="3">
        <f t="shared" si="22"/>
        <v>0.111976744186047</v>
      </c>
      <c r="BV38" s="4">
        <v>6.43708338333333</v>
      </c>
      <c r="BW38">
        <v>6.18</v>
      </c>
      <c r="BX38" s="5">
        <f t="shared" si="23"/>
        <v>0.25708338333333</v>
      </c>
      <c r="BY38">
        <v>1.68</v>
      </c>
      <c r="BZ38" s="3">
        <f t="shared" si="24"/>
        <v>0.153025823412697</v>
      </c>
      <c r="CB38" s="10">
        <v>110.77777</v>
      </c>
      <c r="CC38">
        <v>54.3</v>
      </c>
      <c r="CD38" s="12">
        <f t="shared" si="25"/>
        <v>56.47777</v>
      </c>
      <c r="CE38">
        <v>71.3</v>
      </c>
      <c r="CF38" s="3">
        <f t="shared" si="26"/>
        <v>0.79211458625526</v>
      </c>
      <c r="CH38" s="13">
        <v>31.6</v>
      </c>
      <c r="CI38">
        <v>22.6</v>
      </c>
      <c r="CJ38">
        <f t="shared" si="27"/>
        <v>9</v>
      </c>
      <c r="CK38">
        <v>25.1</v>
      </c>
      <c r="CL38">
        <f t="shared" si="28"/>
        <v>0.358565737051793</v>
      </c>
      <c r="CN38" s="10">
        <v>4.8</v>
      </c>
      <c r="CO38">
        <v>3</v>
      </c>
      <c r="CP38" s="12">
        <f t="shared" si="29"/>
        <v>1.8</v>
      </c>
      <c r="CQ38">
        <v>3.4</v>
      </c>
      <c r="CR38" s="3">
        <f t="shared" si="30"/>
        <v>0.529411764705882</v>
      </c>
    </row>
    <row r="39" spans="2:96">
      <c r="B39" s="1">
        <v>41714</v>
      </c>
      <c r="C39">
        <v>32416</v>
      </c>
      <c r="D39" s="2">
        <f t="shared" si="31"/>
        <v>9298</v>
      </c>
      <c r="E39">
        <v>31904</v>
      </c>
      <c r="F39" s="3">
        <f t="shared" si="0"/>
        <v>0.291436810431294</v>
      </c>
      <c r="H39" s="1">
        <v>40937.2464599</v>
      </c>
      <c r="I39">
        <v>31145</v>
      </c>
      <c r="J39" s="2">
        <f t="shared" si="1"/>
        <v>9792.2464599</v>
      </c>
      <c r="K39">
        <v>32760</v>
      </c>
      <c r="L39" s="3">
        <f t="shared" si="2"/>
        <v>0.29890862209707</v>
      </c>
      <c r="N39" s="4">
        <v>235.150000258333</v>
      </c>
      <c r="O39">
        <v>201.27</v>
      </c>
      <c r="P39" s="5">
        <f t="shared" si="3"/>
        <v>33.880000258333</v>
      </c>
      <c r="Q39">
        <v>79.69</v>
      </c>
      <c r="R39" s="3">
        <f t="shared" si="4"/>
        <v>0.425147449596348</v>
      </c>
      <c r="T39" s="4">
        <v>228.470833145833</v>
      </c>
      <c r="U39">
        <v>100.23</v>
      </c>
      <c r="V39" s="5">
        <f t="shared" si="5"/>
        <v>128.240833145833</v>
      </c>
      <c r="W39">
        <v>410.93</v>
      </c>
      <c r="X39" s="3">
        <f t="shared" si="6"/>
        <v>0.312074643238101</v>
      </c>
      <c r="Z39" s="4">
        <v>26.2439583208333</v>
      </c>
      <c r="AA39">
        <v>13.25</v>
      </c>
      <c r="AB39" s="5">
        <f t="shared" si="7"/>
        <v>12.9939583208333</v>
      </c>
      <c r="AC39">
        <v>33.93</v>
      </c>
      <c r="AD39" s="3">
        <f t="shared" si="8"/>
        <v>0.382963699405638</v>
      </c>
      <c r="AF39" s="4">
        <v>3.64</v>
      </c>
      <c r="AG39">
        <v>2.09</v>
      </c>
      <c r="AH39" s="5">
        <f t="shared" si="9"/>
        <v>1.55</v>
      </c>
      <c r="AI39">
        <v>3.85</v>
      </c>
      <c r="AJ39" s="3">
        <f t="shared" si="10"/>
        <v>0.402597402597403</v>
      </c>
      <c r="AL39" s="4">
        <v>6.873999965</v>
      </c>
      <c r="AM39">
        <v>6.1</v>
      </c>
      <c r="AN39" s="5">
        <f t="shared" si="11"/>
        <v>0.773999965000001</v>
      </c>
      <c r="AO39">
        <v>1.89</v>
      </c>
      <c r="AP39" s="3">
        <f t="shared" si="12"/>
        <v>0.409523791005291</v>
      </c>
      <c r="AR39" s="4">
        <v>1.4969171748261</v>
      </c>
      <c r="AS39">
        <v>0.02</v>
      </c>
      <c r="AT39" s="5">
        <f t="shared" si="13"/>
        <v>1.4769171748261</v>
      </c>
      <c r="AU39">
        <v>2.84</v>
      </c>
      <c r="AV39" s="3">
        <f t="shared" si="14"/>
        <v>0.520041258741585</v>
      </c>
      <c r="AX39" s="4">
        <v>14.0729334708333</v>
      </c>
      <c r="AY39">
        <v>3.44</v>
      </c>
      <c r="AZ39" s="5">
        <f t="shared" si="15"/>
        <v>10.6329334708333</v>
      </c>
      <c r="BA39">
        <v>29.17</v>
      </c>
      <c r="BB39" s="3">
        <f t="shared" si="16"/>
        <v>0.364516060021711</v>
      </c>
      <c r="BD39" s="4">
        <v>0.794249991666666</v>
      </c>
      <c r="BE39">
        <v>0.17</v>
      </c>
      <c r="BF39" s="5">
        <f t="shared" si="17"/>
        <v>0.624249991666666</v>
      </c>
      <c r="BG39">
        <v>4</v>
      </c>
      <c r="BH39" s="3">
        <f t="shared" si="18"/>
        <v>0.156062497916666</v>
      </c>
      <c r="BJ39" s="9">
        <v>9.59441664583333</v>
      </c>
      <c r="BK39">
        <v>4.8</v>
      </c>
      <c r="BL39" s="5">
        <f t="shared" si="19"/>
        <v>4.79441664583333</v>
      </c>
      <c r="BM39">
        <v>8.9</v>
      </c>
      <c r="BN39" s="3">
        <f t="shared" si="20"/>
        <v>0.538698499531835</v>
      </c>
      <c r="BP39" s="9">
        <v>0.248066666666666</v>
      </c>
      <c r="BQ39">
        <v>0.09</v>
      </c>
      <c r="BR39" s="5">
        <f t="shared" si="21"/>
        <v>0.158066666666666</v>
      </c>
      <c r="BS39">
        <v>0.43</v>
      </c>
      <c r="BT39" s="3">
        <f t="shared" si="22"/>
        <v>0.367596899224805</v>
      </c>
      <c r="BV39" s="4">
        <v>6.4708582625</v>
      </c>
      <c r="BW39">
        <v>6.18</v>
      </c>
      <c r="BX39" s="5">
        <f t="shared" si="23"/>
        <v>0.2908582625</v>
      </c>
      <c r="BY39">
        <v>1.68</v>
      </c>
      <c r="BZ39" s="3">
        <f t="shared" si="24"/>
        <v>0.173129918154762</v>
      </c>
      <c r="CB39" s="10">
        <v>112.6</v>
      </c>
      <c r="CC39">
        <v>54.3</v>
      </c>
      <c r="CD39" s="12">
        <f t="shared" si="25"/>
        <v>58.3</v>
      </c>
      <c r="CE39">
        <v>71.3</v>
      </c>
      <c r="CF39" s="3">
        <f t="shared" si="26"/>
        <v>0.817671809256662</v>
      </c>
      <c r="CH39" s="13">
        <v>31.4</v>
      </c>
      <c r="CI39">
        <v>22.6</v>
      </c>
      <c r="CJ39">
        <f t="shared" si="27"/>
        <v>8.8</v>
      </c>
      <c r="CK39">
        <v>25.1</v>
      </c>
      <c r="CL39">
        <f t="shared" si="28"/>
        <v>0.350597609561753</v>
      </c>
      <c r="CN39" s="11">
        <v>4.2</v>
      </c>
      <c r="CO39">
        <v>3</v>
      </c>
      <c r="CP39" s="12">
        <f t="shared" si="29"/>
        <v>1.2</v>
      </c>
      <c r="CQ39">
        <v>3.4</v>
      </c>
      <c r="CR39" s="3">
        <f t="shared" si="30"/>
        <v>0.352941176470588</v>
      </c>
    </row>
    <row r="40" spans="2:96">
      <c r="B40" s="1">
        <v>36247</v>
      </c>
      <c r="C40">
        <v>32416</v>
      </c>
      <c r="D40" s="2">
        <f t="shared" si="31"/>
        <v>3831</v>
      </c>
      <c r="E40">
        <v>31904</v>
      </c>
      <c r="F40" s="3">
        <f t="shared" si="0"/>
        <v>0.120078986960883</v>
      </c>
      <c r="H40" s="1">
        <v>35944.0589752</v>
      </c>
      <c r="I40">
        <v>31145</v>
      </c>
      <c r="J40" s="2">
        <f t="shared" si="1"/>
        <v>4799.0589752</v>
      </c>
      <c r="K40">
        <v>32760</v>
      </c>
      <c r="L40" s="3">
        <f t="shared" si="2"/>
        <v>0.146491421709402</v>
      </c>
      <c r="N40" s="4">
        <v>238.0266698125</v>
      </c>
      <c r="O40">
        <v>201.27</v>
      </c>
      <c r="P40" s="5">
        <f t="shared" si="3"/>
        <v>36.7566698125</v>
      </c>
      <c r="Q40">
        <v>79.69</v>
      </c>
      <c r="R40" s="3">
        <f t="shared" si="4"/>
        <v>0.461245699742753</v>
      </c>
      <c r="T40" s="4">
        <v>217.6333348</v>
      </c>
      <c r="U40">
        <v>100.23</v>
      </c>
      <c r="V40" s="5">
        <f t="shared" si="5"/>
        <v>117.4033348</v>
      </c>
      <c r="W40">
        <v>410.93</v>
      </c>
      <c r="X40" s="3">
        <f t="shared" si="6"/>
        <v>0.285701542355146</v>
      </c>
      <c r="Z40" s="4">
        <v>27.8318749958333</v>
      </c>
      <c r="AA40">
        <v>13.25</v>
      </c>
      <c r="AB40" s="5">
        <f t="shared" si="7"/>
        <v>14.5818749958333</v>
      </c>
      <c r="AC40">
        <v>33.93</v>
      </c>
      <c r="AD40" s="3">
        <f t="shared" si="8"/>
        <v>0.429763483519991</v>
      </c>
      <c r="AF40" s="4">
        <v>3.52</v>
      </c>
      <c r="AG40">
        <v>2.09</v>
      </c>
      <c r="AH40" s="5">
        <f t="shared" si="9"/>
        <v>1.43</v>
      </c>
      <c r="AI40">
        <v>3.85</v>
      </c>
      <c r="AJ40" s="3">
        <f t="shared" si="10"/>
        <v>0.371428571428571</v>
      </c>
      <c r="AL40" s="4">
        <v>6.740160055</v>
      </c>
      <c r="AM40">
        <v>6.1</v>
      </c>
      <c r="AN40" s="5">
        <f t="shared" si="11"/>
        <v>0.640160055</v>
      </c>
      <c r="AO40">
        <v>1.89</v>
      </c>
      <c r="AP40" s="3">
        <f t="shared" si="12"/>
        <v>0.338709023809524</v>
      </c>
      <c r="AR40" s="4">
        <v>1.3824576509493</v>
      </c>
      <c r="AS40">
        <v>0.02</v>
      </c>
      <c r="AT40" s="5">
        <f t="shared" si="13"/>
        <v>1.3624576509493</v>
      </c>
      <c r="AU40">
        <v>2.84</v>
      </c>
      <c r="AV40" s="3">
        <f t="shared" si="14"/>
        <v>0.47973860948919</v>
      </c>
      <c r="AX40" s="4">
        <v>14.2627332833333</v>
      </c>
      <c r="AY40">
        <v>3.44</v>
      </c>
      <c r="AZ40" s="5">
        <f t="shared" si="15"/>
        <v>10.8227332833333</v>
      </c>
      <c r="BA40">
        <v>29.17</v>
      </c>
      <c r="BB40" s="3">
        <f t="shared" si="16"/>
        <v>0.371022738544165</v>
      </c>
      <c r="BD40" s="4">
        <v>0.709083341666667</v>
      </c>
      <c r="BE40">
        <v>0.17</v>
      </c>
      <c r="BF40" s="5">
        <f t="shared" si="17"/>
        <v>0.539083341666667</v>
      </c>
      <c r="BG40">
        <v>4</v>
      </c>
      <c r="BH40" s="3">
        <f t="shared" si="18"/>
        <v>0.134770835416667</v>
      </c>
      <c r="BJ40" s="9">
        <v>8.91199999583333</v>
      </c>
      <c r="BK40">
        <v>4.8</v>
      </c>
      <c r="BL40" s="5">
        <f t="shared" si="19"/>
        <v>4.11199999583333</v>
      </c>
      <c r="BM40">
        <v>8.9</v>
      </c>
      <c r="BN40" s="3">
        <f t="shared" si="20"/>
        <v>0.462022471441947</v>
      </c>
      <c r="BP40" s="9">
        <v>0.181566666666666</v>
      </c>
      <c r="BQ40">
        <v>0.09</v>
      </c>
      <c r="BR40" s="5">
        <f t="shared" si="21"/>
        <v>0.091566666666666</v>
      </c>
      <c r="BS40">
        <v>0.43</v>
      </c>
      <c r="BT40" s="3">
        <f t="shared" si="22"/>
        <v>0.212945736434107</v>
      </c>
      <c r="BV40" s="4">
        <v>6.48835835833334</v>
      </c>
      <c r="BW40">
        <v>6.18</v>
      </c>
      <c r="BX40" s="5">
        <f t="shared" si="23"/>
        <v>0.30835835833334</v>
      </c>
      <c r="BY40">
        <v>1.68</v>
      </c>
      <c r="BZ40" s="3">
        <f t="shared" si="24"/>
        <v>0.183546641865083</v>
      </c>
      <c r="CB40" s="10">
        <v>114.4</v>
      </c>
      <c r="CC40">
        <v>54.3</v>
      </c>
      <c r="CD40" s="12">
        <f t="shared" si="25"/>
        <v>60.1</v>
      </c>
      <c r="CE40">
        <v>71.3</v>
      </c>
      <c r="CF40" s="3">
        <f t="shared" si="26"/>
        <v>0.842917251051894</v>
      </c>
      <c r="CH40" s="13">
        <v>32.3</v>
      </c>
      <c r="CI40">
        <v>22.6</v>
      </c>
      <c r="CJ40">
        <f t="shared" si="27"/>
        <v>9.7</v>
      </c>
      <c r="CK40">
        <v>25.1</v>
      </c>
      <c r="CL40">
        <f t="shared" si="28"/>
        <v>0.386454183266932</v>
      </c>
      <c r="CN40" s="10">
        <v>4.9</v>
      </c>
      <c r="CO40">
        <v>3</v>
      </c>
      <c r="CP40" s="12">
        <f t="shared" si="29"/>
        <v>1.9</v>
      </c>
      <c r="CQ40">
        <v>3.4</v>
      </c>
      <c r="CR40" s="3">
        <f t="shared" si="30"/>
        <v>0.558823529411765</v>
      </c>
    </row>
    <row r="41" spans="2:96">
      <c r="B41" s="1">
        <v>38697</v>
      </c>
      <c r="C41">
        <v>32416</v>
      </c>
      <c r="D41" s="2">
        <f t="shared" si="31"/>
        <v>6281</v>
      </c>
      <c r="E41">
        <v>31904</v>
      </c>
      <c r="F41" s="3">
        <f t="shared" si="0"/>
        <v>0.19687186559679</v>
      </c>
      <c r="H41" s="1">
        <v>38465.5268863</v>
      </c>
      <c r="I41">
        <v>31145</v>
      </c>
      <c r="J41" s="2">
        <f t="shared" si="1"/>
        <v>7320.5268863</v>
      </c>
      <c r="K41">
        <v>32760</v>
      </c>
      <c r="L41" s="3">
        <f t="shared" si="2"/>
        <v>0.223459306663614</v>
      </c>
      <c r="N41" s="4">
        <v>247.196666079167</v>
      </c>
      <c r="O41">
        <v>201.27</v>
      </c>
      <c r="P41" s="5">
        <f t="shared" si="3"/>
        <v>45.926666079167</v>
      </c>
      <c r="Q41">
        <v>79.69</v>
      </c>
      <c r="R41" s="3">
        <f t="shared" si="4"/>
        <v>0.576316552631033</v>
      </c>
      <c r="T41" s="4">
        <v>228.175000833333</v>
      </c>
      <c r="U41">
        <v>100.23</v>
      </c>
      <c r="V41" s="5">
        <f t="shared" si="5"/>
        <v>127.945000833333</v>
      </c>
      <c r="W41">
        <v>410.93</v>
      </c>
      <c r="X41" s="3">
        <f t="shared" si="6"/>
        <v>0.3113547339774</v>
      </c>
      <c r="Z41" s="4">
        <v>26.6999999333333</v>
      </c>
      <c r="AA41">
        <v>13.25</v>
      </c>
      <c r="AB41" s="5">
        <f t="shared" si="7"/>
        <v>13.4499999333333</v>
      </c>
      <c r="AC41">
        <v>33.93</v>
      </c>
      <c r="AD41" s="3">
        <f t="shared" si="8"/>
        <v>0.396404359956773</v>
      </c>
      <c r="AF41" s="4">
        <v>4.38</v>
      </c>
      <c r="AG41">
        <v>2.09</v>
      </c>
      <c r="AH41" s="5">
        <f t="shared" si="9"/>
        <v>2.29</v>
      </c>
      <c r="AI41">
        <v>3.85</v>
      </c>
      <c r="AJ41" s="3">
        <f t="shared" si="10"/>
        <v>0.594805194805195</v>
      </c>
      <c r="AL41" s="4">
        <v>6.72567369473684</v>
      </c>
      <c r="AM41">
        <v>6.1</v>
      </c>
      <c r="AN41" s="5">
        <f t="shared" si="11"/>
        <v>0.62567369473684</v>
      </c>
      <c r="AO41">
        <v>1.89</v>
      </c>
      <c r="AP41" s="3">
        <f t="shared" si="12"/>
        <v>0.331044282929545</v>
      </c>
      <c r="AR41" s="4">
        <v>1.64062416756396</v>
      </c>
      <c r="AS41">
        <v>0.02</v>
      </c>
      <c r="AT41" s="5">
        <f t="shared" si="13"/>
        <v>1.62062416756396</v>
      </c>
      <c r="AU41">
        <v>2.84</v>
      </c>
      <c r="AV41" s="3">
        <f t="shared" si="14"/>
        <v>0.570642312522521</v>
      </c>
      <c r="AX41" s="4">
        <v>11.0690666125</v>
      </c>
      <c r="AY41">
        <v>3.44</v>
      </c>
      <c r="AZ41" s="5">
        <f t="shared" si="15"/>
        <v>7.6290666125</v>
      </c>
      <c r="BA41">
        <v>29.17</v>
      </c>
      <c r="BB41" s="3">
        <f t="shared" si="16"/>
        <v>0.261538108073363</v>
      </c>
      <c r="BD41" s="4">
        <v>0.919499991666667</v>
      </c>
      <c r="BE41">
        <v>0.17</v>
      </c>
      <c r="BF41" s="5">
        <f t="shared" si="17"/>
        <v>0.749499991666667</v>
      </c>
      <c r="BG41">
        <v>4</v>
      </c>
      <c r="BH41" s="3">
        <f t="shared" si="18"/>
        <v>0.187374997916667</v>
      </c>
      <c r="BJ41" s="9">
        <v>9.878333325</v>
      </c>
      <c r="BK41">
        <v>4.8</v>
      </c>
      <c r="BL41" s="5">
        <f t="shared" si="19"/>
        <v>5.078333325</v>
      </c>
      <c r="BM41">
        <v>8.9</v>
      </c>
      <c r="BN41" s="3">
        <f t="shared" si="20"/>
        <v>0.57059925</v>
      </c>
      <c r="BP41" s="9">
        <v>0.127416666666667</v>
      </c>
      <c r="BQ41">
        <v>0.09</v>
      </c>
      <c r="BR41" s="5">
        <f t="shared" si="21"/>
        <v>0.037416666666667</v>
      </c>
      <c r="BS41">
        <v>0.43</v>
      </c>
      <c r="BT41" s="3">
        <f t="shared" si="22"/>
        <v>0.0870155038759698</v>
      </c>
      <c r="BV41" s="4">
        <v>6.40085836666667</v>
      </c>
      <c r="BW41">
        <v>6.18</v>
      </c>
      <c r="BX41" s="5">
        <f t="shared" si="23"/>
        <v>0.22085836666667</v>
      </c>
      <c r="BY41">
        <v>1.68</v>
      </c>
      <c r="BZ41" s="3">
        <f t="shared" si="24"/>
        <v>0.131463313492066</v>
      </c>
      <c r="CB41" s="10">
        <v>115.2</v>
      </c>
      <c r="CC41">
        <v>54.3</v>
      </c>
      <c r="CD41" s="12">
        <f t="shared" si="25"/>
        <v>60.9</v>
      </c>
      <c r="CE41">
        <v>71.3</v>
      </c>
      <c r="CF41" s="3">
        <f t="shared" si="26"/>
        <v>0.85413744740533</v>
      </c>
      <c r="CH41" s="13">
        <v>33.7</v>
      </c>
      <c r="CI41">
        <v>22.6</v>
      </c>
      <c r="CJ41">
        <f t="shared" si="27"/>
        <v>11.1</v>
      </c>
      <c r="CK41">
        <v>25.1</v>
      </c>
      <c r="CL41">
        <f t="shared" si="28"/>
        <v>0.442231075697211</v>
      </c>
      <c r="CN41" s="10">
        <v>4.5</v>
      </c>
      <c r="CO41">
        <v>3</v>
      </c>
      <c r="CP41" s="12">
        <f t="shared" si="29"/>
        <v>1.5</v>
      </c>
      <c r="CQ41">
        <v>3.4</v>
      </c>
      <c r="CR41" s="3">
        <f t="shared" si="30"/>
        <v>0.441176470588235</v>
      </c>
    </row>
    <row r="42" spans="2:96">
      <c r="B42" s="1">
        <v>39557</v>
      </c>
      <c r="C42">
        <v>32416</v>
      </c>
      <c r="D42" s="2">
        <f t="shared" si="31"/>
        <v>7141</v>
      </c>
      <c r="E42">
        <v>31904</v>
      </c>
      <c r="F42" s="3">
        <f t="shared" si="0"/>
        <v>0.223827733199599</v>
      </c>
      <c r="H42" s="1">
        <v>38824.6259158</v>
      </c>
      <c r="I42">
        <v>31145</v>
      </c>
      <c r="J42" s="2">
        <f t="shared" si="1"/>
        <v>7679.6259158</v>
      </c>
      <c r="K42">
        <v>32760</v>
      </c>
      <c r="L42" s="3">
        <f t="shared" si="2"/>
        <v>0.234420815500611</v>
      </c>
      <c r="N42" s="4">
        <v>252.830005004167</v>
      </c>
      <c r="O42">
        <v>201.27</v>
      </c>
      <c r="P42" s="5">
        <f t="shared" si="3"/>
        <v>51.560005004167</v>
      </c>
      <c r="Q42">
        <v>79.69</v>
      </c>
      <c r="R42" s="3">
        <f t="shared" si="4"/>
        <v>0.647007215512197</v>
      </c>
      <c r="T42" s="4">
        <v>181.7333332625</v>
      </c>
      <c r="U42">
        <v>100.23</v>
      </c>
      <c r="V42" s="5">
        <f t="shared" si="5"/>
        <v>81.5033332625</v>
      </c>
      <c r="W42">
        <v>410.93</v>
      </c>
      <c r="X42" s="3">
        <f t="shared" si="6"/>
        <v>0.198338727429246</v>
      </c>
      <c r="Z42" s="4">
        <v>26.3008333375</v>
      </c>
      <c r="AA42">
        <v>13.25</v>
      </c>
      <c r="AB42" s="5">
        <f t="shared" si="7"/>
        <v>13.0508333375</v>
      </c>
      <c r="AC42">
        <v>33.93</v>
      </c>
      <c r="AD42" s="3">
        <f t="shared" si="8"/>
        <v>0.384639945107574</v>
      </c>
      <c r="AF42" s="4">
        <v>4.04</v>
      </c>
      <c r="AG42">
        <v>2.09</v>
      </c>
      <c r="AH42" s="5">
        <f t="shared" si="9"/>
        <v>1.95</v>
      </c>
      <c r="AI42">
        <v>3.85</v>
      </c>
      <c r="AJ42" s="3">
        <f t="shared" si="10"/>
        <v>0.506493506493507</v>
      </c>
      <c r="AL42" s="4">
        <v>6.81173333809524</v>
      </c>
      <c r="AM42">
        <v>6.1</v>
      </c>
      <c r="AN42" s="5">
        <f t="shared" si="11"/>
        <v>0.71173333809524</v>
      </c>
      <c r="AO42">
        <v>1.89</v>
      </c>
      <c r="AP42" s="3">
        <f t="shared" si="12"/>
        <v>0.376578485764678</v>
      </c>
      <c r="AR42" s="4">
        <v>1.19746000177686</v>
      </c>
      <c r="AS42">
        <v>0.02</v>
      </c>
      <c r="AT42" s="5">
        <f t="shared" si="13"/>
        <v>1.17746000177686</v>
      </c>
      <c r="AU42">
        <v>2.84</v>
      </c>
      <c r="AV42" s="3">
        <f t="shared" si="14"/>
        <v>0.414598592174951</v>
      </c>
      <c r="AX42" s="4">
        <v>11.4668666583333</v>
      </c>
      <c r="AY42">
        <v>3.44</v>
      </c>
      <c r="AZ42" s="5">
        <f t="shared" si="15"/>
        <v>8.0268666583333</v>
      </c>
      <c r="BA42">
        <v>29.17</v>
      </c>
      <c r="BB42" s="3">
        <f t="shared" si="16"/>
        <v>0.275175408239057</v>
      </c>
      <c r="BD42" s="4">
        <v>0.729416670833334</v>
      </c>
      <c r="BE42">
        <v>0.17</v>
      </c>
      <c r="BF42" s="5">
        <f t="shared" si="17"/>
        <v>0.559416670833334</v>
      </c>
      <c r="BG42">
        <v>4</v>
      </c>
      <c r="BH42" s="3">
        <f t="shared" si="18"/>
        <v>0.139854167708333</v>
      </c>
      <c r="BJ42" s="9">
        <v>9.91775</v>
      </c>
      <c r="BK42">
        <v>4.8</v>
      </c>
      <c r="BL42" s="5">
        <f t="shared" si="19"/>
        <v>5.11775</v>
      </c>
      <c r="BM42">
        <v>8.9</v>
      </c>
      <c r="BN42" s="3">
        <f t="shared" si="20"/>
        <v>0.57502808988764</v>
      </c>
      <c r="BP42" s="9">
        <v>0.121425</v>
      </c>
      <c r="BQ42">
        <v>0.09</v>
      </c>
      <c r="BR42" s="5">
        <f t="shared" si="21"/>
        <v>0.031425</v>
      </c>
      <c r="BS42">
        <v>0.43</v>
      </c>
      <c r="BT42" s="3">
        <f t="shared" si="22"/>
        <v>0.0730813953488372</v>
      </c>
      <c r="BV42" s="4">
        <v>6.37035005</v>
      </c>
      <c r="BW42">
        <v>6.18</v>
      </c>
      <c r="BX42" s="5">
        <f t="shared" si="23"/>
        <v>0.19035005</v>
      </c>
      <c r="BY42">
        <v>1.68</v>
      </c>
      <c r="BZ42" s="3">
        <f t="shared" si="24"/>
        <v>0.113303601190476</v>
      </c>
      <c r="CB42" s="10">
        <v>116</v>
      </c>
      <c r="CC42">
        <v>54.3</v>
      </c>
      <c r="CD42" s="12">
        <f t="shared" si="25"/>
        <v>61.7</v>
      </c>
      <c r="CE42">
        <v>71.3</v>
      </c>
      <c r="CF42" s="3">
        <f t="shared" si="26"/>
        <v>0.865357643758766</v>
      </c>
      <c r="CH42" s="13">
        <v>30.4</v>
      </c>
      <c r="CI42">
        <v>22.6</v>
      </c>
      <c r="CJ42">
        <f t="shared" si="27"/>
        <v>7.8</v>
      </c>
      <c r="CK42">
        <v>25.1</v>
      </c>
      <c r="CL42">
        <f t="shared" si="28"/>
        <v>0.310756972111554</v>
      </c>
      <c r="CN42" s="10">
        <v>4.6</v>
      </c>
      <c r="CO42">
        <v>3</v>
      </c>
      <c r="CP42" s="12">
        <f t="shared" si="29"/>
        <v>1.6</v>
      </c>
      <c r="CQ42">
        <v>3.4</v>
      </c>
      <c r="CR42" s="3">
        <f t="shared" si="30"/>
        <v>0.470588235294118</v>
      </c>
    </row>
    <row r="43" spans="2:96">
      <c r="B43" s="1">
        <v>37886</v>
      </c>
      <c r="C43">
        <v>32416</v>
      </c>
      <c r="D43" s="2">
        <f t="shared" si="31"/>
        <v>5470</v>
      </c>
      <c r="E43">
        <v>31904</v>
      </c>
      <c r="F43" s="3">
        <f t="shared" si="0"/>
        <v>0.1714518555667</v>
      </c>
      <c r="H43" s="1">
        <v>36799.7141725</v>
      </c>
      <c r="I43">
        <v>31145</v>
      </c>
      <c r="J43" s="2">
        <f t="shared" si="1"/>
        <v>5654.7141725</v>
      </c>
      <c r="K43">
        <v>32760</v>
      </c>
      <c r="L43" s="3">
        <f t="shared" si="2"/>
        <v>0.172610322725885</v>
      </c>
      <c r="N43" s="4">
        <v>254.8500003875</v>
      </c>
      <c r="O43">
        <v>201.27</v>
      </c>
      <c r="P43" s="5">
        <f t="shared" si="3"/>
        <v>53.5800003875</v>
      </c>
      <c r="Q43">
        <v>79.69</v>
      </c>
      <c r="R43" s="3">
        <f t="shared" si="4"/>
        <v>0.672355381948801</v>
      </c>
      <c r="T43" s="4">
        <v>227.13750045</v>
      </c>
      <c r="U43">
        <v>100.23</v>
      </c>
      <c r="V43" s="5">
        <f t="shared" si="5"/>
        <v>126.90750045</v>
      </c>
      <c r="W43">
        <v>410.93</v>
      </c>
      <c r="X43" s="3">
        <f t="shared" si="6"/>
        <v>0.308829972136374</v>
      </c>
      <c r="Z43" s="4">
        <v>27.9408333625</v>
      </c>
      <c r="AA43">
        <v>13.25</v>
      </c>
      <c r="AB43" s="5">
        <f t="shared" si="7"/>
        <v>14.6908333625</v>
      </c>
      <c r="AC43">
        <v>33.93</v>
      </c>
      <c r="AD43" s="3">
        <f t="shared" si="8"/>
        <v>0.432974752799882</v>
      </c>
      <c r="AF43" s="4">
        <v>4.6</v>
      </c>
      <c r="AG43">
        <v>2.09</v>
      </c>
      <c r="AH43" s="5">
        <f t="shared" si="9"/>
        <v>2.51</v>
      </c>
      <c r="AI43">
        <v>3.85</v>
      </c>
      <c r="AJ43" s="3">
        <f t="shared" si="10"/>
        <v>0.651948051948052</v>
      </c>
      <c r="AL43" s="4">
        <v>6.85486659047619</v>
      </c>
      <c r="AM43">
        <v>6.1</v>
      </c>
      <c r="AN43" s="5">
        <f t="shared" si="11"/>
        <v>0.75486659047619</v>
      </c>
      <c r="AO43">
        <v>1.89</v>
      </c>
      <c r="AP43" s="3">
        <f t="shared" si="12"/>
        <v>0.399400312421265</v>
      </c>
      <c r="AR43" s="4">
        <v>1.005633293454</v>
      </c>
      <c r="AS43">
        <v>0.02</v>
      </c>
      <c r="AT43" s="5">
        <f t="shared" si="13"/>
        <v>0.985633293454</v>
      </c>
      <c r="AU43">
        <v>2.84</v>
      </c>
      <c r="AV43" s="3">
        <f t="shared" si="14"/>
        <v>0.34705397656831</v>
      </c>
      <c r="AX43" s="4">
        <v>11.8308667333333</v>
      </c>
      <c r="AY43">
        <v>3.44</v>
      </c>
      <c r="AZ43" s="5">
        <f t="shared" si="15"/>
        <v>8.3908667333333</v>
      </c>
      <c r="BA43">
        <v>29.17</v>
      </c>
      <c r="BB43" s="3">
        <f t="shared" si="16"/>
        <v>0.287653984687463</v>
      </c>
      <c r="BD43" s="4">
        <v>1.62900002083333</v>
      </c>
      <c r="BE43">
        <v>0.17</v>
      </c>
      <c r="BF43" s="5">
        <f t="shared" si="17"/>
        <v>1.45900002083333</v>
      </c>
      <c r="BG43">
        <v>4</v>
      </c>
      <c r="BH43" s="3">
        <f t="shared" si="18"/>
        <v>0.364750005208333</v>
      </c>
      <c r="BJ43" s="9">
        <v>8.28308330833333</v>
      </c>
      <c r="BK43">
        <v>4.8</v>
      </c>
      <c r="BL43" s="5">
        <f t="shared" si="19"/>
        <v>3.48308330833333</v>
      </c>
      <c r="BM43">
        <v>8.9</v>
      </c>
      <c r="BN43" s="3">
        <f t="shared" si="20"/>
        <v>0.391357675093633</v>
      </c>
      <c r="BP43" s="9">
        <v>0.119241666666667</v>
      </c>
      <c r="BQ43">
        <v>0.09</v>
      </c>
      <c r="BR43" s="5">
        <f t="shared" si="21"/>
        <v>0.029241666666667</v>
      </c>
      <c r="BS43">
        <v>0.43</v>
      </c>
      <c r="BT43" s="3">
        <f t="shared" si="22"/>
        <v>0.068003875968993</v>
      </c>
      <c r="BV43" s="4">
        <v>6.36043337916667</v>
      </c>
      <c r="BW43">
        <v>6.18</v>
      </c>
      <c r="BX43" s="5">
        <f t="shared" si="23"/>
        <v>0.18043337916667</v>
      </c>
      <c r="BY43">
        <v>1.68</v>
      </c>
      <c r="BZ43" s="3">
        <f t="shared" si="24"/>
        <v>0.107400820932542</v>
      </c>
      <c r="CB43" s="10">
        <v>116.7</v>
      </c>
      <c r="CC43">
        <v>54.3</v>
      </c>
      <c r="CD43" s="12">
        <f t="shared" si="25"/>
        <v>62.4</v>
      </c>
      <c r="CE43">
        <v>71.3</v>
      </c>
      <c r="CF43" s="3">
        <f t="shared" si="26"/>
        <v>0.875175315568023</v>
      </c>
      <c r="CH43" s="13">
        <v>31.2</v>
      </c>
      <c r="CI43">
        <v>22.6</v>
      </c>
      <c r="CJ43">
        <f t="shared" si="27"/>
        <v>8.6</v>
      </c>
      <c r="CK43">
        <v>25.1</v>
      </c>
      <c r="CL43">
        <f t="shared" si="28"/>
        <v>0.342629482071713</v>
      </c>
      <c r="CN43" s="10">
        <v>3.7</v>
      </c>
      <c r="CO43">
        <v>3</v>
      </c>
      <c r="CP43" s="12">
        <f t="shared" si="29"/>
        <v>0.7</v>
      </c>
      <c r="CQ43">
        <v>3.4</v>
      </c>
      <c r="CR43" s="3">
        <f t="shared" si="30"/>
        <v>0.205882352941177</v>
      </c>
    </row>
    <row r="44" spans="2:96">
      <c r="B44" s="1">
        <v>39524</v>
      </c>
      <c r="C44">
        <v>32416</v>
      </c>
      <c r="D44" s="2">
        <f t="shared" si="31"/>
        <v>7108</v>
      </c>
      <c r="E44">
        <v>31904</v>
      </c>
      <c r="F44" s="3">
        <f t="shared" si="0"/>
        <v>0.222793380140421</v>
      </c>
      <c r="H44" s="1">
        <v>38839.8023683</v>
      </c>
      <c r="I44">
        <v>31145</v>
      </c>
      <c r="J44" s="2">
        <f t="shared" si="1"/>
        <v>7694.8023683</v>
      </c>
      <c r="K44">
        <v>32760</v>
      </c>
      <c r="L44" s="3">
        <f t="shared" si="2"/>
        <v>0.234884077176435</v>
      </c>
      <c r="N44" s="4">
        <v>255.683337529167</v>
      </c>
      <c r="O44">
        <v>201.27</v>
      </c>
      <c r="P44" s="5">
        <f t="shared" si="3"/>
        <v>54.413337529167</v>
      </c>
      <c r="Q44">
        <v>79.69</v>
      </c>
      <c r="R44" s="3">
        <f t="shared" si="4"/>
        <v>0.682812618009374</v>
      </c>
      <c r="T44" s="4">
        <v>199.950000454166</v>
      </c>
      <c r="U44">
        <v>100.23</v>
      </c>
      <c r="V44" s="5">
        <f t="shared" si="5"/>
        <v>99.720000454166</v>
      </c>
      <c r="W44">
        <v>410.93</v>
      </c>
      <c r="X44" s="3">
        <f t="shared" si="6"/>
        <v>0.242669068829645</v>
      </c>
      <c r="Z44" s="4">
        <v>28.4145833375</v>
      </c>
      <c r="AA44">
        <v>13.25</v>
      </c>
      <c r="AB44" s="5">
        <f t="shared" si="7"/>
        <v>15.1645833375</v>
      </c>
      <c r="AC44">
        <v>33.93</v>
      </c>
      <c r="AD44" s="3">
        <f t="shared" si="8"/>
        <v>0.446937322060124</v>
      </c>
      <c r="AF44" s="4">
        <v>4.62</v>
      </c>
      <c r="AG44">
        <v>2.09</v>
      </c>
      <c r="AH44" s="5">
        <f t="shared" si="9"/>
        <v>2.53</v>
      </c>
      <c r="AI44">
        <v>3.85</v>
      </c>
      <c r="AJ44" s="3">
        <f t="shared" si="10"/>
        <v>0.657142857142857</v>
      </c>
      <c r="AL44" s="4">
        <v>6.83680002857143</v>
      </c>
      <c r="AM44">
        <v>6.1</v>
      </c>
      <c r="AN44" s="5">
        <f t="shared" si="11"/>
        <v>0.73680002857143</v>
      </c>
      <c r="AO44">
        <v>1.89</v>
      </c>
      <c r="AP44" s="3">
        <f t="shared" si="12"/>
        <v>0.389841284958429</v>
      </c>
      <c r="AR44" s="4">
        <v>1.13104739201237</v>
      </c>
      <c r="AS44">
        <v>0.02</v>
      </c>
      <c r="AT44" s="5">
        <f t="shared" si="13"/>
        <v>1.11104739201237</v>
      </c>
      <c r="AU44">
        <v>2.84</v>
      </c>
      <c r="AV44" s="3">
        <f t="shared" si="14"/>
        <v>0.391213870426891</v>
      </c>
      <c r="AX44" s="4">
        <v>13.3102664916667</v>
      </c>
      <c r="AY44">
        <v>3.44</v>
      </c>
      <c r="AZ44" s="5">
        <f t="shared" si="15"/>
        <v>9.8702664916667</v>
      </c>
      <c r="BA44">
        <v>29.17</v>
      </c>
      <c r="BB44" s="3">
        <f t="shared" si="16"/>
        <v>0.33837046594675</v>
      </c>
      <c r="BD44" s="4">
        <v>3.71124999166667</v>
      </c>
      <c r="BE44">
        <v>0.17</v>
      </c>
      <c r="BF44" s="5">
        <f t="shared" si="17"/>
        <v>3.54124999166667</v>
      </c>
      <c r="BG44">
        <v>4</v>
      </c>
      <c r="BH44" s="3">
        <f t="shared" si="18"/>
        <v>0.885312497916668</v>
      </c>
      <c r="BJ44" s="9">
        <v>7.84150004166667</v>
      </c>
      <c r="BK44">
        <v>4.8</v>
      </c>
      <c r="BL44" s="5">
        <f t="shared" si="19"/>
        <v>3.04150004166667</v>
      </c>
      <c r="BM44">
        <v>8.9</v>
      </c>
      <c r="BN44" s="3">
        <f t="shared" si="20"/>
        <v>0.341741577715356</v>
      </c>
      <c r="BP44" s="9">
        <v>0.1461</v>
      </c>
      <c r="BQ44">
        <v>0.09</v>
      </c>
      <c r="BR44" s="5">
        <f t="shared" si="21"/>
        <v>0.0561</v>
      </c>
      <c r="BS44">
        <v>0.43</v>
      </c>
      <c r="BT44" s="3">
        <f t="shared" si="22"/>
        <v>0.13046511627907</v>
      </c>
      <c r="BV44" s="4">
        <v>6.3176167125</v>
      </c>
      <c r="BW44">
        <v>6.18</v>
      </c>
      <c r="BX44" s="5">
        <f t="shared" si="23"/>
        <v>0.1376167125</v>
      </c>
      <c r="BY44">
        <v>1.68</v>
      </c>
      <c r="BZ44" s="3">
        <f t="shared" si="24"/>
        <v>0.0819147098214285</v>
      </c>
      <c r="CB44" s="10">
        <v>117.2</v>
      </c>
      <c r="CC44">
        <v>54.3</v>
      </c>
      <c r="CD44" s="12">
        <f t="shared" si="25"/>
        <v>62.9</v>
      </c>
      <c r="CE44">
        <v>71.3</v>
      </c>
      <c r="CF44" s="3">
        <f t="shared" si="26"/>
        <v>0.88218793828892</v>
      </c>
      <c r="CH44" s="13">
        <v>33.4</v>
      </c>
      <c r="CI44">
        <v>22.6</v>
      </c>
      <c r="CJ44">
        <f t="shared" si="27"/>
        <v>10.8</v>
      </c>
      <c r="CK44">
        <v>25.1</v>
      </c>
      <c r="CL44">
        <f t="shared" si="28"/>
        <v>0.430278884462151</v>
      </c>
      <c r="CN44" s="10">
        <v>4.1</v>
      </c>
      <c r="CO44">
        <v>3</v>
      </c>
      <c r="CP44" s="12">
        <f t="shared" si="29"/>
        <v>1.1</v>
      </c>
      <c r="CQ44">
        <v>3.4</v>
      </c>
      <c r="CR44" s="3">
        <f t="shared" si="30"/>
        <v>0.323529411764706</v>
      </c>
    </row>
    <row r="45" spans="2:96">
      <c r="B45" s="1">
        <v>39253</v>
      </c>
      <c r="C45">
        <v>32416</v>
      </c>
      <c r="D45" s="2">
        <f t="shared" si="31"/>
        <v>6837</v>
      </c>
      <c r="E45">
        <v>31904</v>
      </c>
      <c r="F45" s="3">
        <f t="shared" si="0"/>
        <v>0.214299147442327</v>
      </c>
      <c r="H45" s="1">
        <v>38438.2226373</v>
      </c>
      <c r="I45">
        <v>31145</v>
      </c>
      <c r="J45" s="2">
        <f t="shared" si="1"/>
        <v>7293.2226373</v>
      </c>
      <c r="K45">
        <v>32760</v>
      </c>
      <c r="L45" s="3">
        <f t="shared" si="2"/>
        <v>0.222625843629426</v>
      </c>
      <c r="N45" s="4">
        <v>252.819997791667</v>
      </c>
      <c r="O45">
        <v>201.27</v>
      </c>
      <c r="P45" s="5">
        <f t="shared" si="3"/>
        <v>51.549997791667</v>
      </c>
      <c r="Q45">
        <v>79.69</v>
      </c>
      <c r="R45" s="3">
        <f t="shared" si="4"/>
        <v>0.646881638745978</v>
      </c>
      <c r="T45" s="4">
        <v>241.679166145833</v>
      </c>
      <c r="U45">
        <v>100.23</v>
      </c>
      <c r="V45" s="5">
        <f t="shared" si="5"/>
        <v>141.449166145833</v>
      </c>
      <c r="W45">
        <v>410.93</v>
      </c>
      <c r="X45" s="3">
        <f t="shared" si="6"/>
        <v>0.344217180896583</v>
      </c>
      <c r="Z45" s="4">
        <v>28.97666665</v>
      </c>
      <c r="AA45">
        <v>13.25</v>
      </c>
      <c r="AB45" s="5">
        <f t="shared" si="7"/>
        <v>15.72666665</v>
      </c>
      <c r="AC45">
        <v>33.93</v>
      </c>
      <c r="AD45" s="3">
        <f t="shared" si="8"/>
        <v>0.463503290598291</v>
      </c>
      <c r="AF45" s="4">
        <v>3.74</v>
      </c>
      <c r="AG45">
        <v>2.09</v>
      </c>
      <c r="AH45" s="5">
        <f t="shared" si="9"/>
        <v>1.65</v>
      </c>
      <c r="AI45">
        <v>3.85</v>
      </c>
      <c r="AJ45" s="3">
        <f t="shared" si="10"/>
        <v>0.428571428571429</v>
      </c>
      <c r="AL45" s="4">
        <v>6.76793336666667</v>
      </c>
      <c r="AM45">
        <v>6.1</v>
      </c>
      <c r="AN45" s="5">
        <f t="shared" si="11"/>
        <v>0.66793336666667</v>
      </c>
      <c r="AO45">
        <v>1.89</v>
      </c>
      <c r="AP45" s="3">
        <f t="shared" si="12"/>
        <v>0.353403897707233</v>
      </c>
      <c r="AR45" s="4">
        <v>1.71144835270908</v>
      </c>
      <c r="AS45">
        <v>0.02</v>
      </c>
      <c r="AT45" s="5">
        <f t="shared" si="13"/>
        <v>1.69144835270908</v>
      </c>
      <c r="AU45">
        <v>2.84</v>
      </c>
      <c r="AV45" s="3">
        <f t="shared" si="14"/>
        <v>0.595580405883479</v>
      </c>
      <c r="AX45" s="4">
        <v>14.6648665125</v>
      </c>
      <c r="AY45">
        <v>3.44</v>
      </c>
      <c r="AZ45" s="5">
        <f t="shared" si="15"/>
        <v>11.2248665125</v>
      </c>
      <c r="BA45">
        <v>29.17</v>
      </c>
      <c r="BB45" s="3">
        <f t="shared" si="16"/>
        <v>0.384808588018512</v>
      </c>
      <c r="BD45" s="4">
        <v>3.4222500125</v>
      </c>
      <c r="BE45">
        <v>0.17</v>
      </c>
      <c r="BF45" s="5">
        <f t="shared" si="17"/>
        <v>3.2522500125</v>
      </c>
      <c r="BG45">
        <v>4</v>
      </c>
      <c r="BH45" s="3">
        <f t="shared" si="18"/>
        <v>0.813062503125</v>
      </c>
      <c r="BJ45" s="9">
        <v>7.88066661666667</v>
      </c>
      <c r="BK45">
        <v>4.8</v>
      </c>
      <c r="BL45" s="5">
        <f t="shared" si="19"/>
        <v>3.08066661666667</v>
      </c>
      <c r="BM45">
        <v>8.9</v>
      </c>
      <c r="BN45" s="3">
        <f t="shared" si="20"/>
        <v>0.346142316479401</v>
      </c>
      <c r="BP45" s="9">
        <v>0.173975</v>
      </c>
      <c r="BQ45">
        <v>0.09</v>
      </c>
      <c r="BR45" s="5">
        <f t="shared" si="21"/>
        <v>0.083975</v>
      </c>
      <c r="BS45">
        <v>0.43</v>
      </c>
      <c r="BT45" s="3">
        <f t="shared" si="22"/>
        <v>0.195290697674419</v>
      </c>
      <c r="BV45" s="4">
        <v>6.35214999583333</v>
      </c>
      <c r="BW45">
        <v>6.18</v>
      </c>
      <c r="BX45" s="5">
        <f t="shared" si="23"/>
        <v>0.172149995833331</v>
      </c>
      <c r="BY45">
        <v>1.68</v>
      </c>
      <c r="BZ45" s="3">
        <f t="shared" si="24"/>
        <v>0.102470235615078</v>
      </c>
      <c r="CB45" s="10">
        <v>118.5</v>
      </c>
      <c r="CC45">
        <v>54.3</v>
      </c>
      <c r="CD45" s="12">
        <f t="shared" si="25"/>
        <v>64.2</v>
      </c>
      <c r="CE45">
        <v>71.3</v>
      </c>
      <c r="CF45" s="3">
        <f t="shared" si="26"/>
        <v>0.900420757363254</v>
      </c>
      <c r="CH45" s="13">
        <v>34.9</v>
      </c>
      <c r="CI45">
        <v>22.6</v>
      </c>
      <c r="CJ45">
        <f t="shared" si="27"/>
        <v>12.3</v>
      </c>
      <c r="CK45">
        <v>25.1</v>
      </c>
      <c r="CL45">
        <f t="shared" si="28"/>
        <v>0.49003984063745</v>
      </c>
      <c r="CN45" s="10">
        <v>4.3</v>
      </c>
      <c r="CO45">
        <v>3</v>
      </c>
      <c r="CP45" s="12">
        <f t="shared" si="29"/>
        <v>1.3</v>
      </c>
      <c r="CQ45">
        <v>3.4</v>
      </c>
      <c r="CR45" s="3">
        <f t="shared" si="30"/>
        <v>0.382352941176471</v>
      </c>
    </row>
    <row r="46" spans="2:96">
      <c r="B46" s="1">
        <v>39531</v>
      </c>
      <c r="C46">
        <v>32416</v>
      </c>
      <c r="D46" s="2">
        <f t="shared" si="31"/>
        <v>7115</v>
      </c>
      <c r="E46">
        <v>31904</v>
      </c>
      <c r="F46" s="3">
        <f t="shared" si="0"/>
        <v>0.223012788365095</v>
      </c>
      <c r="H46" s="1">
        <v>38563.6533795</v>
      </c>
      <c r="I46">
        <v>31145</v>
      </c>
      <c r="J46" s="2">
        <f t="shared" si="1"/>
        <v>7418.6533795</v>
      </c>
      <c r="K46">
        <v>32760</v>
      </c>
      <c r="L46" s="3">
        <f t="shared" si="2"/>
        <v>0.226454620863858</v>
      </c>
      <c r="N46" s="4">
        <v>259.860000604167</v>
      </c>
      <c r="O46">
        <v>201.27</v>
      </c>
      <c r="P46" s="5">
        <f t="shared" si="3"/>
        <v>58.590000604167</v>
      </c>
      <c r="Q46">
        <v>79.69</v>
      </c>
      <c r="R46" s="3">
        <f t="shared" si="4"/>
        <v>0.735224000554235</v>
      </c>
      <c r="T46" s="4">
        <v>243.274998979167</v>
      </c>
      <c r="U46">
        <v>100.23</v>
      </c>
      <c r="V46" s="5">
        <f t="shared" si="5"/>
        <v>143.044998979167</v>
      </c>
      <c r="W46">
        <v>410.93</v>
      </c>
      <c r="X46" s="3">
        <f t="shared" si="6"/>
        <v>0.348100647261497</v>
      </c>
      <c r="Z46" s="4">
        <v>28.6985416041666</v>
      </c>
      <c r="AA46">
        <v>13.25</v>
      </c>
      <c r="AB46" s="5">
        <f t="shared" si="7"/>
        <v>15.4485416041666</v>
      </c>
      <c r="AC46">
        <v>33.93</v>
      </c>
      <c r="AD46" s="3">
        <f t="shared" si="8"/>
        <v>0.455306265964238</v>
      </c>
      <c r="AF46" s="4">
        <v>4.05</v>
      </c>
      <c r="AG46">
        <v>2.09</v>
      </c>
      <c r="AH46" s="5">
        <f t="shared" si="9"/>
        <v>1.96</v>
      </c>
      <c r="AI46">
        <v>3.85</v>
      </c>
      <c r="AJ46" s="3">
        <f t="shared" si="10"/>
        <v>0.509090909090909</v>
      </c>
      <c r="AL46" s="4">
        <v>6.81873687894737</v>
      </c>
      <c r="AM46">
        <v>6.1</v>
      </c>
      <c r="AN46" s="5">
        <f t="shared" si="11"/>
        <v>0.718736878947371</v>
      </c>
      <c r="AO46">
        <v>1.89</v>
      </c>
      <c r="AP46" s="3">
        <f t="shared" si="12"/>
        <v>0.380284062935117</v>
      </c>
      <c r="AR46" s="4">
        <v>1.72637070870636</v>
      </c>
      <c r="AS46">
        <v>0.02</v>
      </c>
      <c r="AT46" s="5">
        <f t="shared" si="13"/>
        <v>1.70637070870636</v>
      </c>
      <c r="AU46">
        <v>2.84</v>
      </c>
      <c r="AV46" s="3">
        <f t="shared" si="14"/>
        <v>0.600834756586746</v>
      </c>
      <c r="AX46" s="4">
        <v>32.6091996416667</v>
      </c>
      <c r="AY46">
        <v>3.44</v>
      </c>
      <c r="AZ46" s="5">
        <f t="shared" si="15"/>
        <v>29.1691996416667</v>
      </c>
      <c r="BA46">
        <v>29.17</v>
      </c>
      <c r="BB46" s="3">
        <f t="shared" si="16"/>
        <v>0.999972562278598</v>
      </c>
      <c r="BD46" s="4">
        <v>2.36716665416667</v>
      </c>
      <c r="BE46">
        <v>0.17</v>
      </c>
      <c r="BF46" s="5">
        <f t="shared" si="17"/>
        <v>2.19716665416667</v>
      </c>
      <c r="BG46">
        <v>4</v>
      </c>
      <c r="BH46" s="3">
        <f t="shared" si="18"/>
        <v>0.549291663541667</v>
      </c>
      <c r="BJ46" s="9">
        <v>7.82833333333333</v>
      </c>
      <c r="BK46">
        <v>4.8</v>
      </c>
      <c r="BL46" s="5">
        <f t="shared" si="19"/>
        <v>3.02833333333333</v>
      </c>
      <c r="BM46">
        <v>8.9</v>
      </c>
      <c r="BN46" s="3">
        <f t="shared" si="20"/>
        <v>0.340262172284644</v>
      </c>
      <c r="BP46" s="9">
        <v>0.236358333333333</v>
      </c>
      <c r="BQ46">
        <v>0.09</v>
      </c>
      <c r="BR46" s="5">
        <f t="shared" si="21"/>
        <v>0.146358333333333</v>
      </c>
      <c r="BS46">
        <v>0.43</v>
      </c>
      <c r="BT46" s="3">
        <f t="shared" si="22"/>
        <v>0.340368217054263</v>
      </c>
      <c r="BV46" s="4">
        <v>6.34200005</v>
      </c>
      <c r="BW46">
        <v>6.18</v>
      </c>
      <c r="BX46" s="5">
        <f t="shared" si="23"/>
        <v>0.162000050000001</v>
      </c>
      <c r="BY46">
        <v>1.68</v>
      </c>
      <c r="BZ46" s="3">
        <f t="shared" si="24"/>
        <v>0.0964286011904765</v>
      </c>
      <c r="CB46" s="10">
        <v>118.1</v>
      </c>
      <c r="CC46">
        <v>54.3</v>
      </c>
      <c r="CD46" s="12">
        <f t="shared" si="25"/>
        <v>63.8</v>
      </c>
      <c r="CE46">
        <v>71.3</v>
      </c>
      <c r="CF46" s="3">
        <f t="shared" si="26"/>
        <v>0.894810659186536</v>
      </c>
      <c r="CH46" s="13">
        <v>35.8</v>
      </c>
      <c r="CI46">
        <v>22.6</v>
      </c>
      <c r="CJ46">
        <f t="shared" si="27"/>
        <v>13.2</v>
      </c>
      <c r="CK46">
        <v>25.1</v>
      </c>
      <c r="CL46">
        <f t="shared" si="28"/>
        <v>0.525896414342629</v>
      </c>
      <c r="CN46" s="11">
        <v>4.9</v>
      </c>
      <c r="CO46">
        <v>3</v>
      </c>
      <c r="CP46" s="12">
        <f t="shared" si="29"/>
        <v>1.9</v>
      </c>
      <c r="CQ46">
        <v>3.4</v>
      </c>
      <c r="CR46" s="3">
        <f t="shared" si="30"/>
        <v>0.558823529411765</v>
      </c>
    </row>
    <row r="47" spans="2:96">
      <c r="B47" s="1">
        <v>41325</v>
      </c>
      <c r="C47">
        <v>32416</v>
      </c>
      <c r="D47" s="2">
        <f t="shared" si="31"/>
        <v>8909</v>
      </c>
      <c r="E47">
        <v>31904</v>
      </c>
      <c r="F47" s="3">
        <f t="shared" si="0"/>
        <v>0.279243981945837</v>
      </c>
      <c r="H47" s="1">
        <v>40805.6771241</v>
      </c>
      <c r="I47">
        <v>31145</v>
      </c>
      <c r="J47" s="2">
        <f t="shared" si="1"/>
        <v>9660.6771241</v>
      </c>
      <c r="K47">
        <v>32760</v>
      </c>
      <c r="L47" s="3">
        <f t="shared" si="2"/>
        <v>0.294892464105617</v>
      </c>
      <c r="N47" s="4">
        <v>278.153333033333</v>
      </c>
      <c r="O47">
        <v>201.27</v>
      </c>
      <c r="P47" s="5">
        <f t="shared" si="3"/>
        <v>76.883333033333</v>
      </c>
      <c r="Q47">
        <v>79.69</v>
      </c>
      <c r="R47" s="3">
        <f t="shared" si="4"/>
        <v>0.964780186137947</v>
      </c>
      <c r="T47" s="4">
        <v>213.045834541667</v>
      </c>
      <c r="U47">
        <v>100.23</v>
      </c>
      <c r="V47" s="5">
        <f t="shared" si="5"/>
        <v>112.815834541667</v>
      </c>
      <c r="W47">
        <v>410.93</v>
      </c>
      <c r="X47" s="3">
        <f t="shared" si="6"/>
        <v>0.274537839879461</v>
      </c>
      <c r="Z47" s="4">
        <v>29.0110416</v>
      </c>
      <c r="AA47">
        <v>13.25</v>
      </c>
      <c r="AB47" s="5">
        <f t="shared" si="7"/>
        <v>15.7610416</v>
      </c>
      <c r="AC47">
        <v>33.93</v>
      </c>
      <c r="AD47" s="3">
        <f t="shared" si="8"/>
        <v>0.464516404361922</v>
      </c>
      <c r="AF47" s="4">
        <v>3.6</v>
      </c>
      <c r="AG47">
        <v>2.09</v>
      </c>
      <c r="AH47" s="5">
        <f t="shared" si="9"/>
        <v>1.51</v>
      </c>
      <c r="AI47">
        <v>3.85</v>
      </c>
      <c r="AJ47" s="3">
        <f t="shared" si="10"/>
        <v>0.392207792207792</v>
      </c>
      <c r="AL47" s="4">
        <v>6.87434992</v>
      </c>
      <c r="AM47">
        <v>6.1</v>
      </c>
      <c r="AN47" s="5">
        <f t="shared" si="11"/>
        <v>0.774349920000001</v>
      </c>
      <c r="AO47">
        <v>1.89</v>
      </c>
      <c r="AP47" s="3">
        <f t="shared" si="12"/>
        <v>0.409708952380953</v>
      </c>
      <c r="AR47" s="4">
        <v>1.54735988458751</v>
      </c>
      <c r="AS47">
        <v>0.02</v>
      </c>
      <c r="AT47" s="5">
        <f t="shared" si="13"/>
        <v>1.52735988458751</v>
      </c>
      <c r="AU47">
        <v>2.84</v>
      </c>
      <c r="AV47" s="3">
        <f t="shared" si="14"/>
        <v>0.537802776263208</v>
      </c>
      <c r="AX47" s="4">
        <v>16.1728666916667</v>
      </c>
      <c r="AY47">
        <v>3.44</v>
      </c>
      <c r="AZ47" s="5">
        <f t="shared" si="15"/>
        <v>12.7328666916667</v>
      </c>
      <c r="BA47">
        <v>29.17</v>
      </c>
      <c r="BB47" s="3">
        <f t="shared" si="16"/>
        <v>0.436505543080792</v>
      </c>
      <c r="BD47" s="4">
        <v>0.794249991666666</v>
      </c>
      <c r="BE47">
        <v>0.17</v>
      </c>
      <c r="BF47" s="5">
        <f t="shared" si="17"/>
        <v>0.624249991666666</v>
      </c>
      <c r="BG47">
        <v>4</v>
      </c>
      <c r="BH47" s="3">
        <f t="shared" si="18"/>
        <v>0.156062497916666</v>
      </c>
      <c r="BJ47" s="9">
        <v>9.67641664583333</v>
      </c>
      <c r="BK47">
        <v>4.8</v>
      </c>
      <c r="BL47" s="5">
        <f t="shared" si="19"/>
        <v>4.87641664583333</v>
      </c>
      <c r="BM47">
        <v>8.9</v>
      </c>
      <c r="BN47" s="3">
        <f t="shared" si="20"/>
        <v>0.547911982677902</v>
      </c>
      <c r="BP47" s="9">
        <v>0.138833333333333</v>
      </c>
      <c r="BQ47">
        <v>0.09</v>
      </c>
      <c r="BR47" s="5">
        <f t="shared" si="21"/>
        <v>0.048833333333333</v>
      </c>
      <c r="BS47">
        <v>0.43</v>
      </c>
      <c r="BT47" s="3">
        <f t="shared" si="22"/>
        <v>0.113565891472867</v>
      </c>
      <c r="BV47" s="4">
        <v>6.3351749625</v>
      </c>
      <c r="BW47">
        <v>6.18</v>
      </c>
      <c r="BX47" s="5">
        <f t="shared" si="23"/>
        <v>0.1551749625</v>
      </c>
      <c r="BY47">
        <v>1.68</v>
      </c>
      <c r="BZ47" s="3">
        <f t="shared" si="24"/>
        <v>0.092366049107143</v>
      </c>
      <c r="CB47" s="10">
        <v>116</v>
      </c>
      <c r="CC47">
        <v>54.3</v>
      </c>
      <c r="CD47" s="12">
        <f t="shared" si="25"/>
        <v>61.7</v>
      </c>
      <c r="CE47">
        <v>71.3</v>
      </c>
      <c r="CF47" s="3">
        <f t="shared" si="26"/>
        <v>0.865357643758766</v>
      </c>
      <c r="CH47" s="13">
        <v>33.7</v>
      </c>
      <c r="CI47">
        <v>22.6</v>
      </c>
      <c r="CJ47">
        <f t="shared" si="27"/>
        <v>11.1</v>
      </c>
      <c r="CK47">
        <v>25.1</v>
      </c>
      <c r="CL47">
        <f t="shared" si="28"/>
        <v>0.442231075697211</v>
      </c>
      <c r="CN47" s="10">
        <v>4.4</v>
      </c>
      <c r="CO47">
        <v>3</v>
      </c>
      <c r="CP47" s="12">
        <f t="shared" si="29"/>
        <v>1.4</v>
      </c>
      <c r="CQ47">
        <v>3.4</v>
      </c>
      <c r="CR47" s="3">
        <f t="shared" si="30"/>
        <v>0.411764705882353</v>
      </c>
    </row>
    <row r="48" spans="2:96">
      <c r="B48" s="1">
        <v>42119</v>
      </c>
      <c r="C48">
        <v>32416</v>
      </c>
      <c r="D48" s="2">
        <f t="shared" si="31"/>
        <v>9703</v>
      </c>
      <c r="E48">
        <v>31904</v>
      </c>
      <c r="F48" s="3">
        <f t="shared" si="0"/>
        <v>0.304131143430291</v>
      </c>
      <c r="H48" s="1">
        <v>41773.8683528</v>
      </c>
      <c r="I48">
        <v>31145</v>
      </c>
      <c r="J48" s="2">
        <f t="shared" si="1"/>
        <v>10628.8683528</v>
      </c>
      <c r="K48">
        <v>32760</v>
      </c>
      <c r="L48" s="3">
        <f t="shared" si="2"/>
        <v>0.324446530915751</v>
      </c>
      <c r="N48" s="4">
        <v>252.703336079167</v>
      </c>
      <c r="O48">
        <v>201.27</v>
      </c>
      <c r="P48" s="5">
        <f t="shared" si="3"/>
        <v>51.433336079167</v>
      </c>
      <c r="Q48">
        <v>79.69</v>
      </c>
      <c r="R48" s="3">
        <f t="shared" si="4"/>
        <v>0.645417694555992</v>
      </c>
      <c r="T48" s="4">
        <v>217.7041667375</v>
      </c>
      <c r="U48">
        <v>100.23</v>
      </c>
      <c r="V48" s="5">
        <f t="shared" si="5"/>
        <v>117.4741667375</v>
      </c>
      <c r="W48">
        <v>410.93</v>
      </c>
      <c r="X48" s="3">
        <f t="shared" si="6"/>
        <v>0.285873912193074</v>
      </c>
      <c r="Z48" s="4">
        <v>29.829583325</v>
      </c>
      <c r="AA48">
        <v>13.25</v>
      </c>
      <c r="AB48" s="5">
        <f t="shared" si="7"/>
        <v>16.579583325</v>
      </c>
      <c r="AC48">
        <v>33.93</v>
      </c>
      <c r="AD48" s="3">
        <f t="shared" si="8"/>
        <v>0.488640828912467</v>
      </c>
      <c r="AF48" s="4">
        <v>3.74</v>
      </c>
      <c r="AG48">
        <v>2.09</v>
      </c>
      <c r="AH48" s="5">
        <f t="shared" si="9"/>
        <v>1.65</v>
      </c>
      <c r="AI48">
        <v>3.85</v>
      </c>
      <c r="AJ48" s="3">
        <f t="shared" si="10"/>
        <v>0.428571428571429</v>
      </c>
      <c r="AL48" s="4">
        <v>6.81922498333333</v>
      </c>
      <c r="AM48">
        <v>6.1</v>
      </c>
      <c r="AN48" s="5">
        <f t="shared" si="11"/>
        <v>0.71922498333333</v>
      </c>
      <c r="AO48">
        <v>1.89</v>
      </c>
      <c r="AP48" s="3">
        <f t="shared" si="12"/>
        <v>0.380542319223984</v>
      </c>
      <c r="AR48" s="4">
        <v>0.91312512083333</v>
      </c>
      <c r="AS48">
        <v>0.02</v>
      </c>
      <c r="AT48" s="5">
        <f t="shared" si="13"/>
        <v>0.89312512083333</v>
      </c>
      <c r="AU48">
        <v>2.84</v>
      </c>
      <c r="AV48" s="3">
        <f t="shared" si="14"/>
        <v>0.314480676349764</v>
      </c>
      <c r="AX48" s="4">
        <v>13.6222665541667</v>
      </c>
      <c r="AY48">
        <v>3.44</v>
      </c>
      <c r="AZ48" s="5">
        <f t="shared" si="15"/>
        <v>10.1822665541667</v>
      </c>
      <c r="BA48">
        <v>29.17</v>
      </c>
      <c r="BB48" s="3">
        <f t="shared" si="16"/>
        <v>0.349066388555595</v>
      </c>
      <c r="BD48" s="4">
        <v>0.709083341666667</v>
      </c>
      <c r="BE48">
        <v>0.17</v>
      </c>
      <c r="BF48" s="5">
        <f t="shared" si="17"/>
        <v>0.539083341666667</v>
      </c>
      <c r="BG48">
        <v>4</v>
      </c>
      <c r="BH48" s="3">
        <f t="shared" si="18"/>
        <v>0.134770835416667</v>
      </c>
      <c r="BJ48" s="9">
        <v>11.4544998708333</v>
      </c>
      <c r="BK48">
        <v>4.8</v>
      </c>
      <c r="BL48" s="5">
        <f t="shared" si="19"/>
        <v>6.6544998708333</v>
      </c>
      <c r="BM48">
        <v>8.9</v>
      </c>
      <c r="BN48" s="3">
        <f t="shared" si="20"/>
        <v>0.747696614700371</v>
      </c>
      <c r="BP48" s="9">
        <v>0.260666666666667</v>
      </c>
      <c r="BQ48">
        <v>0.09</v>
      </c>
      <c r="BR48" s="5">
        <f t="shared" si="21"/>
        <v>0.170666666666667</v>
      </c>
      <c r="BS48">
        <v>0.43</v>
      </c>
      <c r="BT48" s="3">
        <f t="shared" si="22"/>
        <v>0.396899224806202</v>
      </c>
      <c r="BV48" s="4">
        <v>6.39234167916667</v>
      </c>
      <c r="BW48">
        <v>6.18</v>
      </c>
      <c r="BX48" s="5">
        <f t="shared" si="23"/>
        <v>0.21234167916667</v>
      </c>
      <c r="BY48">
        <v>1.68</v>
      </c>
      <c r="BZ48" s="3">
        <f t="shared" si="24"/>
        <v>0.126393856646827</v>
      </c>
      <c r="CB48" s="10">
        <v>115.9</v>
      </c>
      <c r="CC48">
        <v>54.3</v>
      </c>
      <c r="CD48" s="12">
        <f t="shared" si="25"/>
        <v>61.6</v>
      </c>
      <c r="CE48">
        <v>71.3</v>
      </c>
      <c r="CF48" s="3">
        <f t="shared" si="26"/>
        <v>0.863955119214586</v>
      </c>
      <c r="CH48" s="13">
        <v>32.1</v>
      </c>
      <c r="CI48">
        <v>22.6</v>
      </c>
      <c r="CJ48">
        <f t="shared" si="27"/>
        <v>9.5</v>
      </c>
      <c r="CK48">
        <v>25.1</v>
      </c>
      <c r="CL48">
        <f t="shared" si="28"/>
        <v>0.378486055776892</v>
      </c>
      <c r="CN48" s="10">
        <v>4.6</v>
      </c>
      <c r="CO48">
        <v>3</v>
      </c>
      <c r="CP48" s="12">
        <f t="shared" si="29"/>
        <v>1.6</v>
      </c>
      <c r="CQ48">
        <v>3.4</v>
      </c>
      <c r="CR48" s="3">
        <f t="shared" si="30"/>
        <v>0.470588235294118</v>
      </c>
    </row>
    <row r="49" spans="2:96">
      <c r="B49" s="1">
        <v>43869</v>
      </c>
      <c r="C49">
        <v>32416</v>
      </c>
      <c r="D49" s="2">
        <f t="shared" si="31"/>
        <v>11453</v>
      </c>
      <c r="E49">
        <v>31904</v>
      </c>
      <c r="F49" s="3">
        <f t="shared" si="0"/>
        <v>0.358983199598796</v>
      </c>
      <c r="H49" s="1">
        <v>43307.535286</v>
      </c>
      <c r="I49">
        <v>31145</v>
      </c>
      <c r="J49" s="2">
        <f t="shared" si="1"/>
        <v>12162.535286</v>
      </c>
      <c r="K49">
        <v>32760</v>
      </c>
      <c r="L49" s="3">
        <f t="shared" si="2"/>
        <v>0.371261760866911</v>
      </c>
      <c r="N49" s="4">
        <v>251.576666516667</v>
      </c>
      <c r="O49">
        <v>201.27</v>
      </c>
      <c r="P49" s="5">
        <f t="shared" si="3"/>
        <v>50.306666516667</v>
      </c>
      <c r="Q49">
        <v>79.69</v>
      </c>
      <c r="R49" s="3">
        <f t="shared" si="4"/>
        <v>0.631279539674576</v>
      </c>
      <c r="T49" s="4">
        <v>231.037500066667</v>
      </c>
      <c r="U49">
        <v>100.23</v>
      </c>
      <c r="V49" s="5">
        <f t="shared" si="5"/>
        <v>130.807500066667</v>
      </c>
      <c r="W49">
        <v>410.93</v>
      </c>
      <c r="X49" s="3">
        <f t="shared" si="6"/>
        <v>0.318320638713813</v>
      </c>
      <c r="Z49" s="4">
        <v>28.4504167125</v>
      </c>
      <c r="AA49">
        <v>13.25</v>
      </c>
      <c r="AB49" s="5">
        <f t="shared" si="7"/>
        <v>15.2004167125</v>
      </c>
      <c r="AC49">
        <v>33.93</v>
      </c>
      <c r="AD49" s="3">
        <f t="shared" si="8"/>
        <v>0.447993419171824</v>
      </c>
      <c r="AF49" s="4">
        <v>4.16</v>
      </c>
      <c r="AG49">
        <v>2.09</v>
      </c>
      <c r="AH49" s="5">
        <f t="shared" si="9"/>
        <v>2.07</v>
      </c>
      <c r="AI49">
        <v>3.85</v>
      </c>
      <c r="AJ49" s="3">
        <f t="shared" si="10"/>
        <v>0.537662337662338</v>
      </c>
      <c r="AL49" s="4">
        <v>6.91045828333333</v>
      </c>
      <c r="AM49">
        <v>6.1</v>
      </c>
      <c r="AN49" s="5">
        <f t="shared" si="11"/>
        <v>0.810458283333331</v>
      </c>
      <c r="AO49">
        <v>1.89</v>
      </c>
      <c r="AP49" s="3">
        <f t="shared" si="12"/>
        <v>0.428813906525572</v>
      </c>
      <c r="AR49" s="4">
        <v>1.40270834166667</v>
      </c>
      <c r="AS49">
        <v>0.02</v>
      </c>
      <c r="AT49" s="5">
        <f t="shared" si="13"/>
        <v>1.38270834166667</v>
      </c>
      <c r="AU49">
        <v>2.84</v>
      </c>
      <c r="AV49" s="3">
        <f t="shared" si="14"/>
        <v>0.486869134389672</v>
      </c>
      <c r="AX49" s="4">
        <v>12.9592666916667</v>
      </c>
      <c r="AY49">
        <v>3.44</v>
      </c>
      <c r="AZ49" s="5">
        <f t="shared" si="15"/>
        <v>9.5192666916667</v>
      </c>
      <c r="BA49">
        <v>29.17</v>
      </c>
      <c r="BB49" s="3">
        <f t="shared" si="16"/>
        <v>0.326337562278598</v>
      </c>
      <c r="BD49" s="4">
        <v>0.919499991666667</v>
      </c>
      <c r="BE49">
        <v>0.17</v>
      </c>
      <c r="BF49" s="5">
        <f t="shared" si="17"/>
        <v>0.749499991666667</v>
      </c>
      <c r="BG49">
        <v>4</v>
      </c>
      <c r="BH49" s="3">
        <f t="shared" si="18"/>
        <v>0.187374997916667</v>
      </c>
      <c r="BJ49" s="9">
        <v>11.5528333208333</v>
      </c>
      <c r="BK49">
        <v>4.8</v>
      </c>
      <c r="BL49" s="5">
        <f t="shared" si="19"/>
        <v>6.7528333208333</v>
      </c>
      <c r="BM49">
        <v>8.9</v>
      </c>
      <c r="BN49" s="3">
        <f t="shared" si="20"/>
        <v>0.758745316947562</v>
      </c>
      <c r="BP49" s="9">
        <v>0.272358333333333</v>
      </c>
      <c r="BQ49">
        <v>0.09</v>
      </c>
      <c r="BR49" s="5">
        <f t="shared" si="21"/>
        <v>0.182358333333333</v>
      </c>
      <c r="BS49">
        <v>0.43</v>
      </c>
      <c r="BT49" s="3">
        <f t="shared" si="22"/>
        <v>0.424089147286821</v>
      </c>
      <c r="BV49" s="4">
        <v>6.3381499625</v>
      </c>
      <c r="BW49">
        <v>6.18</v>
      </c>
      <c r="BX49" s="5">
        <f t="shared" si="23"/>
        <v>0.1581499625</v>
      </c>
      <c r="BY49">
        <v>1.68</v>
      </c>
      <c r="BZ49" s="3">
        <f t="shared" si="24"/>
        <v>0.0941368824404765</v>
      </c>
      <c r="CB49" s="10">
        <v>114.8</v>
      </c>
      <c r="CC49">
        <v>54.3</v>
      </c>
      <c r="CD49" s="12">
        <f t="shared" si="25"/>
        <v>60.5</v>
      </c>
      <c r="CE49">
        <v>71.3</v>
      </c>
      <c r="CF49" s="3">
        <f t="shared" si="26"/>
        <v>0.848527349228612</v>
      </c>
      <c r="CH49" s="13">
        <v>33.9</v>
      </c>
      <c r="CI49">
        <v>22.6</v>
      </c>
      <c r="CJ49">
        <f t="shared" si="27"/>
        <v>11.3</v>
      </c>
      <c r="CK49">
        <v>25.1</v>
      </c>
      <c r="CL49">
        <f t="shared" si="28"/>
        <v>0.450199203187251</v>
      </c>
      <c r="CN49" s="10">
        <v>5.3</v>
      </c>
      <c r="CO49">
        <v>3</v>
      </c>
      <c r="CP49" s="12">
        <f t="shared" si="29"/>
        <v>2.3</v>
      </c>
      <c r="CQ49">
        <v>3.4</v>
      </c>
      <c r="CR49" s="3">
        <f t="shared" si="30"/>
        <v>0.676470588235294</v>
      </c>
    </row>
    <row r="50" spans="2:96">
      <c r="B50" s="1">
        <v>43622</v>
      </c>
      <c r="C50">
        <v>32416</v>
      </c>
      <c r="D50" s="2">
        <f t="shared" si="31"/>
        <v>11206</v>
      </c>
      <c r="E50">
        <v>31904</v>
      </c>
      <c r="F50" s="3">
        <f t="shared" si="0"/>
        <v>0.351241223671013</v>
      </c>
      <c r="H50" s="1">
        <v>42894.8354953</v>
      </c>
      <c r="I50">
        <v>31145</v>
      </c>
      <c r="J50" s="2">
        <f t="shared" si="1"/>
        <v>11749.8354953</v>
      </c>
      <c r="K50">
        <v>32760</v>
      </c>
      <c r="L50" s="3">
        <f t="shared" si="2"/>
        <v>0.35866408715812</v>
      </c>
      <c r="N50" s="4">
        <v>266.839999525</v>
      </c>
      <c r="O50">
        <v>201.27</v>
      </c>
      <c r="P50" s="5">
        <f t="shared" si="3"/>
        <v>65.569999525</v>
      </c>
      <c r="Q50">
        <v>79.69</v>
      </c>
      <c r="R50" s="3">
        <f t="shared" si="4"/>
        <v>0.822813395971891</v>
      </c>
      <c r="T50" s="4">
        <v>239.045833266667</v>
      </c>
      <c r="U50">
        <v>100.23</v>
      </c>
      <c r="V50" s="5">
        <f t="shared" si="5"/>
        <v>138.815833266667</v>
      </c>
      <c r="W50">
        <v>410.93</v>
      </c>
      <c r="X50" s="3">
        <f t="shared" si="6"/>
        <v>0.337808953511953</v>
      </c>
      <c r="Z50" s="4">
        <v>28.9899999</v>
      </c>
      <c r="AA50">
        <v>13.25</v>
      </c>
      <c r="AB50" s="5">
        <f t="shared" si="7"/>
        <v>15.7399999</v>
      </c>
      <c r="AC50">
        <v>33.93</v>
      </c>
      <c r="AD50" s="3">
        <f t="shared" si="8"/>
        <v>0.463896254052461</v>
      </c>
      <c r="AF50" s="4">
        <v>3.76</v>
      </c>
      <c r="AG50">
        <v>2.09</v>
      </c>
      <c r="AH50" s="5">
        <f t="shared" si="9"/>
        <v>1.67</v>
      </c>
      <c r="AI50">
        <v>3.85</v>
      </c>
      <c r="AJ50" s="3">
        <f t="shared" si="10"/>
        <v>0.433766233766234</v>
      </c>
      <c r="AL50" s="4">
        <v>6.94954177916667</v>
      </c>
      <c r="AM50">
        <v>6.1</v>
      </c>
      <c r="AN50" s="5">
        <f t="shared" si="11"/>
        <v>0.84954177916667</v>
      </c>
      <c r="AO50">
        <v>1.89</v>
      </c>
      <c r="AP50" s="3">
        <f t="shared" si="12"/>
        <v>0.44949300485009</v>
      </c>
      <c r="AR50" s="4">
        <v>1.32645833333333</v>
      </c>
      <c r="AS50">
        <v>0.02</v>
      </c>
      <c r="AT50" s="5">
        <f t="shared" si="13"/>
        <v>1.30645833333333</v>
      </c>
      <c r="AU50">
        <v>2.84</v>
      </c>
      <c r="AV50" s="3">
        <f t="shared" si="14"/>
        <v>0.460020539906102</v>
      </c>
      <c r="AX50" s="4">
        <v>11.8447333083333</v>
      </c>
      <c r="AY50">
        <v>3.44</v>
      </c>
      <c r="AZ50" s="5">
        <f t="shared" si="15"/>
        <v>8.4047333083333</v>
      </c>
      <c r="BA50">
        <v>29.17</v>
      </c>
      <c r="BB50" s="3">
        <f t="shared" si="16"/>
        <v>0.288129355787909</v>
      </c>
      <c r="BD50" s="4">
        <v>0.729416670833334</v>
      </c>
      <c r="BE50">
        <v>0.17</v>
      </c>
      <c r="BF50" s="5">
        <f t="shared" si="17"/>
        <v>0.559416670833334</v>
      </c>
      <c r="BG50">
        <v>4</v>
      </c>
      <c r="BH50" s="3">
        <f t="shared" si="18"/>
        <v>0.139854167708333</v>
      </c>
      <c r="BJ50" s="9">
        <v>9.95441675416667</v>
      </c>
      <c r="BK50">
        <v>4.8</v>
      </c>
      <c r="BL50" s="5">
        <f t="shared" si="19"/>
        <v>5.15441675416667</v>
      </c>
      <c r="BM50">
        <v>8.9</v>
      </c>
      <c r="BN50" s="3">
        <f t="shared" si="20"/>
        <v>0.579147949906368</v>
      </c>
      <c r="BP50" s="9">
        <v>0.221658333333333</v>
      </c>
      <c r="BQ50">
        <v>0.09</v>
      </c>
      <c r="BR50" s="5">
        <f t="shared" si="21"/>
        <v>0.131658333333333</v>
      </c>
      <c r="BS50">
        <v>0.43</v>
      </c>
      <c r="BT50" s="3">
        <f t="shared" si="22"/>
        <v>0.306182170542635</v>
      </c>
      <c r="BV50" s="4">
        <v>6.20450833333333</v>
      </c>
      <c r="BW50">
        <v>6.18</v>
      </c>
      <c r="BX50" s="5">
        <f t="shared" si="23"/>
        <v>0.0245083333333307</v>
      </c>
      <c r="BY50">
        <v>1.68</v>
      </c>
      <c r="BZ50" s="3">
        <f t="shared" si="24"/>
        <v>0.0145882936507921</v>
      </c>
      <c r="CB50" s="10">
        <v>116.2</v>
      </c>
      <c r="CC50">
        <v>54.3</v>
      </c>
      <c r="CD50" s="12">
        <f t="shared" si="25"/>
        <v>61.9</v>
      </c>
      <c r="CE50">
        <v>71.3</v>
      </c>
      <c r="CF50" s="3">
        <f t="shared" si="26"/>
        <v>0.868162692847125</v>
      </c>
      <c r="CH50" s="13">
        <v>31.1</v>
      </c>
      <c r="CI50">
        <v>22.6</v>
      </c>
      <c r="CJ50">
        <f t="shared" si="27"/>
        <v>8.5</v>
      </c>
      <c r="CK50">
        <v>25.1</v>
      </c>
      <c r="CL50">
        <f t="shared" si="28"/>
        <v>0.338645418326693</v>
      </c>
      <c r="CN50" s="11">
        <v>3.7</v>
      </c>
      <c r="CO50">
        <v>3</v>
      </c>
      <c r="CP50" s="12">
        <f t="shared" si="29"/>
        <v>0.7</v>
      </c>
      <c r="CQ50">
        <v>3.4</v>
      </c>
      <c r="CR50" s="3">
        <f t="shared" si="30"/>
        <v>0.205882352941177</v>
      </c>
    </row>
    <row r="51" spans="2:96">
      <c r="B51" s="1">
        <v>43285</v>
      </c>
      <c r="C51">
        <v>32416</v>
      </c>
      <c r="D51" s="2">
        <f t="shared" si="31"/>
        <v>10869</v>
      </c>
      <c r="E51">
        <v>31904</v>
      </c>
      <c r="F51" s="3">
        <f t="shared" si="0"/>
        <v>0.340678284854564</v>
      </c>
      <c r="H51" s="1">
        <v>42790.614441</v>
      </c>
      <c r="I51">
        <v>31145</v>
      </c>
      <c r="J51" s="2">
        <f t="shared" si="1"/>
        <v>11645.614441</v>
      </c>
      <c r="K51">
        <v>32760</v>
      </c>
      <c r="L51" s="3">
        <f t="shared" si="2"/>
        <v>0.355482736294261</v>
      </c>
      <c r="N51" s="4">
        <v>251.68333435</v>
      </c>
      <c r="O51">
        <v>201.27</v>
      </c>
      <c r="P51" s="5">
        <f t="shared" si="3"/>
        <v>50.41333435</v>
      </c>
      <c r="Q51">
        <v>79.69</v>
      </c>
      <c r="R51" s="3">
        <f t="shared" si="4"/>
        <v>0.632618074413352</v>
      </c>
      <c r="T51" s="4">
        <v>230.6249996875</v>
      </c>
      <c r="U51">
        <v>100.23</v>
      </c>
      <c r="V51" s="5">
        <f t="shared" si="5"/>
        <v>130.3949996875</v>
      </c>
      <c r="W51">
        <v>410.93</v>
      </c>
      <c r="X51" s="3">
        <f t="shared" si="6"/>
        <v>0.317316817189059</v>
      </c>
      <c r="Z51" s="4">
        <v>26.3602083125</v>
      </c>
      <c r="AA51">
        <v>13.25</v>
      </c>
      <c r="AB51" s="5">
        <f t="shared" si="7"/>
        <v>13.1102083125</v>
      </c>
      <c r="AC51">
        <v>33.93</v>
      </c>
      <c r="AD51" s="3">
        <f t="shared" si="8"/>
        <v>0.386389870689655</v>
      </c>
      <c r="AF51" s="4">
        <v>4.33</v>
      </c>
      <c r="AG51">
        <v>2.09</v>
      </c>
      <c r="AH51" s="5">
        <f t="shared" si="9"/>
        <v>2.24</v>
      </c>
      <c r="AI51">
        <v>3.85</v>
      </c>
      <c r="AJ51" s="3">
        <f t="shared" si="10"/>
        <v>0.581818181818182</v>
      </c>
      <c r="AL51" s="4">
        <v>6.95805832083333</v>
      </c>
      <c r="AM51">
        <v>6.1</v>
      </c>
      <c r="AN51" s="5">
        <f t="shared" si="11"/>
        <v>0.85805832083333</v>
      </c>
      <c r="AO51">
        <v>1.89</v>
      </c>
      <c r="AP51" s="3">
        <f t="shared" si="12"/>
        <v>0.453999111552027</v>
      </c>
      <c r="AR51" s="4">
        <v>1.38375000833333</v>
      </c>
      <c r="AS51">
        <v>0.02</v>
      </c>
      <c r="AT51" s="5">
        <f t="shared" si="13"/>
        <v>1.36375000833333</v>
      </c>
      <c r="AU51">
        <v>2.84</v>
      </c>
      <c r="AV51" s="3">
        <f t="shared" si="14"/>
        <v>0.480193664906102</v>
      </c>
      <c r="AX51" s="4">
        <v>11.696533325</v>
      </c>
      <c r="AY51">
        <v>3.44</v>
      </c>
      <c r="AZ51" s="5">
        <f t="shared" si="15"/>
        <v>8.256533325</v>
      </c>
      <c r="BA51">
        <v>29.17</v>
      </c>
      <c r="BB51" s="3">
        <f t="shared" si="16"/>
        <v>0.283048794137813</v>
      </c>
      <c r="BD51" s="4">
        <v>0.394416666666667</v>
      </c>
      <c r="BE51">
        <v>0.17</v>
      </c>
      <c r="BF51" s="5">
        <f t="shared" si="17"/>
        <v>0.224416666666667</v>
      </c>
      <c r="BG51">
        <v>4</v>
      </c>
      <c r="BH51" s="3">
        <f t="shared" si="18"/>
        <v>0.0561041666666668</v>
      </c>
      <c r="BJ51" s="9">
        <v>9.51200002083333</v>
      </c>
      <c r="BK51">
        <v>4.8</v>
      </c>
      <c r="BL51" s="5">
        <f t="shared" si="19"/>
        <v>4.71200002083333</v>
      </c>
      <c r="BM51">
        <v>8.9</v>
      </c>
      <c r="BN51" s="3">
        <f t="shared" si="20"/>
        <v>0.529438204588015</v>
      </c>
      <c r="BP51" s="9">
        <v>0.1664</v>
      </c>
      <c r="BQ51">
        <v>0.09</v>
      </c>
      <c r="BR51" s="5">
        <f t="shared" si="21"/>
        <v>0.0764</v>
      </c>
      <c r="BS51">
        <v>0.43</v>
      </c>
      <c r="BT51" s="3">
        <f t="shared" si="22"/>
        <v>0.177674418604651</v>
      </c>
      <c r="BV51" s="4">
        <v>6.30921667916667</v>
      </c>
      <c r="BW51">
        <v>6.18</v>
      </c>
      <c r="BX51" s="5">
        <f t="shared" si="23"/>
        <v>0.12921667916667</v>
      </c>
      <c r="BY51">
        <v>1.68</v>
      </c>
      <c r="BZ51" s="3">
        <f t="shared" si="24"/>
        <v>0.0769146899801607</v>
      </c>
      <c r="CB51" s="10">
        <v>113.9</v>
      </c>
      <c r="CC51">
        <v>54.3</v>
      </c>
      <c r="CD51" s="12">
        <f t="shared" si="25"/>
        <v>59.6</v>
      </c>
      <c r="CE51">
        <v>71.3</v>
      </c>
      <c r="CF51" s="3">
        <f t="shared" si="26"/>
        <v>0.835904628330996</v>
      </c>
      <c r="CH51" s="13">
        <v>32.8</v>
      </c>
      <c r="CI51">
        <v>22.6</v>
      </c>
      <c r="CJ51">
        <f t="shared" si="27"/>
        <v>10.2</v>
      </c>
      <c r="CK51">
        <v>25.1</v>
      </c>
      <c r="CL51">
        <f t="shared" si="28"/>
        <v>0.406374501992032</v>
      </c>
      <c r="CN51" s="10">
        <v>4.1</v>
      </c>
      <c r="CO51">
        <v>3</v>
      </c>
      <c r="CP51" s="12">
        <f t="shared" si="29"/>
        <v>1.1</v>
      </c>
      <c r="CQ51">
        <v>3.4</v>
      </c>
      <c r="CR51" s="3">
        <f t="shared" si="30"/>
        <v>0.323529411764706</v>
      </c>
    </row>
    <row r="52" spans="2:96">
      <c r="B52" s="1">
        <v>45368</v>
      </c>
      <c r="C52">
        <v>32416</v>
      </c>
      <c r="D52" s="2">
        <f t="shared" si="31"/>
        <v>12952</v>
      </c>
      <c r="E52">
        <v>31904</v>
      </c>
      <c r="F52" s="3">
        <f t="shared" si="0"/>
        <v>0.405967903711133</v>
      </c>
      <c r="H52" s="1">
        <v>44809.5502629</v>
      </c>
      <c r="I52">
        <v>31145</v>
      </c>
      <c r="J52" s="2">
        <f t="shared" si="1"/>
        <v>13664.5502629</v>
      </c>
      <c r="K52">
        <v>32760</v>
      </c>
      <c r="L52" s="3">
        <f t="shared" si="2"/>
        <v>0.417110813885836</v>
      </c>
      <c r="N52" s="4">
        <v>248.856668483333</v>
      </c>
      <c r="O52">
        <v>201.27</v>
      </c>
      <c r="P52" s="5">
        <f t="shared" si="3"/>
        <v>47.586668483333</v>
      </c>
      <c r="Q52">
        <v>79.69</v>
      </c>
      <c r="R52" s="3">
        <f t="shared" si="4"/>
        <v>0.597147301836278</v>
      </c>
      <c r="T52" s="4">
        <v>207.749999041667</v>
      </c>
      <c r="U52">
        <v>100.23</v>
      </c>
      <c r="V52" s="5">
        <f t="shared" si="5"/>
        <v>107.519999041667</v>
      </c>
      <c r="W52">
        <v>410.93</v>
      </c>
      <c r="X52" s="3">
        <f t="shared" si="6"/>
        <v>0.261650400412885</v>
      </c>
      <c r="Z52" s="4">
        <v>23.5749999666666</v>
      </c>
      <c r="AA52">
        <v>13.25</v>
      </c>
      <c r="AB52" s="5">
        <f t="shared" si="7"/>
        <v>10.3249999666666</v>
      </c>
      <c r="AC52">
        <v>33.93</v>
      </c>
      <c r="AD52" s="3">
        <f t="shared" si="8"/>
        <v>0.304302975734353</v>
      </c>
      <c r="AF52" s="4">
        <v>4.74</v>
      </c>
      <c r="AG52">
        <v>2.09</v>
      </c>
      <c r="AH52" s="5">
        <f t="shared" si="9"/>
        <v>2.65</v>
      </c>
      <c r="AI52">
        <v>3.85</v>
      </c>
      <c r="AJ52" s="3">
        <f t="shared" si="10"/>
        <v>0.688311688311688</v>
      </c>
      <c r="AL52" s="4">
        <v>6.93740840416667</v>
      </c>
      <c r="AM52">
        <v>6.1</v>
      </c>
      <c r="AN52" s="5">
        <f t="shared" si="11"/>
        <v>0.837408404166671</v>
      </c>
      <c r="AO52">
        <v>1.89</v>
      </c>
      <c r="AP52" s="3">
        <f t="shared" si="12"/>
        <v>0.443073229717815</v>
      </c>
      <c r="AR52" s="4">
        <v>1.35520834166667</v>
      </c>
      <c r="AS52">
        <v>0.02</v>
      </c>
      <c r="AT52" s="5">
        <f t="shared" si="13"/>
        <v>1.33520834166667</v>
      </c>
      <c r="AU52">
        <v>2.84</v>
      </c>
      <c r="AV52" s="3">
        <f t="shared" si="14"/>
        <v>0.470143782276996</v>
      </c>
      <c r="AX52" s="4">
        <v>13.8684000833333</v>
      </c>
      <c r="AY52">
        <v>3.44</v>
      </c>
      <c r="AZ52" s="5">
        <f t="shared" si="15"/>
        <v>10.4284000833333</v>
      </c>
      <c r="BA52">
        <v>29.17</v>
      </c>
      <c r="BB52" s="3">
        <f t="shared" si="16"/>
        <v>0.357504288081361</v>
      </c>
      <c r="BD52" s="4">
        <v>0.663833325</v>
      </c>
      <c r="BE52">
        <v>0.17</v>
      </c>
      <c r="BF52" s="5">
        <f t="shared" si="17"/>
        <v>0.493833325</v>
      </c>
      <c r="BG52">
        <v>4</v>
      </c>
      <c r="BH52" s="3">
        <f t="shared" si="18"/>
        <v>0.12345833125</v>
      </c>
      <c r="BJ52" s="9">
        <v>9.9040833125</v>
      </c>
      <c r="BK52">
        <v>4.8</v>
      </c>
      <c r="BL52" s="5">
        <f t="shared" si="19"/>
        <v>5.1040833125</v>
      </c>
      <c r="BM52">
        <v>8.9</v>
      </c>
      <c r="BN52" s="3">
        <f t="shared" si="20"/>
        <v>0.573492507022472</v>
      </c>
      <c r="BP52" s="9">
        <v>0.136975</v>
      </c>
      <c r="BQ52">
        <v>0.09</v>
      </c>
      <c r="BR52" s="5">
        <f t="shared" si="21"/>
        <v>0.046975</v>
      </c>
      <c r="BS52">
        <v>0.43</v>
      </c>
      <c r="BT52" s="3">
        <f t="shared" si="22"/>
        <v>0.109244186046512</v>
      </c>
      <c r="BV52" s="4">
        <v>6.31977505833333</v>
      </c>
      <c r="BW52">
        <v>6.18</v>
      </c>
      <c r="BX52" s="5">
        <f t="shared" si="23"/>
        <v>0.13977505833333</v>
      </c>
      <c r="BY52">
        <v>1.68</v>
      </c>
      <c r="BZ52" s="3">
        <f t="shared" si="24"/>
        <v>0.0831994394841252</v>
      </c>
      <c r="CB52" s="10">
        <v>98.4</v>
      </c>
      <c r="CC52">
        <v>54.3</v>
      </c>
      <c r="CD52" s="12">
        <f t="shared" si="25"/>
        <v>44.1</v>
      </c>
      <c r="CE52">
        <v>71.3</v>
      </c>
      <c r="CF52" s="3">
        <f t="shared" si="26"/>
        <v>0.61851332398317</v>
      </c>
      <c r="CH52" s="13">
        <v>30.6</v>
      </c>
      <c r="CI52">
        <v>22.6</v>
      </c>
      <c r="CJ52">
        <f t="shared" si="27"/>
        <v>8</v>
      </c>
      <c r="CK52">
        <v>25.1</v>
      </c>
      <c r="CL52">
        <f t="shared" si="28"/>
        <v>0.318725099601594</v>
      </c>
      <c r="CN52" s="10">
        <v>4.7</v>
      </c>
      <c r="CO52">
        <v>3</v>
      </c>
      <c r="CP52" s="12">
        <f t="shared" si="29"/>
        <v>1.7</v>
      </c>
      <c r="CQ52">
        <v>3.4</v>
      </c>
      <c r="CR52" s="3">
        <f t="shared" si="30"/>
        <v>0.5</v>
      </c>
    </row>
    <row r="53" spans="2:96">
      <c r="B53" s="1">
        <v>44825</v>
      </c>
      <c r="C53">
        <v>32416</v>
      </c>
      <c r="D53" s="2">
        <f t="shared" si="31"/>
        <v>12409</v>
      </c>
      <c r="E53">
        <v>31904</v>
      </c>
      <c r="F53" s="3">
        <f t="shared" si="0"/>
        <v>0.388948094282849</v>
      </c>
      <c r="H53" s="1">
        <v>44047.765503</v>
      </c>
      <c r="I53">
        <v>31145</v>
      </c>
      <c r="J53" s="2">
        <f t="shared" si="1"/>
        <v>12902.765503</v>
      </c>
      <c r="K53">
        <v>32760</v>
      </c>
      <c r="L53" s="3">
        <f t="shared" si="2"/>
        <v>0.393857310836386</v>
      </c>
      <c r="N53" s="4">
        <v>237.6900011625</v>
      </c>
      <c r="O53">
        <v>201.27</v>
      </c>
      <c r="P53" s="5">
        <f t="shared" si="3"/>
        <v>36.4200011625</v>
      </c>
      <c r="Q53">
        <v>79.69</v>
      </c>
      <c r="R53" s="3">
        <f t="shared" si="4"/>
        <v>0.457020970793073</v>
      </c>
      <c r="T53" s="4">
        <v>173.575001091666</v>
      </c>
      <c r="U53">
        <v>100.23</v>
      </c>
      <c r="V53" s="5">
        <f t="shared" si="5"/>
        <v>73.345001091666</v>
      </c>
      <c r="W53">
        <v>410.93</v>
      </c>
      <c r="X53" s="3">
        <f t="shared" si="6"/>
        <v>0.178485389462113</v>
      </c>
      <c r="Z53" s="4">
        <v>20.9937499833333</v>
      </c>
      <c r="AA53">
        <v>13.25</v>
      </c>
      <c r="AB53" s="5">
        <f t="shared" si="7"/>
        <v>7.7437499833333</v>
      </c>
      <c r="AC53">
        <v>33.93</v>
      </c>
      <c r="AD53" s="3">
        <f t="shared" si="8"/>
        <v>0.228227232046369</v>
      </c>
      <c r="AF53" s="4">
        <v>4.12</v>
      </c>
      <c r="AG53">
        <v>2.09</v>
      </c>
      <c r="AH53" s="5">
        <f t="shared" si="9"/>
        <v>2.03</v>
      </c>
      <c r="AI53">
        <v>3.85</v>
      </c>
      <c r="AJ53" s="3">
        <f t="shared" si="10"/>
        <v>0.527272727272727</v>
      </c>
      <c r="AL53" s="4">
        <v>6.94850430434783</v>
      </c>
      <c r="AM53">
        <v>6.1</v>
      </c>
      <c r="AN53" s="5">
        <f t="shared" si="11"/>
        <v>0.848504304347831</v>
      </c>
      <c r="AO53">
        <v>1.89</v>
      </c>
      <c r="AP53" s="3">
        <f t="shared" si="12"/>
        <v>0.448944076374514</v>
      </c>
      <c r="AR53" s="4">
        <v>1.38937500833333</v>
      </c>
      <c r="AS53">
        <v>0.02</v>
      </c>
      <c r="AT53" s="5">
        <f t="shared" si="13"/>
        <v>1.36937500833333</v>
      </c>
      <c r="AU53">
        <v>2.84</v>
      </c>
      <c r="AV53" s="3">
        <f t="shared" si="14"/>
        <v>0.482174298708919</v>
      </c>
      <c r="AX53" s="4">
        <v>16.1728666916667</v>
      </c>
      <c r="AY53">
        <v>3.44</v>
      </c>
      <c r="AZ53" s="5">
        <f t="shared" si="15"/>
        <v>12.7328666916667</v>
      </c>
      <c r="BA53">
        <v>29.17</v>
      </c>
      <c r="BB53" s="3">
        <f t="shared" si="16"/>
        <v>0.436505543080792</v>
      </c>
      <c r="BD53" s="4">
        <v>0.339</v>
      </c>
      <c r="BE53">
        <v>0.17</v>
      </c>
      <c r="BF53" s="5">
        <f t="shared" si="17"/>
        <v>0.169</v>
      </c>
      <c r="BG53">
        <v>4</v>
      </c>
      <c r="BH53" s="3">
        <f t="shared" si="18"/>
        <v>0.04225</v>
      </c>
      <c r="BJ53" s="9">
        <v>9.16883333333333</v>
      </c>
      <c r="BK53">
        <v>4.8</v>
      </c>
      <c r="BL53" s="5">
        <f t="shared" si="19"/>
        <v>4.36883333333333</v>
      </c>
      <c r="BM53">
        <v>8.9</v>
      </c>
      <c r="BN53" s="3">
        <f t="shared" si="20"/>
        <v>0.490880149812734</v>
      </c>
      <c r="BP53" s="9">
        <v>0.199066666666666</v>
      </c>
      <c r="BQ53">
        <v>0.09</v>
      </c>
      <c r="BR53" s="5">
        <f t="shared" si="21"/>
        <v>0.109066666666666</v>
      </c>
      <c r="BS53">
        <v>0.43</v>
      </c>
      <c r="BT53" s="3">
        <f t="shared" si="22"/>
        <v>0.253643410852712</v>
      </c>
      <c r="BV53" s="4">
        <v>6.41940839583333</v>
      </c>
      <c r="BW53">
        <v>6.18</v>
      </c>
      <c r="BX53" s="5">
        <f t="shared" si="23"/>
        <v>0.239408395833331</v>
      </c>
      <c r="BY53">
        <v>1.68</v>
      </c>
      <c r="BZ53" s="3">
        <f t="shared" si="24"/>
        <v>0.14250499751984</v>
      </c>
      <c r="CB53" s="10">
        <v>104.3</v>
      </c>
      <c r="CC53">
        <v>54.3</v>
      </c>
      <c r="CD53" s="12">
        <f t="shared" si="25"/>
        <v>50</v>
      </c>
      <c r="CE53">
        <v>71.3</v>
      </c>
      <c r="CF53" s="3">
        <f t="shared" si="26"/>
        <v>0.701262272089762</v>
      </c>
      <c r="CH53" s="13">
        <v>31.2</v>
      </c>
      <c r="CI53">
        <v>22.6</v>
      </c>
      <c r="CJ53">
        <f t="shared" si="27"/>
        <v>8.6</v>
      </c>
      <c r="CK53">
        <v>25.1</v>
      </c>
      <c r="CL53">
        <f t="shared" si="28"/>
        <v>0.342629482071713</v>
      </c>
      <c r="CN53" s="10">
        <v>4.2</v>
      </c>
      <c r="CO53">
        <v>3</v>
      </c>
      <c r="CP53" s="12">
        <f t="shared" si="29"/>
        <v>1.2</v>
      </c>
      <c r="CQ53">
        <v>3.4</v>
      </c>
      <c r="CR53" s="3">
        <f t="shared" si="30"/>
        <v>0.352941176470588</v>
      </c>
    </row>
    <row r="54" spans="2:96">
      <c r="B54" s="1">
        <v>48263</v>
      </c>
      <c r="C54">
        <v>32416</v>
      </c>
      <c r="D54" s="2">
        <f t="shared" si="31"/>
        <v>15847</v>
      </c>
      <c r="E54">
        <v>31904</v>
      </c>
      <c r="F54" s="3">
        <f t="shared" si="0"/>
        <v>0.49670887662989</v>
      </c>
      <c r="H54" s="1">
        <v>47782.2647704</v>
      </c>
      <c r="I54">
        <v>31145</v>
      </c>
      <c r="J54" s="2">
        <f t="shared" si="1"/>
        <v>16637.2647704</v>
      </c>
      <c r="K54">
        <v>32760</v>
      </c>
      <c r="L54" s="3">
        <f t="shared" si="2"/>
        <v>0.507853014969475</v>
      </c>
      <c r="N54" s="4">
        <v>248.636667245833</v>
      </c>
      <c r="O54">
        <v>201.27</v>
      </c>
      <c r="P54" s="5">
        <f t="shared" si="3"/>
        <v>47.366667245833</v>
      </c>
      <c r="Q54">
        <v>79.69</v>
      </c>
      <c r="R54" s="3">
        <f t="shared" si="4"/>
        <v>0.594386588603752</v>
      </c>
      <c r="T54" s="4">
        <v>180.1374999625</v>
      </c>
      <c r="U54">
        <v>100.23</v>
      </c>
      <c r="V54" s="5">
        <f t="shared" si="5"/>
        <v>79.9074999625</v>
      </c>
      <c r="W54">
        <v>410.93</v>
      </c>
      <c r="X54" s="3">
        <f t="shared" si="6"/>
        <v>0.194455259928698</v>
      </c>
      <c r="Z54" s="4">
        <v>22.8172916666666</v>
      </c>
      <c r="AA54">
        <v>13.25</v>
      </c>
      <c r="AB54" s="5">
        <f t="shared" si="7"/>
        <v>9.5672916666666</v>
      </c>
      <c r="AC54">
        <v>33.93</v>
      </c>
      <c r="AD54" s="3">
        <f t="shared" si="8"/>
        <v>0.281971460850769</v>
      </c>
      <c r="AF54" s="4">
        <v>4.19</v>
      </c>
      <c r="AG54">
        <v>2.09</v>
      </c>
      <c r="AH54" s="5">
        <f t="shared" si="9"/>
        <v>2.1</v>
      </c>
      <c r="AI54">
        <v>3.85</v>
      </c>
      <c r="AJ54" s="3">
        <f t="shared" si="10"/>
        <v>0.545454545454546</v>
      </c>
      <c r="AL54" s="4">
        <v>6.91109999</v>
      </c>
      <c r="AM54">
        <v>6.1</v>
      </c>
      <c r="AN54" s="5">
        <f t="shared" si="11"/>
        <v>0.811099990000001</v>
      </c>
      <c r="AO54">
        <v>1.89</v>
      </c>
      <c r="AP54" s="3">
        <f t="shared" si="12"/>
        <v>0.429153433862434</v>
      </c>
      <c r="AR54" s="4">
        <v>1.4595833375</v>
      </c>
      <c r="AS54">
        <v>0.02</v>
      </c>
      <c r="AT54" s="5">
        <f t="shared" si="13"/>
        <v>1.4395833375</v>
      </c>
      <c r="AU54">
        <v>2.84</v>
      </c>
      <c r="AV54" s="3">
        <f t="shared" si="14"/>
        <v>0.506895541373239</v>
      </c>
      <c r="AX54" s="4">
        <v>13.6222665541667</v>
      </c>
      <c r="AY54">
        <v>3.44</v>
      </c>
      <c r="AZ54" s="5">
        <f t="shared" si="15"/>
        <v>10.1822665541667</v>
      </c>
      <c r="BA54">
        <v>29.17</v>
      </c>
      <c r="BB54" s="3">
        <f t="shared" si="16"/>
        <v>0.349066388555595</v>
      </c>
      <c r="BD54" s="4">
        <v>0.663833325</v>
      </c>
      <c r="BE54">
        <v>0.17</v>
      </c>
      <c r="BF54" s="5">
        <f t="shared" si="17"/>
        <v>0.493833325</v>
      </c>
      <c r="BG54">
        <v>4</v>
      </c>
      <c r="BH54" s="3">
        <f t="shared" si="18"/>
        <v>0.12345833125</v>
      </c>
      <c r="BJ54" s="9">
        <v>9.40700005</v>
      </c>
      <c r="BK54">
        <v>4.8</v>
      </c>
      <c r="BL54" s="5">
        <f t="shared" si="19"/>
        <v>4.60700005</v>
      </c>
      <c r="BM54">
        <v>8.9</v>
      </c>
      <c r="BN54" s="3">
        <f t="shared" si="20"/>
        <v>0.51764045505618</v>
      </c>
      <c r="BP54" s="9">
        <v>0.209933333333333</v>
      </c>
      <c r="BQ54">
        <v>0.09</v>
      </c>
      <c r="BR54" s="5">
        <f t="shared" si="21"/>
        <v>0.119933333333333</v>
      </c>
      <c r="BS54">
        <v>0.43</v>
      </c>
      <c r="BT54" s="3">
        <f t="shared" si="22"/>
        <v>0.27891472868217</v>
      </c>
      <c r="BV54" s="4">
        <v>6.566875</v>
      </c>
      <c r="BW54">
        <v>6.18</v>
      </c>
      <c r="BX54" s="5">
        <f t="shared" si="23"/>
        <v>0.386875</v>
      </c>
      <c r="BY54">
        <v>1.68</v>
      </c>
      <c r="BZ54" s="3">
        <f t="shared" si="24"/>
        <v>0.230282738095238</v>
      </c>
      <c r="CB54" s="10">
        <v>101.4</v>
      </c>
      <c r="CC54">
        <v>54.3</v>
      </c>
      <c r="CD54" s="12">
        <f t="shared" si="25"/>
        <v>47.1</v>
      </c>
      <c r="CE54">
        <v>71.3</v>
      </c>
      <c r="CF54" s="3">
        <f t="shared" si="26"/>
        <v>0.660589060308556</v>
      </c>
      <c r="CH54" s="13">
        <v>29.3</v>
      </c>
      <c r="CI54">
        <v>22.6</v>
      </c>
      <c r="CJ54">
        <f t="shared" si="27"/>
        <v>6.7</v>
      </c>
      <c r="CK54">
        <v>25.1</v>
      </c>
      <c r="CL54">
        <f t="shared" si="28"/>
        <v>0.266932270916335</v>
      </c>
      <c r="CN54" s="10">
        <v>3.6</v>
      </c>
      <c r="CO54">
        <v>3</v>
      </c>
      <c r="CP54" s="12">
        <f t="shared" si="29"/>
        <v>0.6</v>
      </c>
      <c r="CQ54">
        <v>3.4</v>
      </c>
      <c r="CR54" s="3">
        <f t="shared" si="30"/>
        <v>0.176470588235294</v>
      </c>
    </row>
    <row r="55" spans="2:96">
      <c r="B55" s="1">
        <v>48276</v>
      </c>
      <c r="C55">
        <v>32416</v>
      </c>
      <c r="D55" s="2">
        <f t="shared" si="31"/>
        <v>15860</v>
      </c>
      <c r="E55">
        <v>31904</v>
      </c>
      <c r="F55" s="3">
        <f t="shared" si="0"/>
        <v>0.497116349047141</v>
      </c>
      <c r="H55" s="1">
        <v>47497.6917114</v>
      </c>
      <c r="I55">
        <v>31145</v>
      </c>
      <c r="J55" s="2">
        <f t="shared" si="1"/>
        <v>16352.6917114</v>
      </c>
      <c r="K55">
        <v>32760</v>
      </c>
      <c r="L55" s="3">
        <f t="shared" si="2"/>
        <v>0.499166413656899</v>
      </c>
      <c r="N55" s="4">
        <v>247.433333720833</v>
      </c>
      <c r="O55">
        <v>201.27</v>
      </c>
      <c r="P55" s="5">
        <f t="shared" si="3"/>
        <v>46.163333720833</v>
      </c>
      <c r="Q55">
        <v>79.69</v>
      </c>
      <c r="R55" s="3">
        <f t="shared" si="4"/>
        <v>0.57928640633496</v>
      </c>
      <c r="T55" s="4">
        <v>176.24999905</v>
      </c>
      <c r="U55">
        <v>100.23</v>
      </c>
      <c r="V55" s="5">
        <f t="shared" si="5"/>
        <v>76.01999905</v>
      </c>
      <c r="W55">
        <v>410.93</v>
      </c>
      <c r="X55" s="3">
        <f t="shared" si="6"/>
        <v>0.184995009003967</v>
      </c>
      <c r="Z55" s="4">
        <v>24.8541666708333</v>
      </c>
      <c r="AA55">
        <v>13.25</v>
      </c>
      <c r="AB55" s="5">
        <f t="shared" si="7"/>
        <v>11.6041666708333</v>
      </c>
      <c r="AC55">
        <v>33.93</v>
      </c>
      <c r="AD55" s="3">
        <f t="shared" si="8"/>
        <v>0.342003143850083</v>
      </c>
      <c r="AF55" s="4">
        <v>4.39</v>
      </c>
      <c r="AG55">
        <v>2.09</v>
      </c>
      <c r="AH55" s="5">
        <f t="shared" si="9"/>
        <v>2.3</v>
      </c>
      <c r="AI55">
        <v>3.85</v>
      </c>
      <c r="AJ55" s="3">
        <f t="shared" si="10"/>
        <v>0.597402597402597</v>
      </c>
      <c r="AL55" s="4">
        <v>6.87326316842105</v>
      </c>
      <c r="AM55">
        <v>6.1</v>
      </c>
      <c r="AN55" s="5">
        <f t="shared" si="11"/>
        <v>0.77326316842105</v>
      </c>
      <c r="AO55">
        <v>1.89</v>
      </c>
      <c r="AP55" s="3">
        <f t="shared" si="12"/>
        <v>0.409133951545529</v>
      </c>
      <c r="AR55" s="4">
        <v>1.393749975</v>
      </c>
      <c r="AS55">
        <v>0.02</v>
      </c>
      <c r="AT55" s="5">
        <f t="shared" si="13"/>
        <v>1.373749975</v>
      </c>
      <c r="AU55">
        <v>2.84</v>
      </c>
      <c r="AV55" s="3">
        <f t="shared" si="14"/>
        <v>0.483714779929577</v>
      </c>
      <c r="AX55" s="4">
        <v>12.9592666916667</v>
      </c>
      <c r="AY55">
        <v>3.44</v>
      </c>
      <c r="AZ55" s="5">
        <f t="shared" si="15"/>
        <v>9.5192666916667</v>
      </c>
      <c r="BA55">
        <v>29.17</v>
      </c>
      <c r="BB55" s="3">
        <f t="shared" si="16"/>
        <v>0.326337562278598</v>
      </c>
      <c r="BD55" s="4">
        <v>0.663833325</v>
      </c>
      <c r="BE55">
        <v>0.17</v>
      </c>
      <c r="BF55" s="5">
        <f t="shared" si="17"/>
        <v>0.493833325</v>
      </c>
      <c r="BG55">
        <v>4</v>
      </c>
      <c r="BH55" s="3">
        <f t="shared" si="18"/>
        <v>0.12345833125</v>
      </c>
      <c r="BJ55" s="9">
        <v>8.356000025</v>
      </c>
      <c r="BK55">
        <v>4.8</v>
      </c>
      <c r="BL55" s="5">
        <f t="shared" si="19"/>
        <v>3.556000025</v>
      </c>
      <c r="BM55">
        <v>8.9</v>
      </c>
      <c r="BN55" s="3">
        <f t="shared" si="20"/>
        <v>0.399550564606742</v>
      </c>
      <c r="BP55" s="9">
        <v>0.137066666666667</v>
      </c>
      <c r="BQ55">
        <v>0.09</v>
      </c>
      <c r="BR55" s="5">
        <f t="shared" si="21"/>
        <v>0.047066666666667</v>
      </c>
      <c r="BS55">
        <v>0.43</v>
      </c>
      <c r="BT55" s="3">
        <f t="shared" si="22"/>
        <v>0.109457364341086</v>
      </c>
      <c r="BV55" s="4">
        <v>6.58909997916667</v>
      </c>
      <c r="BW55">
        <v>6.18</v>
      </c>
      <c r="BX55" s="5">
        <f t="shared" si="23"/>
        <v>0.40909997916667</v>
      </c>
      <c r="BY55">
        <v>1.68</v>
      </c>
      <c r="BZ55" s="3">
        <f t="shared" si="24"/>
        <v>0.243511892361113</v>
      </c>
      <c r="CB55" s="10">
        <v>99.7</v>
      </c>
      <c r="CC55">
        <v>54.3</v>
      </c>
      <c r="CD55" s="12">
        <f t="shared" si="25"/>
        <v>45.4</v>
      </c>
      <c r="CE55">
        <v>71.3</v>
      </c>
      <c r="CF55" s="3">
        <f t="shared" si="26"/>
        <v>0.636746143057504</v>
      </c>
      <c r="CH55" s="13">
        <v>30.5</v>
      </c>
      <c r="CI55">
        <v>22.6</v>
      </c>
      <c r="CJ55">
        <f t="shared" si="27"/>
        <v>7.9</v>
      </c>
      <c r="CK55">
        <v>25.1</v>
      </c>
      <c r="CL55">
        <f t="shared" si="28"/>
        <v>0.314741035856574</v>
      </c>
      <c r="CN55" s="10">
        <v>4.5</v>
      </c>
      <c r="CO55">
        <v>3</v>
      </c>
      <c r="CP55" s="12">
        <f t="shared" si="29"/>
        <v>1.5</v>
      </c>
      <c r="CQ55">
        <v>3.4</v>
      </c>
      <c r="CR55" s="3">
        <f t="shared" si="30"/>
        <v>0.441176470588235</v>
      </c>
    </row>
    <row r="56" spans="2:96">
      <c r="B56" s="1">
        <v>42689</v>
      </c>
      <c r="C56">
        <v>32416</v>
      </c>
      <c r="D56" s="2">
        <f t="shared" si="31"/>
        <v>10273</v>
      </c>
      <c r="E56">
        <v>31904</v>
      </c>
      <c r="F56" s="3">
        <f t="shared" si="0"/>
        <v>0.321997241725176</v>
      </c>
      <c r="H56" s="1">
        <v>41923.0769046</v>
      </c>
      <c r="I56">
        <v>31145</v>
      </c>
      <c r="J56" s="2">
        <f t="shared" si="1"/>
        <v>10778.0769046</v>
      </c>
      <c r="K56">
        <v>32760</v>
      </c>
      <c r="L56" s="3">
        <f t="shared" si="2"/>
        <v>0.329001126514041</v>
      </c>
      <c r="N56" s="4">
        <v>245.286668133333</v>
      </c>
      <c r="O56">
        <v>201.27</v>
      </c>
      <c r="P56" s="5">
        <f t="shared" si="3"/>
        <v>44.016668133333</v>
      </c>
      <c r="Q56">
        <v>79.69</v>
      </c>
      <c r="R56" s="3">
        <f t="shared" si="4"/>
        <v>0.552348702890363</v>
      </c>
      <c r="T56" s="4">
        <v>191.416666670833</v>
      </c>
      <c r="U56">
        <v>100.23</v>
      </c>
      <c r="V56" s="5">
        <f t="shared" si="5"/>
        <v>91.186666670833</v>
      </c>
      <c r="W56">
        <v>410.93</v>
      </c>
      <c r="X56" s="3">
        <f t="shared" si="6"/>
        <v>0.221903162754807</v>
      </c>
      <c r="Z56" s="4">
        <v>26.0239583333333</v>
      </c>
      <c r="AA56">
        <v>13.25</v>
      </c>
      <c r="AB56" s="5">
        <f t="shared" si="7"/>
        <v>12.7739583333333</v>
      </c>
      <c r="AC56">
        <v>33.93</v>
      </c>
      <c r="AD56" s="3">
        <f t="shared" si="8"/>
        <v>0.376479762255623</v>
      </c>
      <c r="AF56" s="4">
        <v>3.69</v>
      </c>
      <c r="AG56">
        <v>2.09</v>
      </c>
      <c r="AH56" s="5">
        <f t="shared" si="9"/>
        <v>1.6</v>
      </c>
      <c r="AI56">
        <v>3.85</v>
      </c>
      <c r="AJ56" s="3">
        <f t="shared" si="10"/>
        <v>0.415584415584416</v>
      </c>
      <c r="AL56" s="4">
        <v>6.88346656190476</v>
      </c>
      <c r="AM56">
        <v>6.1</v>
      </c>
      <c r="AN56" s="5">
        <f t="shared" si="11"/>
        <v>0.783466561904761</v>
      </c>
      <c r="AO56">
        <v>1.89</v>
      </c>
      <c r="AP56" s="3">
        <f t="shared" si="12"/>
        <v>0.414532572436381</v>
      </c>
      <c r="AR56" s="4">
        <v>1.156666675</v>
      </c>
      <c r="AS56">
        <v>0.02</v>
      </c>
      <c r="AT56" s="5">
        <f t="shared" si="13"/>
        <v>1.136666675</v>
      </c>
      <c r="AU56">
        <v>2.84</v>
      </c>
      <c r="AV56" s="3">
        <f t="shared" si="14"/>
        <v>0.40023474471831</v>
      </c>
      <c r="AX56" s="4">
        <v>11.8447333083333</v>
      </c>
      <c r="AY56">
        <v>3.44</v>
      </c>
      <c r="AZ56" s="5">
        <f t="shared" si="15"/>
        <v>8.4047333083333</v>
      </c>
      <c r="BA56">
        <v>29.17</v>
      </c>
      <c r="BB56" s="3">
        <f t="shared" si="16"/>
        <v>0.288129355787909</v>
      </c>
      <c r="BD56" s="4">
        <v>0.461238095238095</v>
      </c>
      <c r="BE56">
        <v>0.17</v>
      </c>
      <c r="BF56" s="5">
        <f t="shared" si="17"/>
        <v>0.291238095238095</v>
      </c>
      <c r="BG56">
        <v>4</v>
      </c>
      <c r="BH56" s="3">
        <f t="shared" si="18"/>
        <v>0.0728095238095237</v>
      </c>
      <c r="BJ56" s="9">
        <v>8.67899999166667</v>
      </c>
      <c r="BK56">
        <v>4.8</v>
      </c>
      <c r="BL56" s="5">
        <f t="shared" si="19"/>
        <v>3.87899999166667</v>
      </c>
      <c r="BM56">
        <v>8.9</v>
      </c>
      <c r="BN56" s="3">
        <f t="shared" si="20"/>
        <v>0.435842695692884</v>
      </c>
      <c r="BP56" s="9">
        <v>0.161058333333333</v>
      </c>
      <c r="BQ56">
        <v>0.09</v>
      </c>
      <c r="BR56" s="5">
        <f t="shared" si="21"/>
        <v>0.071058333333333</v>
      </c>
      <c r="BS56">
        <v>0.43</v>
      </c>
      <c r="BT56" s="3">
        <f t="shared" si="22"/>
        <v>0.165251937984495</v>
      </c>
      <c r="BV56" s="4">
        <v>6.6610833625</v>
      </c>
      <c r="BW56">
        <v>6.18</v>
      </c>
      <c r="BX56" s="5">
        <f t="shared" si="23"/>
        <v>0.481083362500001</v>
      </c>
      <c r="BY56">
        <v>1.68</v>
      </c>
      <c r="BZ56" s="3">
        <f t="shared" si="24"/>
        <v>0.286359144345238</v>
      </c>
      <c r="CB56" s="10">
        <v>96.1</v>
      </c>
      <c r="CC56">
        <v>54.3</v>
      </c>
      <c r="CD56" s="12">
        <f t="shared" si="25"/>
        <v>41.8</v>
      </c>
      <c r="CE56">
        <v>71.3</v>
      </c>
      <c r="CF56" s="3">
        <f t="shared" si="26"/>
        <v>0.586255259467041</v>
      </c>
      <c r="CH56" s="13">
        <v>31.9</v>
      </c>
      <c r="CI56">
        <v>22.6</v>
      </c>
      <c r="CJ56">
        <f t="shared" si="27"/>
        <v>9.3</v>
      </c>
      <c r="CK56">
        <v>25.1</v>
      </c>
      <c r="CL56">
        <f t="shared" si="28"/>
        <v>0.370517928286852</v>
      </c>
      <c r="CN56" s="10">
        <v>3.3</v>
      </c>
      <c r="CO56">
        <v>3</v>
      </c>
      <c r="CP56" s="12">
        <f t="shared" si="29"/>
        <v>0.3</v>
      </c>
      <c r="CQ56">
        <v>3.4</v>
      </c>
      <c r="CR56" s="3">
        <f t="shared" si="30"/>
        <v>0.088235294117647</v>
      </c>
    </row>
    <row r="57" spans="2:96">
      <c r="B57" s="1">
        <v>44357</v>
      </c>
      <c r="C57">
        <v>32416</v>
      </c>
      <c r="D57" s="2">
        <f t="shared" si="31"/>
        <v>11941</v>
      </c>
      <c r="E57">
        <v>31904</v>
      </c>
      <c r="F57" s="3">
        <f t="shared" si="0"/>
        <v>0.374279087261785</v>
      </c>
      <c r="H57" s="1">
        <v>43393.6793213</v>
      </c>
      <c r="I57">
        <v>31145</v>
      </c>
      <c r="J57" s="2">
        <f t="shared" si="1"/>
        <v>12248.6793213</v>
      </c>
      <c r="K57">
        <v>32760</v>
      </c>
      <c r="L57" s="3">
        <f t="shared" si="2"/>
        <v>0.373891310173993</v>
      </c>
      <c r="N57" s="4">
        <v>251.4033362125</v>
      </c>
      <c r="O57">
        <v>201.27</v>
      </c>
      <c r="P57" s="5">
        <f t="shared" si="3"/>
        <v>50.1333362125</v>
      </c>
      <c r="Q57">
        <v>79.69</v>
      </c>
      <c r="R57" s="3">
        <f t="shared" si="4"/>
        <v>0.629104482526038</v>
      </c>
      <c r="T57" s="4">
        <v>185.362501783333</v>
      </c>
      <c r="U57">
        <v>100.23</v>
      </c>
      <c r="V57" s="5">
        <f t="shared" si="5"/>
        <v>85.132501783333</v>
      </c>
      <c r="W57">
        <v>410.93</v>
      </c>
      <c r="X57" s="3">
        <f t="shared" si="6"/>
        <v>0.207170325318991</v>
      </c>
      <c r="Z57" s="4">
        <v>23.3222916708333</v>
      </c>
      <c r="AA57">
        <v>13.25</v>
      </c>
      <c r="AB57" s="5">
        <f t="shared" si="7"/>
        <v>10.0722916708333</v>
      </c>
      <c r="AC57">
        <v>33.93</v>
      </c>
      <c r="AD57" s="3">
        <f t="shared" si="8"/>
        <v>0.296855044822673</v>
      </c>
      <c r="AF57" s="4">
        <v>4.57</v>
      </c>
      <c r="AG57">
        <v>2.09</v>
      </c>
      <c r="AH57" s="5">
        <f t="shared" si="9"/>
        <v>2.48</v>
      </c>
      <c r="AI57">
        <v>3.85</v>
      </c>
      <c r="AJ57" s="3">
        <f t="shared" si="10"/>
        <v>0.644155844155844</v>
      </c>
      <c r="AL57" s="4">
        <v>6.82533332857143</v>
      </c>
      <c r="AM57">
        <v>6.1</v>
      </c>
      <c r="AN57" s="5">
        <f t="shared" si="11"/>
        <v>0.725333328571431</v>
      </c>
      <c r="AO57">
        <v>1.89</v>
      </c>
      <c r="AP57" s="3">
        <f t="shared" si="12"/>
        <v>0.383774247921392</v>
      </c>
      <c r="AR57" s="4">
        <v>1.16062501666667</v>
      </c>
      <c r="AS57">
        <v>0.02</v>
      </c>
      <c r="AT57" s="5">
        <f t="shared" si="13"/>
        <v>1.14062501666667</v>
      </c>
      <c r="AU57">
        <v>2.84</v>
      </c>
      <c r="AV57" s="3">
        <f t="shared" si="14"/>
        <v>0.401628526995306</v>
      </c>
      <c r="AX57" s="4">
        <v>11.696533325</v>
      </c>
      <c r="AY57">
        <v>3.44</v>
      </c>
      <c r="AZ57" s="5">
        <f t="shared" si="15"/>
        <v>8.256533325</v>
      </c>
      <c r="BA57">
        <v>29.17</v>
      </c>
      <c r="BB57" s="3">
        <f t="shared" si="16"/>
        <v>0.283048794137813</v>
      </c>
      <c r="BD57" s="4">
        <v>0.640190485714286</v>
      </c>
      <c r="BE57">
        <v>0.17</v>
      </c>
      <c r="BF57" s="5">
        <f t="shared" si="17"/>
        <v>0.470190485714286</v>
      </c>
      <c r="BG57">
        <v>4</v>
      </c>
      <c r="BH57" s="3">
        <f t="shared" si="18"/>
        <v>0.117547621428572</v>
      </c>
      <c r="BJ57" s="4">
        <v>8.75941669166667</v>
      </c>
      <c r="BK57">
        <v>4.8</v>
      </c>
      <c r="BL57" s="5">
        <f t="shared" si="19"/>
        <v>3.95941669166667</v>
      </c>
      <c r="BM57">
        <v>8.9</v>
      </c>
      <c r="BN57" s="3">
        <f t="shared" si="20"/>
        <v>0.444878279962547</v>
      </c>
      <c r="BP57" s="4">
        <v>0.222208333333333</v>
      </c>
      <c r="BQ57">
        <v>0.09</v>
      </c>
      <c r="BR57" s="5">
        <f t="shared" si="21"/>
        <v>0.132208333333333</v>
      </c>
      <c r="BS57">
        <v>0.43</v>
      </c>
      <c r="BT57" s="3">
        <f t="shared" si="22"/>
        <v>0.307461240310077</v>
      </c>
      <c r="BV57" s="4">
        <v>6.6822583375</v>
      </c>
      <c r="BW57">
        <v>6.18</v>
      </c>
      <c r="BX57" s="5">
        <f t="shared" si="23"/>
        <v>0.502258337500001</v>
      </c>
      <c r="BY57">
        <v>1.68</v>
      </c>
      <c r="BZ57" s="3">
        <f t="shared" si="24"/>
        <v>0.298963296130953</v>
      </c>
      <c r="CB57" s="10">
        <v>95.8</v>
      </c>
      <c r="CC57">
        <v>54.3</v>
      </c>
      <c r="CD57" s="12">
        <f t="shared" si="25"/>
        <v>41.5</v>
      </c>
      <c r="CE57">
        <v>71.3</v>
      </c>
      <c r="CF57" s="3">
        <f t="shared" si="26"/>
        <v>0.582047685834502</v>
      </c>
      <c r="CH57" s="13">
        <v>29.4</v>
      </c>
      <c r="CI57">
        <v>22.6</v>
      </c>
      <c r="CJ57">
        <f t="shared" si="27"/>
        <v>6.8</v>
      </c>
      <c r="CK57">
        <v>25.1</v>
      </c>
      <c r="CL57">
        <f t="shared" si="28"/>
        <v>0.270916334661354</v>
      </c>
      <c r="CN57" s="10">
        <v>3.8</v>
      </c>
      <c r="CO57">
        <v>3</v>
      </c>
      <c r="CP57" s="12">
        <f t="shared" si="29"/>
        <v>0.8</v>
      </c>
      <c r="CQ57">
        <v>3.4</v>
      </c>
      <c r="CR57" s="3">
        <f t="shared" si="30"/>
        <v>0.235294117647059</v>
      </c>
    </row>
    <row r="58" spans="2:96">
      <c r="B58" s="1">
        <v>40258</v>
      </c>
      <c r="C58">
        <v>32416</v>
      </c>
      <c r="D58" s="2">
        <f t="shared" si="31"/>
        <v>7842</v>
      </c>
      <c r="E58">
        <v>31904</v>
      </c>
      <c r="F58" s="3">
        <f t="shared" si="0"/>
        <v>0.245799899699097</v>
      </c>
      <c r="H58" s="1">
        <v>40211.2670287</v>
      </c>
      <c r="I58">
        <v>31145</v>
      </c>
      <c r="J58" s="2">
        <f t="shared" si="1"/>
        <v>9066.2670287</v>
      </c>
      <c r="K58">
        <v>32760</v>
      </c>
      <c r="L58" s="3">
        <f t="shared" si="2"/>
        <v>0.276748077799145</v>
      </c>
      <c r="N58" s="4">
        <v>262.103331254167</v>
      </c>
      <c r="O58">
        <v>201.27</v>
      </c>
      <c r="P58" s="5">
        <f t="shared" si="3"/>
        <v>60.833331254167</v>
      </c>
      <c r="Q58">
        <v>79.69</v>
      </c>
      <c r="R58" s="3">
        <f t="shared" si="4"/>
        <v>0.763374717708207</v>
      </c>
      <c r="T58" s="4">
        <v>191.120834358333</v>
      </c>
      <c r="U58">
        <v>100.23</v>
      </c>
      <c r="V58" s="5">
        <f t="shared" si="5"/>
        <v>90.890834358333</v>
      </c>
      <c r="W58">
        <v>410.93</v>
      </c>
      <c r="X58" s="3">
        <f t="shared" si="6"/>
        <v>0.221183253494106</v>
      </c>
      <c r="Z58" s="4">
        <v>28.0354166208333</v>
      </c>
      <c r="AA58">
        <v>13.25</v>
      </c>
      <c r="AB58" s="5">
        <f t="shared" si="7"/>
        <v>14.7854166208333</v>
      </c>
      <c r="AC58">
        <v>33.93</v>
      </c>
      <c r="AD58" s="3">
        <f t="shared" si="8"/>
        <v>0.435762352514981</v>
      </c>
      <c r="AF58" s="4">
        <v>4.16</v>
      </c>
      <c r="AG58">
        <v>2.09</v>
      </c>
      <c r="AH58" s="5">
        <f t="shared" si="9"/>
        <v>2.07</v>
      </c>
      <c r="AI58">
        <v>3.85</v>
      </c>
      <c r="AJ58" s="3">
        <f t="shared" si="10"/>
        <v>0.537662337662338</v>
      </c>
      <c r="AL58" s="4">
        <v>6.91853330952381</v>
      </c>
      <c r="AM58">
        <v>6.1</v>
      </c>
      <c r="AN58" s="5">
        <f t="shared" si="11"/>
        <v>0.818533309523811</v>
      </c>
      <c r="AO58">
        <v>1.89</v>
      </c>
      <c r="AP58" s="3">
        <f t="shared" si="12"/>
        <v>0.433086407155455</v>
      </c>
      <c r="AR58" s="4">
        <v>1.12291665833333</v>
      </c>
      <c r="AS58">
        <v>0.02</v>
      </c>
      <c r="AT58" s="5">
        <f t="shared" si="13"/>
        <v>1.10291665833333</v>
      </c>
      <c r="AU58">
        <v>2.84</v>
      </c>
      <c r="AV58" s="3">
        <f t="shared" si="14"/>
        <v>0.388350936032863</v>
      </c>
      <c r="AX58" s="4">
        <v>13.8684000833333</v>
      </c>
      <c r="AY58">
        <v>3.44</v>
      </c>
      <c r="AZ58" s="5">
        <f t="shared" si="15"/>
        <v>10.4284000833333</v>
      </c>
      <c r="BA58">
        <v>29.17</v>
      </c>
      <c r="BB58" s="3">
        <f t="shared" si="16"/>
        <v>0.357504288081361</v>
      </c>
      <c r="BD58" s="4">
        <v>0.913578968421053</v>
      </c>
      <c r="BE58">
        <v>0.17</v>
      </c>
      <c r="BF58" s="5">
        <f t="shared" si="17"/>
        <v>0.743578968421053</v>
      </c>
      <c r="BG58">
        <v>4</v>
      </c>
      <c r="BH58" s="3">
        <f t="shared" si="18"/>
        <v>0.185894742105263</v>
      </c>
      <c r="BJ58" s="4">
        <v>9.73233332083333</v>
      </c>
      <c r="BK58">
        <v>4.8</v>
      </c>
      <c r="BL58" s="5">
        <f t="shared" si="19"/>
        <v>4.93233332083333</v>
      </c>
      <c r="BM58">
        <v>8.9</v>
      </c>
      <c r="BN58" s="3">
        <f t="shared" si="20"/>
        <v>0.554194755149812</v>
      </c>
      <c r="BP58" s="4">
        <v>0.246991666666667</v>
      </c>
      <c r="BQ58">
        <v>0.09</v>
      </c>
      <c r="BR58" s="5">
        <f t="shared" si="21"/>
        <v>0.156991666666667</v>
      </c>
      <c r="BS58">
        <v>0.43</v>
      </c>
      <c r="BT58" s="3">
        <f t="shared" si="22"/>
        <v>0.365096899224807</v>
      </c>
      <c r="BV58" s="4">
        <v>6.66172497916667</v>
      </c>
      <c r="BW58">
        <v>6.18</v>
      </c>
      <c r="BX58" s="5">
        <f t="shared" si="23"/>
        <v>0.48172497916667</v>
      </c>
      <c r="BY58">
        <v>1.68</v>
      </c>
      <c r="BZ58" s="3">
        <f t="shared" si="24"/>
        <v>0.28674105902778</v>
      </c>
      <c r="CB58" s="10">
        <v>96.3</v>
      </c>
      <c r="CC58">
        <v>54.3</v>
      </c>
      <c r="CD58" s="12">
        <f t="shared" si="25"/>
        <v>42</v>
      </c>
      <c r="CE58">
        <v>71.3</v>
      </c>
      <c r="CF58" s="3">
        <f t="shared" si="26"/>
        <v>0.5890603085554</v>
      </c>
      <c r="CH58" s="13">
        <v>30.1</v>
      </c>
      <c r="CI58">
        <v>22.6</v>
      </c>
      <c r="CJ58">
        <f t="shared" si="27"/>
        <v>7.5</v>
      </c>
      <c r="CK58">
        <v>25.1</v>
      </c>
      <c r="CL58">
        <f t="shared" si="28"/>
        <v>0.298804780876494</v>
      </c>
      <c r="CN58" s="11">
        <v>3.9</v>
      </c>
      <c r="CO58">
        <v>3</v>
      </c>
      <c r="CP58" s="12">
        <f t="shared" si="29"/>
        <v>0.9</v>
      </c>
      <c r="CQ58">
        <v>3.4</v>
      </c>
      <c r="CR58" s="3">
        <f t="shared" si="30"/>
        <v>0.264705882352941</v>
      </c>
    </row>
    <row r="59" spans="2:96">
      <c r="B59" s="1">
        <v>38579</v>
      </c>
      <c r="C59">
        <v>32416</v>
      </c>
      <c r="D59" s="2">
        <f t="shared" si="31"/>
        <v>6163</v>
      </c>
      <c r="E59">
        <v>31904</v>
      </c>
      <c r="F59" s="3">
        <f t="shared" si="0"/>
        <v>0.193173269809428</v>
      </c>
      <c r="H59" s="1">
        <v>37932.3483887</v>
      </c>
      <c r="I59">
        <v>31145</v>
      </c>
      <c r="J59" s="2">
        <f t="shared" si="1"/>
        <v>6787.3483887</v>
      </c>
      <c r="K59">
        <v>32760</v>
      </c>
      <c r="L59" s="3">
        <f t="shared" si="2"/>
        <v>0.207184016749084</v>
      </c>
      <c r="N59" s="4">
        <v>266.369519919048</v>
      </c>
      <c r="O59">
        <v>201.27</v>
      </c>
      <c r="P59" s="5">
        <f t="shared" si="3"/>
        <v>65.099519919048</v>
      </c>
      <c r="Q59">
        <v>79.69</v>
      </c>
      <c r="R59" s="3">
        <f t="shared" si="4"/>
        <v>0.816909523391241</v>
      </c>
      <c r="T59" s="4">
        <v>188.87142872381</v>
      </c>
      <c r="U59">
        <v>100.23</v>
      </c>
      <c r="V59" s="5">
        <f t="shared" si="5"/>
        <v>88.64142872381</v>
      </c>
      <c r="W59">
        <v>410.93</v>
      </c>
      <c r="X59" s="3">
        <f t="shared" si="6"/>
        <v>0.215709314783077</v>
      </c>
      <c r="Z59" s="4">
        <v>30.0269047857143</v>
      </c>
      <c r="AA59">
        <v>13.25</v>
      </c>
      <c r="AB59" s="5">
        <f t="shared" si="7"/>
        <v>16.7769047857143</v>
      </c>
      <c r="AC59">
        <v>33.93</v>
      </c>
      <c r="AD59" s="3">
        <f t="shared" si="8"/>
        <v>0.494456374468444</v>
      </c>
      <c r="AF59" s="4">
        <v>3.76</v>
      </c>
      <c r="AG59">
        <v>2.09</v>
      </c>
      <c r="AH59" s="5">
        <f t="shared" si="9"/>
        <v>1.67</v>
      </c>
      <c r="AI59">
        <v>3.85</v>
      </c>
      <c r="AJ59" s="3">
        <f t="shared" si="10"/>
        <v>0.433766233766234</v>
      </c>
      <c r="AL59" s="4">
        <v>6.90516845263158</v>
      </c>
      <c r="AM59">
        <v>6.1</v>
      </c>
      <c r="AN59" s="5">
        <f t="shared" si="11"/>
        <v>0.80516845263158</v>
      </c>
      <c r="AO59">
        <v>1.89</v>
      </c>
      <c r="AP59" s="3">
        <f t="shared" si="12"/>
        <v>0.426015054302423</v>
      </c>
      <c r="AR59" s="4">
        <v>1.10166665416667</v>
      </c>
      <c r="AS59">
        <v>0.02</v>
      </c>
      <c r="AT59" s="5">
        <f t="shared" si="13"/>
        <v>1.08166665416667</v>
      </c>
      <c r="AU59">
        <v>2.84</v>
      </c>
      <c r="AV59" s="3">
        <f t="shared" si="14"/>
        <v>0.380868540199532</v>
      </c>
      <c r="AX59" s="4">
        <v>13.7448383428571</v>
      </c>
      <c r="AY59">
        <v>3.44</v>
      </c>
      <c r="AZ59" s="5">
        <f t="shared" si="15"/>
        <v>10.3048383428571</v>
      </c>
      <c r="BA59">
        <v>29.17</v>
      </c>
      <c r="BB59" s="3">
        <f t="shared" si="16"/>
        <v>0.353268369655711</v>
      </c>
      <c r="BD59" s="4">
        <v>2.1730476</v>
      </c>
      <c r="BE59">
        <v>0.17</v>
      </c>
      <c r="BF59" s="5">
        <f t="shared" si="17"/>
        <v>2.0030476</v>
      </c>
      <c r="BG59">
        <v>4</v>
      </c>
      <c r="BH59" s="3">
        <f t="shared" si="18"/>
        <v>0.5007619</v>
      </c>
      <c r="BJ59" s="4">
        <v>8.50228575714286</v>
      </c>
      <c r="BK59">
        <v>4.8</v>
      </c>
      <c r="BL59" s="5">
        <f t="shared" si="19"/>
        <v>3.70228575714286</v>
      </c>
      <c r="BM59">
        <v>8.9</v>
      </c>
      <c r="BN59" s="3">
        <f t="shared" si="20"/>
        <v>0.415987163723917</v>
      </c>
      <c r="BP59" s="4">
        <v>0.247542857142857</v>
      </c>
      <c r="BQ59">
        <v>0.09</v>
      </c>
      <c r="BR59" s="5">
        <f t="shared" si="21"/>
        <v>0.157542857142857</v>
      </c>
      <c r="BS59">
        <v>0.43</v>
      </c>
      <c r="BT59" s="3">
        <f t="shared" si="22"/>
        <v>0.366378737541528</v>
      </c>
      <c r="BV59" s="4">
        <v>6.58933335238095</v>
      </c>
      <c r="BW59">
        <v>6.18</v>
      </c>
      <c r="BX59" s="5">
        <f t="shared" si="23"/>
        <v>0.40933335238095</v>
      </c>
      <c r="BY59">
        <v>1.68</v>
      </c>
      <c r="BZ59" s="3">
        <f t="shared" si="24"/>
        <v>0.243650804988661</v>
      </c>
      <c r="CB59" s="10">
        <v>98.9</v>
      </c>
      <c r="CC59">
        <v>54.3</v>
      </c>
      <c r="CD59" s="12">
        <f t="shared" si="25"/>
        <v>44.6</v>
      </c>
      <c r="CE59">
        <v>71.3</v>
      </c>
      <c r="CF59" s="3">
        <f t="shared" si="26"/>
        <v>0.625525946704067</v>
      </c>
      <c r="CH59" s="13">
        <v>31.6</v>
      </c>
      <c r="CI59">
        <v>22.6</v>
      </c>
      <c r="CJ59">
        <f t="shared" si="27"/>
        <v>9</v>
      </c>
      <c r="CK59">
        <v>25.1</v>
      </c>
      <c r="CL59">
        <f t="shared" si="28"/>
        <v>0.358565737051793</v>
      </c>
      <c r="CN59" s="10">
        <v>4.2</v>
      </c>
      <c r="CO59">
        <v>3</v>
      </c>
      <c r="CP59" s="12">
        <f t="shared" si="29"/>
        <v>1.2</v>
      </c>
      <c r="CQ59">
        <v>3.4</v>
      </c>
      <c r="CR59" s="3">
        <f t="shared" si="30"/>
        <v>0.352941176470588</v>
      </c>
    </row>
    <row r="60" spans="2:96">
      <c r="B60" s="1">
        <v>42568</v>
      </c>
      <c r="C60">
        <v>32416</v>
      </c>
      <c r="D60" s="2">
        <f t="shared" si="31"/>
        <v>10152</v>
      </c>
      <c r="E60">
        <v>31904</v>
      </c>
      <c r="F60" s="3">
        <f t="shared" si="0"/>
        <v>0.318204613841525</v>
      </c>
      <c r="H60" s="1">
        <v>41230.0424501</v>
      </c>
      <c r="I60">
        <v>31145</v>
      </c>
      <c r="J60" s="2">
        <f t="shared" si="1"/>
        <v>10085.0424501</v>
      </c>
      <c r="K60">
        <v>32760</v>
      </c>
      <c r="L60" s="3">
        <f t="shared" si="2"/>
        <v>0.307846228635531</v>
      </c>
      <c r="N60" s="4">
        <v>271.33200072</v>
      </c>
      <c r="O60">
        <v>201.27</v>
      </c>
      <c r="P60" s="5">
        <f t="shared" si="3"/>
        <v>70.06200072</v>
      </c>
      <c r="Q60">
        <v>79.69</v>
      </c>
      <c r="R60" s="3">
        <f t="shared" si="4"/>
        <v>0.87918183862467</v>
      </c>
      <c r="T60" s="4">
        <v>193.209999465</v>
      </c>
      <c r="U60">
        <v>100.23</v>
      </c>
      <c r="V60" s="5">
        <f t="shared" si="5"/>
        <v>92.979999465</v>
      </c>
      <c r="W60">
        <v>410.93</v>
      </c>
      <c r="X60" s="3">
        <f t="shared" si="6"/>
        <v>0.226267246161147</v>
      </c>
      <c r="Z60" s="4">
        <v>29.01650014</v>
      </c>
      <c r="AA60">
        <v>13.25</v>
      </c>
      <c r="AB60" s="5">
        <f t="shared" si="7"/>
        <v>15.76650014</v>
      </c>
      <c r="AC60">
        <v>33.93</v>
      </c>
      <c r="AD60" s="3">
        <f t="shared" si="8"/>
        <v>0.464677280872384</v>
      </c>
      <c r="AF60" s="4">
        <v>4.33</v>
      </c>
      <c r="AG60">
        <v>2.09</v>
      </c>
      <c r="AH60" s="5">
        <f t="shared" si="9"/>
        <v>2.24</v>
      </c>
      <c r="AI60">
        <v>3.85</v>
      </c>
      <c r="AJ60" s="3">
        <f t="shared" si="10"/>
        <v>0.581818181818182</v>
      </c>
      <c r="AL60" s="4">
        <v>6.89556002</v>
      </c>
      <c r="AM60">
        <v>6.1</v>
      </c>
      <c r="AN60" s="5">
        <f t="shared" si="11"/>
        <v>0.79556002</v>
      </c>
      <c r="AO60">
        <v>1.89</v>
      </c>
      <c r="AP60" s="3">
        <f t="shared" si="12"/>
        <v>0.420931227513227</v>
      </c>
      <c r="AR60" s="4">
        <v>1.22729167916667</v>
      </c>
      <c r="AS60">
        <v>0.02</v>
      </c>
      <c r="AT60" s="5">
        <f t="shared" si="13"/>
        <v>1.20729167916667</v>
      </c>
      <c r="AU60">
        <v>2.84</v>
      </c>
      <c r="AV60" s="3">
        <f t="shared" si="14"/>
        <v>0.425102703931926</v>
      </c>
      <c r="AX60" s="4">
        <v>13.1898000125</v>
      </c>
      <c r="AY60">
        <v>3.44</v>
      </c>
      <c r="AZ60" s="5">
        <f t="shared" si="15"/>
        <v>9.7498000125</v>
      </c>
      <c r="BA60">
        <v>29.17</v>
      </c>
      <c r="BB60" s="3">
        <f t="shared" si="16"/>
        <v>0.334240658639013</v>
      </c>
      <c r="BD60" s="4">
        <v>2.8810833375</v>
      </c>
      <c r="BE60">
        <v>0.17</v>
      </c>
      <c r="BF60" s="5">
        <f t="shared" si="17"/>
        <v>2.7110833375</v>
      </c>
      <c r="BG60">
        <v>4</v>
      </c>
      <c r="BH60" s="3">
        <f t="shared" si="18"/>
        <v>0.677770834375</v>
      </c>
      <c r="BJ60" s="4">
        <v>10.401899985</v>
      </c>
      <c r="BK60">
        <v>4.8</v>
      </c>
      <c r="BL60" s="5">
        <f t="shared" si="19"/>
        <v>5.601899985</v>
      </c>
      <c r="BM60">
        <v>8.9</v>
      </c>
      <c r="BN60" s="3">
        <f t="shared" si="20"/>
        <v>0.629426964606742</v>
      </c>
      <c r="BP60" s="4">
        <v>0.23239</v>
      </c>
      <c r="BQ60">
        <v>0.09</v>
      </c>
      <c r="BR60" s="5">
        <f t="shared" si="21"/>
        <v>0.14239</v>
      </c>
      <c r="BS60">
        <v>0.43</v>
      </c>
      <c r="BT60" s="3">
        <f t="shared" si="22"/>
        <v>0.331139534883721</v>
      </c>
      <c r="BV60" s="4">
        <v>6.604359995</v>
      </c>
      <c r="BW60">
        <v>6.18</v>
      </c>
      <c r="BX60" s="5">
        <f t="shared" si="23"/>
        <v>0.424359995000001</v>
      </c>
      <c r="BY60">
        <v>1.68</v>
      </c>
      <c r="BZ60" s="3">
        <f t="shared" si="24"/>
        <v>0.252595235119048</v>
      </c>
      <c r="CB60" s="10">
        <v>97.2</v>
      </c>
      <c r="CC60">
        <v>54.3</v>
      </c>
      <c r="CD60" s="12">
        <f t="shared" si="25"/>
        <v>42.9</v>
      </c>
      <c r="CE60">
        <v>71.3</v>
      </c>
      <c r="CF60" s="3">
        <f t="shared" si="26"/>
        <v>0.601683029453016</v>
      </c>
      <c r="CH60" s="13">
        <v>30.6</v>
      </c>
      <c r="CI60">
        <v>22.6</v>
      </c>
      <c r="CJ60">
        <f t="shared" si="27"/>
        <v>8</v>
      </c>
      <c r="CK60">
        <v>25.1</v>
      </c>
      <c r="CL60">
        <f t="shared" si="28"/>
        <v>0.318725099601594</v>
      </c>
      <c r="CN60" s="10">
        <v>3.7</v>
      </c>
      <c r="CO60">
        <v>3</v>
      </c>
      <c r="CP60" s="12">
        <f t="shared" si="29"/>
        <v>0.7</v>
      </c>
      <c r="CQ60">
        <v>3.4</v>
      </c>
      <c r="CR60" s="3">
        <f t="shared" si="30"/>
        <v>0.205882352941177</v>
      </c>
    </row>
    <row r="61" spans="2:96">
      <c r="B61" s="1">
        <v>41698</v>
      </c>
      <c r="C61">
        <v>32416</v>
      </c>
      <c r="D61" s="2">
        <f t="shared" si="31"/>
        <v>9282</v>
      </c>
      <c r="E61">
        <v>31904</v>
      </c>
      <c r="F61" s="3">
        <f t="shared" si="0"/>
        <v>0.290935305917753</v>
      </c>
      <c r="H61" s="1">
        <v>40288.9923096</v>
      </c>
      <c r="I61">
        <v>31145</v>
      </c>
      <c r="J61" s="2">
        <f t="shared" si="1"/>
        <v>9143.9923096</v>
      </c>
      <c r="K61">
        <v>32760</v>
      </c>
      <c r="L61" s="3">
        <f t="shared" si="2"/>
        <v>0.279120644371184</v>
      </c>
      <c r="N61" s="4">
        <v>262.178181736364</v>
      </c>
      <c r="O61">
        <v>201.27</v>
      </c>
      <c r="P61" s="5">
        <f t="shared" si="3"/>
        <v>60.908181736364</v>
      </c>
      <c r="Q61">
        <v>79.69</v>
      </c>
      <c r="R61" s="3">
        <f t="shared" si="4"/>
        <v>0.764313988409637</v>
      </c>
      <c r="T61" s="4">
        <v>199.277269881818</v>
      </c>
      <c r="U61">
        <v>100.23</v>
      </c>
      <c r="V61" s="5">
        <f t="shared" si="5"/>
        <v>99.047269881818</v>
      </c>
      <c r="W61">
        <v>410.93</v>
      </c>
      <c r="X61" s="3">
        <f t="shared" si="6"/>
        <v>0.2410319759614</v>
      </c>
      <c r="Z61" s="4">
        <v>27.060454490909</v>
      </c>
      <c r="AA61">
        <v>13.25</v>
      </c>
      <c r="AB61" s="5">
        <f t="shared" si="7"/>
        <v>13.810454490909</v>
      </c>
      <c r="AC61">
        <v>33.93</v>
      </c>
      <c r="AD61" s="3">
        <f t="shared" si="8"/>
        <v>0.40702783645473</v>
      </c>
      <c r="AF61" s="4">
        <v>3.66</v>
      </c>
      <c r="AG61">
        <v>2.09</v>
      </c>
      <c r="AH61" s="5">
        <f t="shared" si="9"/>
        <v>1.57</v>
      </c>
      <c r="AI61">
        <v>3.85</v>
      </c>
      <c r="AJ61" s="3">
        <f t="shared" si="10"/>
        <v>0.407792207792208</v>
      </c>
      <c r="AL61" s="4">
        <v>6.82533332857143</v>
      </c>
      <c r="AM61">
        <v>6.1</v>
      </c>
      <c r="AN61" s="5">
        <f t="shared" si="11"/>
        <v>0.725333328571431</v>
      </c>
      <c r="AO61">
        <v>1.89</v>
      </c>
      <c r="AP61" s="3">
        <f t="shared" si="12"/>
        <v>0.383774247921392</v>
      </c>
      <c r="AR61" s="4">
        <v>0.270227272727272</v>
      </c>
      <c r="AS61">
        <v>0.02</v>
      </c>
      <c r="AT61" s="5">
        <f t="shared" si="13"/>
        <v>0.250227272727272</v>
      </c>
      <c r="AU61">
        <v>2.84</v>
      </c>
      <c r="AV61" s="3">
        <f t="shared" si="14"/>
        <v>0.0881081946222789</v>
      </c>
      <c r="AX61" s="4">
        <v>8.74072725</v>
      </c>
      <c r="AY61">
        <v>3.44</v>
      </c>
      <c r="AZ61" s="5">
        <f t="shared" si="15"/>
        <v>5.30072725</v>
      </c>
      <c r="BA61">
        <v>29.17</v>
      </c>
      <c r="BB61" s="3">
        <f t="shared" si="16"/>
        <v>0.181718452176894</v>
      </c>
      <c r="BD61" s="4">
        <v>1.82309091363636</v>
      </c>
      <c r="BE61">
        <v>0.17</v>
      </c>
      <c r="BF61" s="5">
        <f t="shared" si="17"/>
        <v>1.65309091363636</v>
      </c>
      <c r="BG61">
        <v>4</v>
      </c>
      <c r="BH61" s="3">
        <f t="shared" si="18"/>
        <v>0.41327272840909</v>
      </c>
      <c r="BJ61" s="9">
        <v>10.1304545772727</v>
      </c>
      <c r="BK61">
        <v>4.8</v>
      </c>
      <c r="BL61" s="5">
        <f t="shared" si="19"/>
        <v>5.3304545772727</v>
      </c>
      <c r="BM61">
        <v>8.9</v>
      </c>
      <c r="BN61" s="3">
        <f t="shared" si="20"/>
        <v>0.598927480592438</v>
      </c>
      <c r="BP61" s="9">
        <v>0.2530091</v>
      </c>
      <c r="BQ61">
        <v>0.09</v>
      </c>
      <c r="BR61" s="5">
        <f t="shared" si="21"/>
        <v>0.1630091</v>
      </c>
      <c r="BS61">
        <v>0.43</v>
      </c>
      <c r="BT61" s="3">
        <f t="shared" si="22"/>
        <v>0.379090930232558</v>
      </c>
      <c r="BV61" s="4">
        <v>6.51916363636364</v>
      </c>
      <c r="BW61">
        <v>6.18</v>
      </c>
      <c r="BX61" s="5">
        <f t="shared" si="23"/>
        <v>0.33916363636364</v>
      </c>
      <c r="BY61">
        <v>1.68</v>
      </c>
      <c r="BZ61" s="3">
        <f t="shared" si="24"/>
        <v>0.201883116883119</v>
      </c>
      <c r="CB61" s="10">
        <v>103.2</v>
      </c>
      <c r="CC61">
        <v>54.3</v>
      </c>
      <c r="CD61" s="12">
        <f t="shared" si="25"/>
        <v>48.9</v>
      </c>
      <c r="CE61">
        <v>71.3</v>
      </c>
      <c r="CF61" s="3">
        <f t="shared" si="26"/>
        <v>0.685834502103787</v>
      </c>
      <c r="CH61" s="13">
        <v>29.2</v>
      </c>
      <c r="CI61">
        <v>22.6</v>
      </c>
      <c r="CJ61">
        <f t="shared" si="27"/>
        <v>6.6</v>
      </c>
      <c r="CK61">
        <v>25.1</v>
      </c>
      <c r="CL61">
        <f t="shared" si="28"/>
        <v>0.262948207171315</v>
      </c>
      <c r="CN61" s="11">
        <v>4.4</v>
      </c>
      <c r="CO61">
        <v>3</v>
      </c>
      <c r="CP61" s="12">
        <f t="shared" si="29"/>
        <v>1.4</v>
      </c>
      <c r="CQ61">
        <v>3.4</v>
      </c>
      <c r="CR61" s="3">
        <f t="shared" si="30"/>
        <v>0.411764705882353</v>
      </c>
    </row>
    <row r="62" spans="2:96">
      <c r="B62" s="1">
        <v>47846</v>
      </c>
      <c r="C62">
        <v>32416</v>
      </c>
      <c r="D62" s="2">
        <f t="shared" si="31"/>
        <v>15430</v>
      </c>
      <c r="E62">
        <v>31904</v>
      </c>
      <c r="F62" s="3">
        <f t="shared" si="0"/>
        <v>0.483638415245737</v>
      </c>
      <c r="H62" s="1">
        <v>46771.0038147</v>
      </c>
      <c r="I62">
        <v>31145</v>
      </c>
      <c r="J62" s="2">
        <f t="shared" si="1"/>
        <v>15626.0038147</v>
      </c>
      <c r="K62">
        <v>32760</v>
      </c>
      <c r="L62" s="3">
        <f t="shared" si="2"/>
        <v>0.476984243427961</v>
      </c>
      <c r="N62" s="4">
        <v>267.169524414286</v>
      </c>
      <c r="O62">
        <v>201.27</v>
      </c>
      <c r="P62" s="5">
        <f t="shared" si="3"/>
        <v>65.899524414286</v>
      </c>
      <c r="Q62">
        <v>79.69</v>
      </c>
      <c r="R62" s="3">
        <f t="shared" si="4"/>
        <v>0.82694848054067</v>
      </c>
      <c r="T62" s="4">
        <v>157.176192147619</v>
      </c>
      <c r="U62">
        <v>100.23</v>
      </c>
      <c r="V62" s="5">
        <f t="shared" si="5"/>
        <v>56.946192147619</v>
      </c>
      <c r="W62">
        <v>410.93</v>
      </c>
      <c r="X62" s="3">
        <f t="shared" si="6"/>
        <v>0.138578814269143</v>
      </c>
      <c r="Z62" s="4">
        <v>25.707142847619</v>
      </c>
      <c r="AA62">
        <v>13.25</v>
      </c>
      <c r="AB62" s="5">
        <f t="shared" si="7"/>
        <v>12.457142847619</v>
      </c>
      <c r="AC62">
        <v>33.93</v>
      </c>
      <c r="AD62" s="3">
        <f t="shared" si="8"/>
        <v>0.367142435827262</v>
      </c>
      <c r="AF62" s="4">
        <v>3.95</v>
      </c>
      <c r="AG62">
        <v>2.09</v>
      </c>
      <c r="AH62" s="5">
        <f t="shared" si="9"/>
        <v>1.86</v>
      </c>
      <c r="AI62">
        <v>3.85</v>
      </c>
      <c r="AJ62" s="3">
        <f t="shared" si="10"/>
        <v>0.483116883116883</v>
      </c>
      <c r="AL62" s="4">
        <v>6.91853330952381</v>
      </c>
      <c r="AM62">
        <v>6.1</v>
      </c>
      <c r="AN62" s="5">
        <f t="shared" si="11"/>
        <v>0.818533309523811</v>
      </c>
      <c r="AO62">
        <v>1.89</v>
      </c>
      <c r="AP62" s="3">
        <f t="shared" si="12"/>
        <v>0.433086407155455</v>
      </c>
      <c r="AR62" s="4">
        <v>0.368095238095238</v>
      </c>
      <c r="AS62">
        <v>0.02</v>
      </c>
      <c r="AT62" s="5">
        <f t="shared" si="13"/>
        <v>0.348095238095238</v>
      </c>
      <c r="AU62">
        <v>2.84</v>
      </c>
      <c r="AV62" s="3">
        <f t="shared" si="14"/>
        <v>0.122568745808182</v>
      </c>
      <c r="AX62" s="4">
        <v>8.27146665714286</v>
      </c>
      <c r="AY62">
        <v>3.44</v>
      </c>
      <c r="AZ62" s="5">
        <f t="shared" si="15"/>
        <v>4.83146665714286</v>
      </c>
      <c r="BA62">
        <v>29.17</v>
      </c>
      <c r="BB62" s="3">
        <f t="shared" si="16"/>
        <v>0.165631356089916</v>
      </c>
      <c r="BD62" s="4">
        <v>2.02847617619048</v>
      </c>
      <c r="BE62">
        <v>0.17</v>
      </c>
      <c r="BF62" s="5">
        <f t="shared" si="17"/>
        <v>1.85847617619048</v>
      </c>
      <c r="BG62">
        <v>4</v>
      </c>
      <c r="BH62" s="3">
        <f t="shared" si="18"/>
        <v>0.46461904404762</v>
      </c>
      <c r="BJ62" s="9">
        <v>7.6973334</v>
      </c>
      <c r="BK62">
        <v>4.8</v>
      </c>
      <c r="BL62" s="5">
        <f t="shared" si="19"/>
        <v>2.8973334</v>
      </c>
      <c r="BM62">
        <v>8.9</v>
      </c>
      <c r="BN62" s="3">
        <f t="shared" si="20"/>
        <v>0.325543078651685</v>
      </c>
      <c r="BP62" s="9">
        <v>0.257171428571429</v>
      </c>
      <c r="BQ62">
        <v>0.09</v>
      </c>
      <c r="BR62" s="5">
        <f t="shared" si="21"/>
        <v>0.167171428571429</v>
      </c>
      <c r="BS62">
        <v>0.43</v>
      </c>
      <c r="BT62" s="3">
        <f t="shared" si="22"/>
        <v>0.388770764119602</v>
      </c>
      <c r="BV62" s="4">
        <v>6.56393336666667</v>
      </c>
      <c r="BW62">
        <v>6.18</v>
      </c>
      <c r="BX62" s="5">
        <f t="shared" si="23"/>
        <v>0.38393336666667</v>
      </c>
      <c r="BY62">
        <v>1.68</v>
      </c>
      <c r="BZ62" s="3">
        <f t="shared" si="24"/>
        <v>0.228531765873018</v>
      </c>
      <c r="CB62" s="10">
        <v>116.6</v>
      </c>
      <c r="CC62">
        <v>54.3</v>
      </c>
      <c r="CD62" s="12">
        <f t="shared" si="25"/>
        <v>62.3</v>
      </c>
      <c r="CE62">
        <v>71.3</v>
      </c>
      <c r="CF62" s="3">
        <f t="shared" si="26"/>
        <v>0.873772791023843</v>
      </c>
      <c r="CH62" s="13">
        <v>30.7</v>
      </c>
      <c r="CI62">
        <v>22.6</v>
      </c>
      <c r="CJ62">
        <f t="shared" si="27"/>
        <v>8.1</v>
      </c>
      <c r="CK62">
        <v>25.1</v>
      </c>
      <c r="CL62">
        <f t="shared" si="28"/>
        <v>0.322709163346613</v>
      </c>
      <c r="CN62" s="10">
        <v>4.9</v>
      </c>
      <c r="CO62">
        <v>3</v>
      </c>
      <c r="CP62" s="12">
        <f t="shared" si="29"/>
        <v>1.9</v>
      </c>
      <c r="CQ62">
        <v>3.4</v>
      </c>
      <c r="CR62" s="3">
        <f t="shared" si="30"/>
        <v>0.558823529411765</v>
      </c>
    </row>
    <row r="63" spans="2:96">
      <c r="B63" s="1">
        <v>46879</v>
      </c>
      <c r="C63">
        <v>32416</v>
      </c>
      <c r="D63" s="2">
        <f t="shared" si="31"/>
        <v>14463</v>
      </c>
      <c r="E63">
        <v>31904</v>
      </c>
      <c r="F63" s="3">
        <f t="shared" si="0"/>
        <v>0.453328736208626</v>
      </c>
      <c r="H63" s="1">
        <v>45634</v>
      </c>
      <c r="I63">
        <v>31145</v>
      </c>
      <c r="J63" s="2">
        <f t="shared" si="1"/>
        <v>14489</v>
      </c>
      <c r="K63">
        <v>32760</v>
      </c>
      <c r="L63" s="3">
        <f t="shared" si="2"/>
        <v>0.442277167277167</v>
      </c>
      <c r="N63" s="4">
        <v>249.310475666667</v>
      </c>
      <c r="O63">
        <v>201.27</v>
      </c>
      <c r="P63" s="5">
        <f t="shared" si="3"/>
        <v>48.040475666667</v>
      </c>
      <c r="Q63">
        <v>79.69</v>
      </c>
      <c r="R63" s="3">
        <f t="shared" si="4"/>
        <v>0.602841958422224</v>
      </c>
      <c r="T63" s="4">
        <v>145.695238385714</v>
      </c>
      <c r="U63">
        <v>100.23</v>
      </c>
      <c r="V63" s="5">
        <f t="shared" si="5"/>
        <v>45.465238385714</v>
      </c>
      <c r="W63">
        <v>410.93</v>
      </c>
      <c r="X63" s="3">
        <f t="shared" si="6"/>
        <v>0.11063986174218</v>
      </c>
      <c r="Z63" s="4">
        <v>27.4764286333333</v>
      </c>
      <c r="AA63">
        <v>13.25</v>
      </c>
      <c r="AB63" s="5">
        <f t="shared" si="7"/>
        <v>14.2264286333333</v>
      </c>
      <c r="AC63">
        <v>33.93</v>
      </c>
      <c r="AD63" s="3">
        <f t="shared" si="8"/>
        <v>0.419287610767265</v>
      </c>
      <c r="AF63" s="4">
        <v>3.73</v>
      </c>
      <c r="AG63">
        <v>2.09</v>
      </c>
      <c r="AH63" s="5">
        <f t="shared" si="9"/>
        <v>1.64</v>
      </c>
      <c r="AI63">
        <v>3.85</v>
      </c>
      <c r="AJ63" s="3">
        <f t="shared" si="10"/>
        <v>0.425974025974026</v>
      </c>
      <c r="AL63" s="4">
        <v>6.90516845263158</v>
      </c>
      <c r="AM63">
        <v>6.1</v>
      </c>
      <c r="AN63" s="5">
        <f t="shared" si="11"/>
        <v>0.80516845263158</v>
      </c>
      <c r="AO63">
        <v>1.89</v>
      </c>
      <c r="AP63" s="3">
        <f t="shared" si="12"/>
        <v>0.426015054302423</v>
      </c>
      <c r="AR63" s="4">
        <v>0.474761904761904</v>
      </c>
      <c r="AS63">
        <v>0.02</v>
      </c>
      <c r="AT63" s="5">
        <f t="shared" si="13"/>
        <v>0.454761904761904</v>
      </c>
      <c r="AU63">
        <v>2.84</v>
      </c>
      <c r="AV63" s="3">
        <f t="shared" si="14"/>
        <v>0.160127431254192</v>
      </c>
      <c r="AX63" s="4">
        <v>8.20114285714286</v>
      </c>
      <c r="AY63">
        <v>3.44</v>
      </c>
      <c r="AZ63" s="5">
        <f t="shared" si="15"/>
        <v>4.76114285714286</v>
      </c>
      <c r="BA63">
        <v>29.17</v>
      </c>
      <c r="BB63" s="3">
        <f t="shared" si="16"/>
        <v>0.163220529898624</v>
      </c>
      <c r="BD63" s="4">
        <v>3.75104763333333</v>
      </c>
      <c r="BE63">
        <v>0.17</v>
      </c>
      <c r="BF63" s="5">
        <f t="shared" si="17"/>
        <v>3.58104763333333</v>
      </c>
      <c r="BG63">
        <v>4</v>
      </c>
      <c r="BH63" s="3">
        <f t="shared" si="18"/>
        <v>0.895261908333333</v>
      </c>
      <c r="BJ63" s="9">
        <v>11.8187618190476</v>
      </c>
      <c r="BK63">
        <v>4.8</v>
      </c>
      <c r="BL63" s="5">
        <f t="shared" si="19"/>
        <v>7.0187618190476</v>
      </c>
      <c r="BM63">
        <v>8.9</v>
      </c>
      <c r="BN63" s="3">
        <f t="shared" si="20"/>
        <v>0.788624923488494</v>
      </c>
      <c r="BP63" s="9">
        <v>0.283495238095238</v>
      </c>
      <c r="BQ63">
        <v>0.09</v>
      </c>
      <c r="BR63" s="5">
        <f t="shared" si="21"/>
        <v>0.193495238095238</v>
      </c>
      <c r="BS63">
        <v>0.43</v>
      </c>
      <c r="BT63" s="3">
        <f t="shared" si="22"/>
        <v>0.449988925802879</v>
      </c>
      <c r="BV63" s="4">
        <v>6.51553336190476</v>
      </c>
      <c r="BW63">
        <v>6.18</v>
      </c>
      <c r="BX63" s="5">
        <f t="shared" si="23"/>
        <v>0.33553336190476</v>
      </c>
      <c r="BY63">
        <v>1.68</v>
      </c>
      <c r="BZ63" s="3">
        <f t="shared" si="24"/>
        <v>0.199722239229024</v>
      </c>
      <c r="CB63" s="10">
        <v>119.26</v>
      </c>
      <c r="CC63">
        <v>54.3</v>
      </c>
      <c r="CD63" s="12">
        <f t="shared" si="25"/>
        <v>64.96</v>
      </c>
      <c r="CE63">
        <v>71.3</v>
      </c>
      <c r="CF63" s="3">
        <f t="shared" si="26"/>
        <v>0.911079943899018</v>
      </c>
      <c r="CH63" s="13">
        <v>29.8</v>
      </c>
      <c r="CI63">
        <v>22.6</v>
      </c>
      <c r="CJ63">
        <f t="shared" si="27"/>
        <v>7.2</v>
      </c>
      <c r="CK63">
        <v>25.1</v>
      </c>
      <c r="CL63">
        <f t="shared" si="28"/>
        <v>0.286852589641434</v>
      </c>
      <c r="CN63" s="10">
        <v>4.1</v>
      </c>
      <c r="CO63">
        <v>3</v>
      </c>
      <c r="CP63" s="12">
        <f t="shared" si="29"/>
        <v>1.1</v>
      </c>
      <c r="CQ63">
        <v>3.4</v>
      </c>
      <c r="CR63" s="3">
        <f t="shared" si="30"/>
        <v>0.323529411764706</v>
      </c>
    </row>
    <row r="64" spans="2:96">
      <c r="B64" s="1">
        <v>50268</v>
      </c>
      <c r="C64">
        <v>32416</v>
      </c>
      <c r="D64" s="2">
        <f t="shared" si="31"/>
        <v>17852</v>
      </c>
      <c r="E64">
        <v>31904</v>
      </c>
      <c r="F64" s="3">
        <f t="shared" si="0"/>
        <v>0.559553660982949</v>
      </c>
      <c r="H64" s="1">
        <v>49020.6034543</v>
      </c>
      <c r="I64">
        <v>31145</v>
      </c>
      <c r="J64" s="2">
        <f t="shared" si="1"/>
        <v>17875.6034543</v>
      </c>
      <c r="K64">
        <v>32760</v>
      </c>
      <c r="L64" s="3">
        <f t="shared" si="2"/>
        <v>0.545653341095849</v>
      </c>
      <c r="N64" s="4">
        <v>258.8763622</v>
      </c>
      <c r="O64">
        <v>201.27</v>
      </c>
      <c r="P64" s="5">
        <f t="shared" si="3"/>
        <v>57.6063622</v>
      </c>
      <c r="Q64">
        <v>79.69</v>
      </c>
      <c r="R64" s="3">
        <f t="shared" si="4"/>
        <v>0.722880690174426</v>
      </c>
      <c r="T64" s="4">
        <v>173.081815877273</v>
      </c>
      <c r="U64">
        <v>100.23</v>
      </c>
      <c r="V64" s="5">
        <f t="shared" si="5"/>
        <v>72.851815877273</v>
      </c>
      <c r="W64">
        <v>410.93</v>
      </c>
      <c r="X64" s="3">
        <f t="shared" si="6"/>
        <v>0.177285221028577</v>
      </c>
      <c r="Z64" s="4">
        <v>27.7006817636363</v>
      </c>
      <c r="AA64">
        <v>13.25</v>
      </c>
      <c r="AB64" s="5">
        <f t="shared" si="7"/>
        <v>14.4506817636363</v>
      </c>
      <c r="AC64">
        <v>33.93</v>
      </c>
      <c r="AD64" s="3">
        <f t="shared" si="8"/>
        <v>0.425896898427241</v>
      </c>
      <c r="AF64" s="4">
        <v>4.56</v>
      </c>
      <c r="AG64">
        <v>2.09</v>
      </c>
      <c r="AH64" s="5">
        <f t="shared" si="9"/>
        <v>2.47</v>
      </c>
      <c r="AI64">
        <v>3.85</v>
      </c>
      <c r="AJ64" s="3">
        <f t="shared" si="10"/>
        <v>0.641558441558441</v>
      </c>
      <c r="AL64" s="4">
        <v>6.89556002</v>
      </c>
      <c r="AM64">
        <v>6.1</v>
      </c>
      <c r="AN64" s="5">
        <f t="shared" si="11"/>
        <v>0.79556002</v>
      </c>
      <c r="AO64">
        <v>1.89</v>
      </c>
      <c r="AP64" s="3">
        <f t="shared" si="12"/>
        <v>0.420931227513227</v>
      </c>
      <c r="AR64" s="4">
        <v>0.469772727272727</v>
      </c>
      <c r="AS64">
        <v>0.02</v>
      </c>
      <c r="AT64" s="5">
        <f t="shared" si="13"/>
        <v>0.449772727272727</v>
      </c>
      <c r="AU64">
        <v>2.84</v>
      </c>
      <c r="AV64" s="3">
        <f t="shared" si="14"/>
        <v>0.158370678617157</v>
      </c>
      <c r="AX64" s="4">
        <v>10.7346907681818</v>
      </c>
      <c r="AY64">
        <v>3.44</v>
      </c>
      <c r="AZ64" s="5">
        <f t="shared" si="15"/>
        <v>7.2946907681818</v>
      </c>
      <c r="BA64">
        <v>29.17</v>
      </c>
      <c r="BB64" s="3">
        <f t="shared" si="16"/>
        <v>0.250075103468694</v>
      </c>
      <c r="BD64" s="4">
        <v>1.33154544090909</v>
      </c>
      <c r="BE64">
        <v>0.17</v>
      </c>
      <c r="BF64" s="5">
        <f t="shared" si="17"/>
        <v>1.16154544090909</v>
      </c>
      <c r="BG64">
        <v>4</v>
      </c>
      <c r="BH64" s="3">
        <f t="shared" si="18"/>
        <v>0.290386360227273</v>
      </c>
      <c r="BJ64" s="9">
        <v>8.55045448636364</v>
      </c>
      <c r="BK64">
        <v>4.8</v>
      </c>
      <c r="BL64" s="5">
        <f t="shared" si="19"/>
        <v>3.75045448636364</v>
      </c>
      <c r="BM64">
        <v>8.9</v>
      </c>
      <c r="BN64" s="3">
        <f t="shared" si="20"/>
        <v>0.421399380490297</v>
      </c>
      <c r="BP64" s="9">
        <v>0.396709090909091</v>
      </c>
      <c r="BQ64">
        <v>0.09</v>
      </c>
      <c r="BR64" s="5">
        <f t="shared" si="21"/>
        <v>0.306709090909091</v>
      </c>
      <c r="BS64">
        <v>0.43</v>
      </c>
      <c r="BT64" s="3">
        <f t="shared" si="22"/>
        <v>0.713276955602537</v>
      </c>
      <c r="BV64" s="4">
        <v>6.55212723181818</v>
      </c>
      <c r="BW64">
        <v>6.18</v>
      </c>
      <c r="BX64" s="5">
        <f t="shared" si="23"/>
        <v>0.372127231818181</v>
      </c>
      <c r="BY64">
        <v>1.68</v>
      </c>
      <c r="BZ64" s="3">
        <f t="shared" si="24"/>
        <v>0.221504304653679</v>
      </c>
      <c r="CB64" s="10">
        <v>120.1</v>
      </c>
      <c r="CC64">
        <v>54.3</v>
      </c>
      <c r="CD64" s="12">
        <f t="shared" si="25"/>
        <v>65.8</v>
      </c>
      <c r="CE64">
        <v>71.3</v>
      </c>
      <c r="CF64" s="3">
        <f t="shared" si="26"/>
        <v>0.922861150070126</v>
      </c>
      <c r="CH64" s="13">
        <v>33.6</v>
      </c>
      <c r="CI64">
        <v>22.6</v>
      </c>
      <c r="CJ64">
        <f t="shared" si="27"/>
        <v>11</v>
      </c>
      <c r="CK64">
        <v>25.1</v>
      </c>
      <c r="CL64">
        <f t="shared" si="28"/>
        <v>0.438247011952191</v>
      </c>
      <c r="CN64" s="10">
        <v>4.6</v>
      </c>
      <c r="CO64">
        <v>3</v>
      </c>
      <c r="CP64" s="12">
        <f t="shared" si="29"/>
        <v>1.6</v>
      </c>
      <c r="CQ64">
        <v>3.4</v>
      </c>
      <c r="CR64" s="3">
        <f t="shared" si="30"/>
        <v>0.470588235294118</v>
      </c>
    </row>
    <row r="65" spans="2:96">
      <c r="B65" s="1">
        <v>43657</v>
      </c>
      <c r="C65">
        <v>32416</v>
      </c>
      <c r="D65" s="2">
        <f t="shared" si="31"/>
        <v>11241</v>
      </c>
      <c r="E65">
        <v>31904</v>
      </c>
      <c r="F65" s="3">
        <f t="shared" si="0"/>
        <v>0.352338264794383</v>
      </c>
      <c r="H65" s="1">
        <v>42004.2443846</v>
      </c>
      <c r="I65">
        <v>31145</v>
      </c>
      <c r="J65" s="2">
        <f t="shared" si="1"/>
        <v>10859.2443846</v>
      </c>
      <c r="K65">
        <v>32760</v>
      </c>
      <c r="L65" s="3">
        <f t="shared" si="2"/>
        <v>0.331478766318681</v>
      </c>
      <c r="N65" s="4">
        <v>243.299997333333</v>
      </c>
      <c r="O65">
        <v>201.27</v>
      </c>
      <c r="P65" s="5">
        <f t="shared" si="3"/>
        <v>42.029997333333</v>
      </c>
      <c r="Q65">
        <v>79.69</v>
      </c>
      <c r="R65" s="3">
        <f t="shared" si="4"/>
        <v>0.527418714184126</v>
      </c>
      <c r="T65" s="4">
        <v>161.02083205</v>
      </c>
      <c r="U65">
        <v>100.23</v>
      </c>
      <c r="V65" s="5">
        <f t="shared" si="5"/>
        <v>60.79083205</v>
      </c>
      <c r="W65">
        <v>410.93</v>
      </c>
      <c r="X65" s="3">
        <f t="shared" si="6"/>
        <v>0.147934762733312</v>
      </c>
      <c r="Z65" s="4">
        <v>27.4762500625</v>
      </c>
      <c r="AA65">
        <v>13.25</v>
      </c>
      <c r="AB65" s="5">
        <f t="shared" si="7"/>
        <v>14.2262500625</v>
      </c>
      <c r="AC65">
        <v>33.93</v>
      </c>
      <c r="AD65" s="3">
        <f t="shared" si="8"/>
        <v>0.419282347848512</v>
      </c>
      <c r="AF65" s="4">
        <v>4.04</v>
      </c>
      <c r="AG65">
        <v>2.09</v>
      </c>
      <c r="AH65" s="5">
        <f t="shared" si="9"/>
        <v>1.95</v>
      </c>
      <c r="AI65">
        <v>3.85</v>
      </c>
      <c r="AJ65" s="3">
        <f t="shared" si="10"/>
        <v>0.506493506493507</v>
      </c>
      <c r="AL65" s="4">
        <v>6.90199995</v>
      </c>
      <c r="AM65">
        <v>6.1</v>
      </c>
      <c r="AN65" s="5">
        <f t="shared" si="11"/>
        <v>0.801999950000001</v>
      </c>
      <c r="AO65">
        <v>1.89</v>
      </c>
      <c r="AP65" s="3">
        <f t="shared" si="12"/>
        <v>0.424338597883598</v>
      </c>
      <c r="AR65" s="4">
        <v>0.677083333333333</v>
      </c>
      <c r="AS65">
        <v>0.02</v>
      </c>
      <c r="AT65" s="5">
        <f t="shared" si="13"/>
        <v>0.657083333333333</v>
      </c>
      <c r="AU65">
        <v>2.84</v>
      </c>
      <c r="AV65" s="3">
        <f t="shared" si="14"/>
        <v>0.231367370892019</v>
      </c>
      <c r="AX65" s="4">
        <v>9.00293334166667</v>
      </c>
      <c r="AY65">
        <v>3.44</v>
      </c>
      <c r="AZ65" s="5">
        <f t="shared" si="15"/>
        <v>5.56293334166667</v>
      </c>
      <c r="BA65">
        <v>29.17</v>
      </c>
      <c r="BB65" s="3">
        <f t="shared" si="16"/>
        <v>0.19070734801737</v>
      </c>
      <c r="BD65" s="4">
        <v>0.42275</v>
      </c>
      <c r="BE65">
        <v>0.17</v>
      </c>
      <c r="BF65" s="5">
        <f t="shared" si="17"/>
        <v>0.25275</v>
      </c>
      <c r="BG65">
        <v>4</v>
      </c>
      <c r="BH65" s="3">
        <f t="shared" si="18"/>
        <v>0.0631875</v>
      </c>
      <c r="BJ65" s="9">
        <v>8.78424996666667</v>
      </c>
      <c r="BK65">
        <v>4.8</v>
      </c>
      <c r="BL65" s="5">
        <f t="shared" si="19"/>
        <v>3.98424996666667</v>
      </c>
      <c r="BM65">
        <v>8.9</v>
      </c>
      <c r="BN65" s="3">
        <f t="shared" si="20"/>
        <v>0.447668535580525</v>
      </c>
      <c r="BP65" s="9">
        <v>0.403258333333333</v>
      </c>
      <c r="BQ65">
        <v>0.09</v>
      </c>
      <c r="BR65" s="5">
        <f t="shared" si="21"/>
        <v>0.313258333333333</v>
      </c>
      <c r="BS65">
        <v>0.43</v>
      </c>
      <c r="BT65" s="3">
        <f t="shared" si="22"/>
        <v>0.728507751937984</v>
      </c>
      <c r="BV65" s="4">
        <v>6.46152497083333</v>
      </c>
      <c r="BW65">
        <v>6.18</v>
      </c>
      <c r="BX65" s="5">
        <f t="shared" si="23"/>
        <v>0.28152497083333</v>
      </c>
      <c r="BY65">
        <v>1.68</v>
      </c>
      <c r="BZ65" s="3">
        <f t="shared" si="24"/>
        <v>0.167574387400792</v>
      </c>
      <c r="CB65" s="10">
        <v>121.3</v>
      </c>
      <c r="CC65">
        <v>54.3</v>
      </c>
      <c r="CD65" s="12">
        <f t="shared" si="25"/>
        <v>67</v>
      </c>
      <c r="CE65">
        <v>71.3</v>
      </c>
      <c r="CF65" s="3">
        <f t="shared" si="26"/>
        <v>0.939691444600281</v>
      </c>
      <c r="CH65" s="13">
        <v>32.1</v>
      </c>
      <c r="CI65">
        <v>22.6</v>
      </c>
      <c r="CJ65">
        <f t="shared" si="27"/>
        <v>9.5</v>
      </c>
      <c r="CK65">
        <v>25.1</v>
      </c>
      <c r="CL65">
        <f t="shared" si="28"/>
        <v>0.378486055776892</v>
      </c>
      <c r="CN65" s="10">
        <v>3.8</v>
      </c>
      <c r="CO65">
        <v>3</v>
      </c>
      <c r="CP65" s="12">
        <f t="shared" si="29"/>
        <v>0.8</v>
      </c>
      <c r="CQ65">
        <v>3.4</v>
      </c>
      <c r="CR65" s="3">
        <f t="shared" si="30"/>
        <v>0.235294117647059</v>
      </c>
    </row>
    <row r="66" spans="2:96">
      <c r="B66" s="1">
        <v>43259</v>
      </c>
      <c r="C66">
        <v>32416</v>
      </c>
      <c r="D66" s="2">
        <f t="shared" si="31"/>
        <v>10843</v>
      </c>
      <c r="E66">
        <v>31904</v>
      </c>
      <c r="F66" s="3">
        <f t="shared" ref="F66:F129" si="32">D66/E66</f>
        <v>0.33986334002006</v>
      </c>
      <c r="H66" s="1">
        <v>41529.8981321</v>
      </c>
      <c r="I66">
        <v>31145</v>
      </c>
      <c r="J66" s="2">
        <f t="shared" ref="J66:J129" si="33">H66-I66</f>
        <v>10384.8981321</v>
      </c>
      <c r="K66">
        <v>32760</v>
      </c>
      <c r="L66" s="3">
        <f t="shared" ref="L66:L129" si="34">J66/K66</f>
        <v>0.316999332481685</v>
      </c>
      <c r="N66" s="4">
        <v>253.493333191667</v>
      </c>
      <c r="O66">
        <v>201.27</v>
      </c>
      <c r="P66" s="5">
        <f t="shared" ref="P66:P129" si="35">N66-O66</f>
        <v>52.223333191667</v>
      </c>
      <c r="Q66">
        <v>79.69</v>
      </c>
      <c r="R66" s="3">
        <f t="shared" ref="R66:R129" si="36">P66/Q66</f>
        <v>0.655331072802949</v>
      </c>
      <c r="T66" s="4">
        <v>171.516667379167</v>
      </c>
      <c r="U66">
        <v>100.23</v>
      </c>
      <c r="V66" s="5">
        <f t="shared" ref="V66:V129" si="37">T66-U66</f>
        <v>71.286667379167</v>
      </c>
      <c r="W66">
        <v>410.93</v>
      </c>
      <c r="X66" s="3">
        <f t="shared" ref="X66:X129" si="38">V66/W66</f>
        <v>0.173476425131207</v>
      </c>
      <c r="Z66" s="4">
        <v>28.228541575</v>
      </c>
      <c r="AA66">
        <v>13.25</v>
      </c>
      <c r="AB66" s="5">
        <f t="shared" ref="AB66:AB129" si="39">Z66-AA66</f>
        <v>14.978541575</v>
      </c>
      <c r="AC66">
        <v>33.93</v>
      </c>
      <c r="AD66" s="3">
        <f t="shared" ref="AD66:AD129" si="40">AB66/AC66</f>
        <v>0.44145421676982</v>
      </c>
      <c r="AF66" s="4">
        <v>3.73</v>
      </c>
      <c r="AG66">
        <v>2.09</v>
      </c>
      <c r="AH66" s="5">
        <f t="shared" ref="AH66:AH129" si="41">AF66-AG66</f>
        <v>1.64</v>
      </c>
      <c r="AI66">
        <v>3.85</v>
      </c>
      <c r="AJ66" s="3">
        <f t="shared" ref="AJ66:AJ129" si="42">AH66/AI66</f>
        <v>0.425974025974026</v>
      </c>
      <c r="AL66" s="4">
        <v>6.871689985</v>
      </c>
      <c r="AM66">
        <v>6.1</v>
      </c>
      <c r="AN66" s="5">
        <f t="shared" ref="AN66:AN129" si="43">AL66-AM66</f>
        <v>0.771689985</v>
      </c>
      <c r="AO66">
        <v>1.89</v>
      </c>
      <c r="AP66" s="3">
        <f t="shared" ref="AP66:AP129" si="44">AN66/AO66</f>
        <v>0.408301579365079</v>
      </c>
      <c r="AR66" s="4">
        <v>0.87625</v>
      </c>
      <c r="AS66">
        <v>0.02</v>
      </c>
      <c r="AT66" s="5">
        <f t="shared" ref="AT66:AT129" si="45">AR66-AS66</f>
        <v>0.85625</v>
      </c>
      <c r="AU66">
        <v>2.84</v>
      </c>
      <c r="AV66" s="3">
        <f t="shared" ref="AV66:AV129" si="46">AT66/AU66</f>
        <v>0.301496478873239</v>
      </c>
      <c r="AX66" s="4">
        <v>9.0592665625</v>
      </c>
      <c r="AY66">
        <v>3.44</v>
      </c>
      <c r="AZ66" s="5">
        <f t="shared" ref="AZ66:AZ129" si="47">AX66-AY66</f>
        <v>5.6192665625</v>
      </c>
      <c r="BA66">
        <v>29.17</v>
      </c>
      <c r="BB66" s="3">
        <f t="shared" ref="BB66:BB129" si="48">AZ66/BA66</f>
        <v>0.192638552022626</v>
      </c>
      <c r="BD66" s="4">
        <v>0.330999995833333</v>
      </c>
      <c r="BE66">
        <v>0.17</v>
      </c>
      <c r="BF66" s="5">
        <f t="shared" ref="BF66:BF129" si="49">BD66-BE66</f>
        <v>0.160999995833333</v>
      </c>
      <c r="BG66">
        <v>4</v>
      </c>
      <c r="BH66" s="3">
        <f t="shared" ref="BH66:BH129" si="50">BF66/BG66</f>
        <v>0.0402499989583332</v>
      </c>
      <c r="BJ66" s="9">
        <v>7.9937500375</v>
      </c>
      <c r="BK66">
        <v>4.8</v>
      </c>
      <c r="BL66" s="5">
        <f t="shared" ref="BL66:BL129" si="51">BJ66-BK66</f>
        <v>3.1937500375</v>
      </c>
      <c r="BM66">
        <v>8.9</v>
      </c>
      <c r="BN66" s="3">
        <f t="shared" ref="BN66:BN129" si="52">BL66/BM66</f>
        <v>0.358848318820225</v>
      </c>
      <c r="BP66" s="9">
        <v>0.343741666666667</v>
      </c>
      <c r="BQ66">
        <v>0.09</v>
      </c>
      <c r="BR66" s="5">
        <f t="shared" ref="BR66:BR129" si="53">BP66-BQ66</f>
        <v>0.253741666666667</v>
      </c>
      <c r="BS66">
        <v>0.43</v>
      </c>
      <c r="BT66" s="3">
        <f t="shared" ref="BT66:BT129" si="54">BR66/BS66</f>
        <v>0.590096899224807</v>
      </c>
      <c r="BV66" s="4">
        <v>6.38020829583333</v>
      </c>
      <c r="BW66">
        <v>6.18</v>
      </c>
      <c r="BX66" s="5">
        <f t="shared" ref="BX66:BX129" si="55">BV66-BW66</f>
        <v>0.20020829583333</v>
      </c>
      <c r="BY66">
        <v>1.68</v>
      </c>
      <c r="BZ66" s="3">
        <f t="shared" ref="BZ66:BZ129" si="56">BX66/BY66</f>
        <v>0.119171604662697</v>
      </c>
      <c r="CB66" s="10">
        <v>122.6</v>
      </c>
      <c r="CC66">
        <v>54.3</v>
      </c>
      <c r="CD66" s="12">
        <f t="shared" ref="CD66:CD129" si="57">CB66-CC66</f>
        <v>68.3</v>
      </c>
      <c r="CE66">
        <v>71.3</v>
      </c>
      <c r="CF66" s="3">
        <f t="shared" ref="CF66:CF129" si="58">CD66/CE66</f>
        <v>0.957924263674614</v>
      </c>
      <c r="CH66" s="13">
        <v>30.8</v>
      </c>
      <c r="CI66">
        <v>22.6</v>
      </c>
      <c r="CJ66">
        <f t="shared" ref="CJ66:CJ129" si="59">CH66-CI66</f>
        <v>8.2</v>
      </c>
      <c r="CK66">
        <v>25.1</v>
      </c>
      <c r="CL66">
        <f t="shared" ref="CL66:CL129" si="60">CJ66/CK66</f>
        <v>0.326693227091633</v>
      </c>
      <c r="CN66" s="10">
        <v>3.3</v>
      </c>
      <c r="CO66">
        <v>3</v>
      </c>
      <c r="CP66" s="12">
        <f t="shared" ref="CP66:CP129" si="61">CN66-CO66</f>
        <v>0.3</v>
      </c>
      <c r="CQ66">
        <v>3.4</v>
      </c>
      <c r="CR66" s="3">
        <f t="shared" ref="CR66:CR129" si="62">CP66/CQ66</f>
        <v>0.088235294117647</v>
      </c>
    </row>
    <row r="67" spans="2:96">
      <c r="B67" s="1">
        <v>43571</v>
      </c>
      <c r="C67">
        <v>32416</v>
      </c>
      <c r="D67" s="2">
        <f t="shared" ref="D67:D130" si="63">B67-C67</f>
        <v>11155</v>
      </c>
      <c r="E67">
        <v>31904</v>
      </c>
      <c r="F67" s="3">
        <f t="shared" si="32"/>
        <v>0.349642678034102</v>
      </c>
      <c r="H67" s="1">
        <v>42085.5801569</v>
      </c>
      <c r="I67">
        <v>31145</v>
      </c>
      <c r="J67" s="2">
        <f t="shared" si="33"/>
        <v>10940.5801569</v>
      </c>
      <c r="K67">
        <v>32760</v>
      </c>
      <c r="L67" s="3">
        <f t="shared" si="34"/>
        <v>0.333961543250916</v>
      </c>
      <c r="N67" s="4">
        <v>252.810001375</v>
      </c>
      <c r="O67">
        <v>201.27</v>
      </c>
      <c r="P67" s="5">
        <f t="shared" si="35"/>
        <v>51.540001375</v>
      </c>
      <c r="Q67">
        <v>79.69</v>
      </c>
      <c r="R67" s="3">
        <f t="shared" si="36"/>
        <v>0.646756197452629</v>
      </c>
      <c r="T67" s="4">
        <v>185.174999241667</v>
      </c>
      <c r="U67">
        <v>100.23</v>
      </c>
      <c r="V67" s="5">
        <f t="shared" si="37"/>
        <v>84.944999241667</v>
      </c>
      <c r="W67">
        <v>410.93</v>
      </c>
      <c r="X67" s="3">
        <f t="shared" si="38"/>
        <v>0.206714037041995</v>
      </c>
      <c r="Z67" s="4">
        <v>27.2949999791666</v>
      </c>
      <c r="AA67">
        <v>13.25</v>
      </c>
      <c r="AB67" s="5">
        <f t="shared" si="39"/>
        <v>14.0449999791666</v>
      </c>
      <c r="AC67">
        <v>33.93</v>
      </c>
      <c r="AD67" s="3">
        <f t="shared" si="40"/>
        <v>0.413940465050592</v>
      </c>
      <c r="AF67" s="4">
        <v>3.86</v>
      </c>
      <c r="AG67">
        <v>2.09</v>
      </c>
      <c r="AH67" s="5">
        <f t="shared" si="41"/>
        <v>1.77</v>
      </c>
      <c r="AI67">
        <v>3.85</v>
      </c>
      <c r="AJ67" s="3">
        <f t="shared" si="42"/>
        <v>0.45974025974026</v>
      </c>
      <c r="AL67" s="4">
        <v>6.83433327142857</v>
      </c>
      <c r="AM67">
        <v>6.1</v>
      </c>
      <c r="AN67" s="5">
        <f t="shared" si="43"/>
        <v>0.734333271428571</v>
      </c>
      <c r="AO67">
        <v>1.89</v>
      </c>
      <c r="AP67" s="3">
        <f t="shared" si="44"/>
        <v>0.388536122448979</v>
      </c>
      <c r="AR67" s="4">
        <v>0.770208333333333</v>
      </c>
      <c r="AS67">
        <v>0.02</v>
      </c>
      <c r="AT67" s="5">
        <f t="shared" si="45"/>
        <v>0.750208333333333</v>
      </c>
      <c r="AU67">
        <v>2.84</v>
      </c>
      <c r="AV67" s="3">
        <f t="shared" si="46"/>
        <v>0.264157863849765</v>
      </c>
      <c r="AX67" s="4">
        <v>8.64846659166667</v>
      </c>
      <c r="AY67">
        <v>3.44</v>
      </c>
      <c r="AZ67" s="5">
        <f t="shared" si="47"/>
        <v>5.20846659166667</v>
      </c>
      <c r="BA67">
        <v>29.17</v>
      </c>
      <c r="BB67" s="3">
        <f t="shared" si="48"/>
        <v>0.178555591075306</v>
      </c>
      <c r="BD67" s="4">
        <v>0.587583333333333</v>
      </c>
      <c r="BE67">
        <v>0.17</v>
      </c>
      <c r="BF67" s="5">
        <f t="shared" si="49"/>
        <v>0.417583333333333</v>
      </c>
      <c r="BG67">
        <v>4</v>
      </c>
      <c r="BH67" s="3">
        <f t="shared" si="50"/>
        <v>0.104395833333333</v>
      </c>
      <c r="BJ67" s="9">
        <v>8.42566662083333</v>
      </c>
      <c r="BK67">
        <v>4.8</v>
      </c>
      <c r="BL67" s="5">
        <f t="shared" si="51"/>
        <v>3.62566662083333</v>
      </c>
      <c r="BM67">
        <v>8.9</v>
      </c>
      <c r="BN67" s="3">
        <f t="shared" si="52"/>
        <v>0.407378272003745</v>
      </c>
      <c r="BP67" s="9">
        <v>0.2931</v>
      </c>
      <c r="BQ67">
        <v>0.09</v>
      </c>
      <c r="BR67" s="5">
        <f t="shared" si="53"/>
        <v>0.2031</v>
      </c>
      <c r="BS67">
        <v>0.43</v>
      </c>
      <c r="BT67" s="3">
        <f t="shared" si="54"/>
        <v>0.472325581395349</v>
      </c>
      <c r="BV67" s="4">
        <v>6.39683324583333</v>
      </c>
      <c r="BW67">
        <v>6.18</v>
      </c>
      <c r="BX67" s="5">
        <f t="shared" si="55"/>
        <v>0.21683324583333</v>
      </c>
      <c r="BY67">
        <v>1.68</v>
      </c>
      <c r="BZ67" s="3">
        <f t="shared" si="56"/>
        <v>0.129067408234125</v>
      </c>
      <c r="CB67" s="10">
        <v>123.1</v>
      </c>
      <c r="CC67">
        <v>54.3</v>
      </c>
      <c r="CD67" s="12">
        <f t="shared" si="57"/>
        <v>68.8</v>
      </c>
      <c r="CE67">
        <v>71.3</v>
      </c>
      <c r="CF67" s="3">
        <f t="shared" si="58"/>
        <v>0.964936886395512</v>
      </c>
      <c r="CH67" s="13">
        <v>31.4</v>
      </c>
      <c r="CI67">
        <v>22.6</v>
      </c>
      <c r="CJ67">
        <f t="shared" si="59"/>
        <v>8.8</v>
      </c>
      <c r="CK67">
        <v>25.1</v>
      </c>
      <c r="CL67">
        <f t="shared" si="60"/>
        <v>0.350597609561753</v>
      </c>
      <c r="CN67" s="10">
        <v>4.2</v>
      </c>
      <c r="CO67">
        <v>3</v>
      </c>
      <c r="CP67" s="12">
        <f t="shared" si="61"/>
        <v>1.2</v>
      </c>
      <c r="CQ67">
        <v>3.4</v>
      </c>
      <c r="CR67" s="3">
        <f t="shared" si="62"/>
        <v>0.352941176470588</v>
      </c>
    </row>
    <row r="68" spans="2:96">
      <c r="B68" s="1">
        <v>45986</v>
      </c>
      <c r="C68">
        <v>32416</v>
      </c>
      <c r="D68" s="2">
        <f t="shared" si="63"/>
        <v>13570</v>
      </c>
      <c r="E68">
        <v>31904</v>
      </c>
      <c r="F68" s="3">
        <f t="shared" si="32"/>
        <v>0.42533851554664</v>
      </c>
      <c r="H68" s="1">
        <v>44105.2162478</v>
      </c>
      <c r="I68">
        <v>31145</v>
      </c>
      <c r="J68" s="2">
        <f t="shared" si="33"/>
        <v>12960.2162478</v>
      </c>
      <c r="K68">
        <v>32760</v>
      </c>
      <c r="L68" s="3">
        <f t="shared" si="34"/>
        <v>0.395610996575092</v>
      </c>
      <c r="N68" s="4">
        <v>262.4233284</v>
      </c>
      <c r="O68">
        <v>201.27</v>
      </c>
      <c r="P68" s="5">
        <f t="shared" si="35"/>
        <v>61.1533284</v>
      </c>
      <c r="Q68">
        <v>79.69</v>
      </c>
      <c r="R68" s="3">
        <f t="shared" si="36"/>
        <v>0.76739024218848</v>
      </c>
      <c r="T68" s="4">
        <v>219.433332433333</v>
      </c>
      <c r="U68">
        <v>100.23</v>
      </c>
      <c r="V68" s="5">
        <f t="shared" si="37"/>
        <v>119.203332433333</v>
      </c>
      <c r="W68">
        <v>410.93</v>
      </c>
      <c r="X68" s="3">
        <f t="shared" si="38"/>
        <v>0.290081844677519</v>
      </c>
      <c r="Z68" s="4">
        <v>28.1091666625</v>
      </c>
      <c r="AA68">
        <v>13.25</v>
      </c>
      <c r="AB68" s="5">
        <f t="shared" si="39"/>
        <v>14.8591666625</v>
      </c>
      <c r="AC68">
        <v>33.93</v>
      </c>
      <c r="AD68" s="3">
        <f t="shared" si="40"/>
        <v>0.437935946433834</v>
      </c>
      <c r="AF68" s="4">
        <v>3.34768406464284</v>
      </c>
      <c r="AG68">
        <v>2.09</v>
      </c>
      <c r="AH68" s="5">
        <f t="shared" si="41"/>
        <v>1.25768406464284</v>
      </c>
      <c r="AI68">
        <v>3.85</v>
      </c>
      <c r="AJ68" s="3">
        <f t="shared" si="42"/>
        <v>0.326671185621517</v>
      </c>
      <c r="AL68" s="4">
        <v>6.873999965</v>
      </c>
      <c r="AM68">
        <v>6.1</v>
      </c>
      <c r="AN68" s="5">
        <f t="shared" si="43"/>
        <v>0.773999965000001</v>
      </c>
      <c r="AO68">
        <v>1.89</v>
      </c>
      <c r="AP68" s="3">
        <f t="shared" si="44"/>
        <v>0.409523791005291</v>
      </c>
      <c r="AR68" s="4">
        <v>0.6725</v>
      </c>
      <c r="AS68">
        <v>0.02</v>
      </c>
      <c r="AT68" s="5">
        <f t="shared" si="45"/>
        <v>0.6525</v>
      </c>
      <c r="AU68">
        <v>2.84</v>
      </c>
      <c r="AV68" s="3">
        <f t="shared" si="46"/>
        <v>0.229753521126761</v>
      </c>
      <c r="AX68" s="4">
        <v>8.51586652916667</v>
      </c>
      <c r="AY68">
        <v>3.44</v>
      </c>
      <c r="AZ68" s="5">
        <f t="shared" si="47"/>
        <v>5.07586652916667</v>
      </c>
      <c r="BA68">
        <v>29.17</v>
      </c>
      <c r="BB68" s="3">
        <f t="shared" si="48"/>
        <v>0.174009822734545</v>
      </c>
      <c r="BD68" s="4">
        <v>0.223666666666667</v>
      </c>
      <c r="BE68">
        <v>0.17</v>
      </c>
      <c r="BF68" s="5">
        <f t="shared" si="49"/>
        <v>0.053666666666667</v>
      </c>
      <c r="BG68">
        <v>4</v>
      </c>
      <c r="BH68" s="3">
        <f t="shared" si="50"/>
        <v>0.0134166666666668</v>
      </c>
      <c r="BJ68" s="9">
        <v>8.184583425</v>
      </c>
      <c r="BK68">
        <v>4.8</v>
      </c>
      <c r="BL68" s="5">
        <f t="shared" si="51"/>
        <v>3.384583425</v>
      </c>
      <c r="BM68">
        <v>8.9</v>
      </c>
      <c r="BN68" s="3">
        <f t="shared" si="52"/>
        <v>0.38029027247191</v>
      </c>
      <c r="BP68" s="9">
        <v>0.286841666666667</v>
      </c>
      <c r="BQ68">
        <v>0.09</v>
      </c>
      <c r="BR68" s="5">
        <f t="shared" si="53"/>
        <v>0.196841666666667</v>
      </c>
      <c r="BS68">
        <v>0.43</v>
      </c>
      <c r="BT68" s="3">
        <f t="shared" si="54"/>
        <v>0.457771317829458</v>
      </c>
      <c r="BV68" s="4">
        <v>6.41106669583333</v>
      </c>
      <c r="BW68">
        <v>6.18</v>
      </c>
      <c r="BX68" s="5">
        <f t="shared" si="55"/>
        <v>0.231066695833331</v>
      </c>
      <c r="BY68">
        <v>1.68</v>
      </c>
      <c r="BZ68" s="3">
        <f t="shared" si="56"/>
        <v>0.137539699900792</v>
      </c>
      <c r="CB68" s="10">
        <v>124.4</v>
      </c>
      <c r="CC68">
        <v>54.3</v>
      </c>
      <c r="CD68" s="12">
        <f t="shared" si="57"/>
        <v>70.1</v>
      </c>
      <c r="CE68">
        <v>71.3</v>
      </c>
      <c r="CF68" s="3">
        <f t="shared" si="58"/>
        <v>0.983169705469846</v>
      </c>
      <c r="CH68" s="13">
        <v>30.6</v>
      </c>
      <c r="CI68">
        <v>22.6</v>
      </c>
      <c r="CJ68">
        <f t="shared" si="59"/>
        <v>8</v>
      </c>
      <c r="CK68">
        <v>25.1</v>
      </c>
      <c r="CL68">
        <f t="shared" si="60"/>
        <v>0.318725099601594</v>
      </c>
      <c r="CN68" s="11">
        <v>4.1</v>
      </c>
      <c r="CO68">
        <v>3</v>
      </c>
      <c r="CP68" s="12">
        <f t="shared" si="61"/>
        <v>1.1</v>
      </c>
      <c r="CQ68">
        <v>3.4</v>
      </c>
      <c r="CR68" s="3">
        <f t="shared" si="62"/>
        <v>0.323529411764706</v>
      </c>
    </row>
    <row r="69" spans="2:96">
      <c r="B69" s="1">
        <v>40589</v>
      </c>
      <c r="C69">
        <v>32416</v>
      </c>
      <c r="D69" s="2">
        <f t="shared" si="63"/>
        <v>8173</v>
      </c>
      <c r="E69">
        <v>31904</v>
      </c>
      <c r="F69" s="3">
        <f t="shared" si="32"/>
        <v>0.256174774322969</v>
      </c>
      <c r="H69" s="1">
        <v>39944.3070678</v>
      </c>
      <c r="I69">
        <v>31145</v>
      </c>
      <c r="J69" s="2">
        <f t="shared" si="33"/>
        <v>8799.3070678</v>
      </c>
      <c r="K69">
        <v>32760</v>
      </c>
      <c r="L69" s="3">
        <f t="shared" si="34"/>
        <v>0.268599116843712</v>
      </c>
      <c r="N69" s="4">
        <v>255.610001245833</v>
      </c>
      <c r="O69">
        <v>201.27</v>
      </c>
      <c r="P69" s="5">
        <f t="shared" si="35"/>
        <v>54.340001245833</v>
      </c>
      <c r="Q69">
        <v>79.69</v>
      </c>
      <c r="R69" s="3">
        <f t="shared" si="36"/>
        <v>0.681892348423052</v>
      </c>
      <c r="T69" s="4">
        <v>222.5916659</v>
      </c>
      <c r="U69">
        <v>100.23</v>
      </c>
      <c r="V69" s="5">
        <f t="shared" si="37"/>
        <v>122.3616659</v>
      </c>
      <c r="W69">
        <v>410.93</v>
      </c>
      <c r="X69" s="3">
        <f t="shared" si="38"/>
        <v>0.297767663348989</v>
      </c>
      <c r="Z69" s="4">
        <v>28.2758332291666</v>
      </c>
      <c r="AA69">
        <v>13.25</v>
      </c>
      <c r="AB69" s="5">
        <f t="shared" si="39"/>
        <v>15.0258332291666</v>
      </c>
      <c r="AC69">
        <v>33.93</v>
      </c>
      <c r="AD69" s="3">
        <f t="shared" si="40"/>
        <v>0.442848017364179</v>
      </c>
      <c r="AF69" s="4">
        <v>4.7058184774792</v>
      </c>
      <c r="AG69">
        <v>2.09</v>
      </c>
      <c r="AH69" s="5">
        <f t="shared" si="41"/>
        <v>2.6158184774792</v>
      </c>
      <c r="AI69">
        <v>3.85</v>
      </c>
      <c r="AJ69" s="3">
        <f t="shared" si="42"/>
        <v>0.679433370773818</v>
      </c>
      <c r="AL69" s="4">
        <v>6.740160055</v>
      </c>
      <c r="AM69">
        <v>6.1</v>
      </c>
      <c r="AN69" s="5">
        <f t="shared" si="43"/>
        <v>0.640160055</v>
      </c>
      <c r="AO69">
        <v>1.89</v>
      </c>
      <c r="AP69" s="3">
        <f t="shared" si="44"/>
        <v>0.338709023809524</v>
      </c>
      <c r="AR69" s="4">
        <v>0.780416666666666</v>
      </c>
      <c r="AS69">
        <v>0.02</v>
      </c>
      <c r="AT69" s="5">
        <f t="shared" si="45"/>
        <v>0.760416666666666</v>
      </c>
      <c r="AU69">
        <v>2.84</v>
      </c>
      <c r="AV69" s="3">
        <f t="shared" si="46"/>
        <v>0.26775234741784</v>
      </c>
      <c r="AX69" s="4">
        <v>9.071399975</v>
      </c>
      <c r="AY69">
        <v>3.44</v>
      </c>
      <c r="AZ69" s="5">
        <f t="shared" si="47"/>
        <v>5.631399975</v>
      </c>
      <c r="BA69">
        <v>29.17</v>
      </c>
      <c r="BB69" s="3">
        <f t="shared" si="48"/>
        <v>0.193054507199177</v>
      </c>
      <c r="BD69" s="4">
        <v>0.360333333333333</v>
      </c>
      <c r="BE69">
        <v>0.17</v>
      </c>
      <c r="BF69" s="5">
        <f t="shared" si="49"/>
        <v>0.190333333333333</v>
      </c>
      <c r="BG69">
        <v>4</v>
      </c>
      <c r="BH69" s="3">
        <f t="shared" si="50"/>
        <v>0.0475833333333332</v>
      </c>
      <c r="BJ69" s="9">
        <v>9.26650005416667</v>
      </c>
      <c r="BK69">
        <v>4.8</v>
      </c>
      <c r="BL69" s="5">
        <f t="shared" si="51"/>
        <v>4.46650005416667</v>
      </c>
      <c r="BM69">
        <v>8.9</v>
      </c>
      <c r="BN69" s="3">
        <f t="shared" si="52"/>
        <v>0.501853938670412</v>
      </c>
      <c r="BP69" s="9">
        <v>0.251775</v>
      </c>
      <c r="BQ69">
        <v>0.09</v>
      </c>
      <c r="BR69" s="5">
        <f t="shared" si="53"/>
        <v>0.161775</v>
      </c>
      <c r="BS69">
        <v>0.43</v>
      </c>
      <c r="BT69" s="3">
        <f t="shared" si="54"/>
        <v>0.376220930232558</v>
      </c>
      <c r="BV69" s="4">
        <v>6.4114166625</v>
      </c>
      <c r="BW69">
        <v>6.18</v>
      </c>
      <c r="BX69" s="5">
        <f t="shared" si="55"/>
        <v>0.2314166625</v>
      </c>
      <c r="BY69">
        <v>1.68</v>
      </c>
      <c r="BZ69" s="3">
        <f t="shared" si="56"/>
        <v>0.137748013392857</v>
      </c>
      <c r="CB69" s="10">
        <v>124.5</v>
      </c>
      <c r="CC69">
        <v>54.3</v>
      </c>
      <c r="CD69" s="12">
        <f t="shared" si="57"/>
        <v>70.2</v>
      </c>
      <c r="CE69">
        <v>71.3</v>
      </c>
      <c r="CF69" s="3">
        <f t="shared" si="58"/>
        <v>0.984572230014025</v>
      </c>
      <c r="CH69" s="13">
        <v>31.3</v>
      </c>
      <c r="CI69">
        <v>22.6</v>
      </c>
      <c r="CJ69">
        <f t="shared" si="59"/>
        <v>8.7</v>
      </c>
      <c r="CK69">
        <v>25.1</v>
      </c>
      <c r="CL69">
        <f t="shared" si="60"/>
        <v>0.346613545816733</v>
      </c>
      <c r="CN69" s="10">
        <v>4.9</v>
      </c>
      <c r="CO69">
        <v>3</v>
      </c>
      <c r="CP69" s="12">
        <f t="shared" si="61"/>
        <v>1.9</v>
      </c>
      <c r="CQ69">
        <v>3.4</v>
      </c>
      <c r="CR69" s="3">
        <f t="shared" si="62"/>
        <v>0.558823529411765</v>
      </c>
    </row>
    <row r="70" spans="2:96">
      <c r="B70" s="1">
        <v>44618</v>
      </c>
      <c r="C70">
        <v>32416</v>
      </c>
      <c r="D70" s="2">
        <f t="shared" si="63"/>
        <v>12202</v>
      </c>
      <c r="E70">
        <v>31904</v>
      </c>
      <c r="F70" s="3">
        <f t="shared" si="32"/>
        <v>0.382459879638917</v>
      </c>
      <c r="H70" s="1">
        <v>43529.4566651</v>
      </c>
      <c r="I70">
        <v>31145</v>
      </c>
      <c r="J70" s="2">
        <f t="shared" si="33"/>
        <v>12384.4566651</v>
      </c>
      <c r="K70">
        <v>32760</v>
      </c>
      <c r="L70" s="3">
        <f t="shared" si="34"/>
        <v>0.378035917738095</v>
      </c>
      <c r="N70" s="4">
        <v>248.410002395833</v>
      </c>
      <c r="O70">
        <v>201.27</v>
      </c>
      <c r="P70" s="5">
        <f t="shared" si="35"/>
        <v>47.140002395833</v>
      </c>
      <c r="Q70">
        <v>79.69</v>
      </c>
      <c r="R70" s="3">
        <f t="shared" si="36"/>
        <v>0.591542256190651</v>
      </c>
      <c r="T70" s="4">
        <v>201.9000008875</v>
      </c>
      <c r="U70">
        <v>100.23</v>
      </c>
      <c r="V70" s="5">
        <f t="shared" si="37"/>
        <v>101.6700008875</v>
      </c>
      <c r="W70">
        <v>410.93</v>
      </c>
      <c r="X70" s="3">
        <f t="shared" si="38"/>
        <v>0.247414403639306</v>
      </c>
      <c r="Z70" s="4">
        <v>29.432916675</v>
      </c>
      <c r="AA70">
        <v>13.25</v>
      </c>
      <c r="AB70" s="5">
        <f t="shared" si="39"/>
        <v>16.182916675</v>
      </c>
      <c r="AC70">
        <v>33.93</v>
      </c>
      <c r="AD70" s="3">
        <f t="shared" si="40"/>
        <v>0.476950093575007</v>
      </c>
      <c r="AF70" s="4">
        <v>3.28398035711634</v>
      </c>
      <c r="AG70">
        <v>2.09</v>
      </c>
      <c r="AH70" s="5">
        <f t="shared" si="41"/>
        <v>1.19398035711634</v>
      </c>
      <c r="AI70">
        <v>3.85</v>
      </c>
      <c r="AJ70" s="3">
        <f t="shared" si="42"/>
        <v>0.310124768082166</v>
      </c>
      <c r="AL70" s="4">
        <v>6.72567369473684</v>
      </c>
      <c r="AM70">
        <v>6.1</v>
      </c>
      <c r="AN70" s="5">
        <f t="shared" si="43"/>
        <v>0.62567369473684</v>
      </c>
      <c r="AO70">
        <v>1.89</v>
      </c>
      <c r="AP70" s="3">
        <f t="shared" si="44"/>
        <v>0.331044282929545</v>
      </c>
      <c r="AR70" s="4">
        <v>0.882916666666666</v>
      </c>
      <c r="AS70">
        <v>0.02</v>
      </c>
      <c r="AT70" s="5">
        <f t="shared" si="45"/>
        <v>0.862916666666666</v>
      </c>
      <c r="AU70">
        <v>2.84</v>
      </c>
      <c r="AV70" s="3">
        <f t="shared" si="46"/>
        <v>0.303843896713615</v>
      </c>
      <c r="AX70" s="4">
        <v>9.13639991666666</v>
      </c>
      <c r="AY70">
        <v>3.44</v>
      </c>
      <c r="AZ70" s="5">
        <f t="shared" si="47"/>
        <v>5.69639991666666</v>
      </c>
      <c r="BA70">
        <v>29.17</v>
      </c>
      <c r="BB70" s="3">
        <f t="shared" si="48"/>
        <v>0.195282821963204</v>
      </c>
      <c r="BD70" s="4">
        <v>0.227166666666667</v>
      </c>
      <c r="BE70">
        <v>0.17</v>
      </c>
      <c r="BF70" s="5">
        <f t="shared" si="49"/>
        <v>0.057166666666667</v>
      </c>
      <c r="BG70">
        <v>4</v>
      </c>
      <c r="BH70" s="3">
        <f t="shared" si="50"/>
        <v>0.0142916666666667</v>
      </c>
      <c r="BJ70" s="9">
        <v>9.60491675416667</v>
      </c>
      <c r="BK70">
        <v>4.8</v>
      </c>
      <c r="BL70" s="5">
        <f t="shared" si="51"/>
        <v>4.80491675416667</v>
      </c>
      <c r="BM70">
        <v>8.9</v>
      </c>
      <c r="BN70" s="3">
        <f t="shared" si="52"/>
        <v>0.539878286985019</v>
      </c>
      <c r="BP70" s="9">
        <v>0.21185</v>
      </c>
      <c r="BQ70">
        <v>0.09</v>
      </c>
      <c r="BR70" s="5">
        <f t="shared" si="53"/>
        <v>0.12185</v>
      </c>
      <c r="BS70">
        <v>0.43</v>
      </c>
      <c r="BT70" s="3">
        <f t="shared" si="54"/>
        <v>0.283372093023256</v>
      </c>
      <c r="BV70" s="4">
        <v>6.3623000375</v>
      </c>
      <c r="BW70">
        <v>6.18</v>
      </c>
      <c r="BX70" s="5">
        <f t="shared" si="55"/>
        <v>0.1823000375</v>
      </c>
      <c r="BY70">
        <v>1.68</v>
      </c>
      <c r="BZ70" s="3">
        <f t="shared" si="56"/>
        <v>0.108511927083333</v>
      </c>
      <c r="CB70" s="10">
        <v>124.8</v>
      </c>
      <c r="CC70">
        <v>54.3</v>
      </c>
      <c r="CD70" s="12">
        <f t="shared" si="57"/>
        <v>70.5</v>
      </c>
      <c r="CE70">
        <v>71.3</v>
      </c>
      <c r="CF70" s="3">
        <f t="shared" si="58"/>
        <v>0.988779803646564</v>
      </c>
      <c r="CH70" s="13">
        <v>29.8</v>
      </c>
      <c r="CI70">
        <v>22.6</v>
      </c>
      <c r="CJ70">
        <f t="shared" si="59"/>
        <v>7.2</v>
      </c>
      <c r="CK70">
        <v>25.1</v>
      </c>
      <c r="CL70">
        <f t="shared" si="60"/>
        <v>0.286852589641434</v>
      </c>
      <c r="CN70" s="10">
        <v>3.8</v>
      </c>
      <c r="CO70">
        <v>3</v>
      </c>
      <c r="CP70" s="12">
        <f t="shared" si="61"/>
        <v>0.8</v>
      </c>
      <c r="CQ70">
        <v>3.4</v>
      </c>
      <c r="CR70" s="3">
        <f t="shared" si="62"/>
        <v>0.235294117647059</v>
      </c>
    </row>
    <row r="71" spans="2:96">
      <c r="B71" s="1">
        <v>47853</v>
      </c>
      <c r="C71">
        <v>32416</v>
      </c>
      <c r="D71" s="2">
        <f t="shared" si="63"/>
        <v>15437</v>
      </c>
      <c r="E71">
        <v>31904</v>
      </c>
      <c r="F71" s="3">
        <f t="shared" si="32"/>
        <v>0.483857823470411</v>
      </c>
      <c r="H71" s="1">
        <v>46703.4514769</v>
      </c>
      <c r="I71">
        <v>31145</v>
      </c>
      <c r="J71" s="2">
        <f t="shared" si="33"/>
        <v>15558.4514769</v>
      </c>
      <c r="K71">
        <v>32760</v>
      </c>
      <c r="L71" s="3">
        <f t="shared" si="34"/>
        <v>0.474922206254579</v>
      </c>
      <c r="N71" s="4">
        <v>251.946666083333</v>
      </c>
      <c r="O71">
        <v>201.27</v>
      </c>
      <c r="P71" s="5">
        <f t="shared" si="35"/>
        <v>50.676666083333</v>
      </c>
      <c r="Q71">
        <v>79.69</v>
      </c>
      <c r="R71" s="3">
        <f t="shared" si="36"/>
        <v>0.635922525829251</v>
      </c>
      <c r="T71" s="4">
        <v>182.866668708333</v>
      </c>
      <c r="U71">
        <v>100.23</v>
      </c>
      <c r="V71" s="5">
        <f t="shared" si="37"/>
        <v>82.636668708333</v>
      </c>
      <c r="W71">
        <v>410.93</v>
      </c>
      <c r="X71" s="3">
        <f t="shared" si="38"/>
        <v>0.201096704325148</v>
      </c>
      <c r="Z71" s="4">
        <v>28.52958345</v>
      </c>
      <c r="AA71">
        <v>13.25</v>
      </c>
      <c r="AB71" s="5">
        <f t="shared" si="39"/>
        <v>15.27958345</v>
      </c>
      <c r="AC71">
        <v>33.93</v>
      </c>
      <c r="AD71" s="3">
        <f t="shared" si="40"/>
        <v>0.450326656351312</v>
      </c>
      <c r="AF71" s="4">
        <v>4.18713612539446</v>
      </c>
      <c r="AG71">
        <v>2.09</v>
      </c>
      <c r="AH71" s="5">
        <f t="shared" si="41"/>
        <v>2.09713612539446</v>
      </c>
      <c r="AI71">
        <v>3.85</v>
      </c>
      <c r="AJ71" s="3">
        <f t="shared" si="42"/>
        <v>0.544710681920639</v>
      </c>
      <c r="AL71" s="4">
        <v>6.81173333809524</v>
      </c>
      <c r="AM71">
        <v>6.1</v>
      </c>
      <c r="AN71" s="5">
        <f t="shared" si="43"/>
        <v>0.71173333809524</v>
      </c>
      <c r="AO71">
        <v>1.89</v>
      </c>
      <c r="AP71" s="3">
        <f t="shared" si="44"/>
        <v>0.376578485764678</v>
      </c>
      <c r="AR71" s="4">
        <v>0.878958333333333</v>
      </c>
      <c r="AS71">
        <v>0.02</v>
      </c>
      <c r="AT71" s="5">
        <f t="shared" si="45"/>
        <v>0.858958333333333</v>
      </c>
      <c r="AU71">
        <v>2.84</v>
      </c>
      <c r="AV71" s="3">
        <f t="shared" si="46"/>
        <v>0.302450117370892</v>
      </c>
      <c r="AX71" s="4">
        <v>11.2597332041667</v>
      </c>
      <c r="AY71">
        <v>3.44</v>
      </c>
      <c r="AZ71" s="5">
        <f t="shared" si="47"/>
        <v>7.8197332041667</v>
      </c>
      <c r="BA71">
        <v>29.17</v>
      </c>
      <c r="BB71" s="3">
        <f t="shared" si="48"/>
        <v>0.268074501342705</v>
      </c>
      <c r="BD71" s="4">
        <v>1.342833325</v>
      </c>
      <c r="BE71">
        <v>0.17</v>
      </c>
      <c r="BF71" s="5">
        <f t="shared" si="49"/>
        <v>1.172833325</v>
      </c>
      <c r="BG71">
        <v>4</v>
      </c>
      <c r="BH71" s="3">
        <f t="shared" si="50"/>
        <v>0.29320833125</v>
      </c>
      <c r="BJ71" s="9">
        <v>9.18575004166667</v>
      </c>
      <c r="BK71">
        <v>4.8</v>
      </c>
      <c r="BL71" s="5">
        <f t="shared" si="51"/>
        <v>4.38575004166667</v>
      </c>
      <c r="BM71">
        <v>8.9</v>
      </c>
      <c r="BN71" s="3">
        <f t="shared" si="52"/>
        <v>0.492780903558053</v>
      </c>
      <c r="BP71" s="9">
        <v>0.218375</v>
      </c>
      <c r="BQ71">
        <v>0.09</v>
      </c>
      <c r="BR71" s="5">
        <f t="shared" si="53"/>
        <v>0.128375</v>
      </c>
      <c r="BS71">
        <v>0.43</v>
      </c>
      <c r="BT71" s="3">
        <f t="shared" si="54"/>
        <v>0.298546511627907</v>
      </c>
      <c r="BV71" s="4">
        <v>6.35232499166667</v>
      </c>
      <c r="BW71">
        <v>6.18</v>
      </c>
      <c r="BX71" s="5">
        <f t="shared" si="55"/>
        <v>0.17232499166667</v>
      </c>
      <c r="BY71">
        <v>1.68</v>
      </c>
      <c r="BZ71" s="3">
        <f t="shared" si="56"/>
        <v>0.102574399801589</v>
      </c>
      <c r="CB71" s="10">
        <v>123.2</v>
      </c>
      <c r="CC71">
        <v>54.3</v>
      </c>
      <c r="CD71" s="12">
        <f t="shared" si="57"/>
        <v>68.9</v>
      </c>
      <c r="CE71">
        <v>71.3</v>
      </c>
      <c r="CF71" s="3">
        <f t="shared" si="58"/>
        <v>0.966339410939692</v>
      </c>
      <c r="CH71" s="13">
        <v>30.3</v>
      </c>
      <c r="CI71">
        <v>22.6</v>
      </c>
      <c r="CJ71">
        <f t="shared" si="59"/>
        <v>7.7</v>
      </c>
      <c r="CK71">
        <v>25.1</v>
      </c>
      <c r="CL71">
        <f t="shared" si="60"/>
        <v>0.306772908366534</v>
      </c>
      <c r="CN71" s="10">
        <v>3</v>
      </c>
      <c r="CO71">
        <v>3</v>
      </c>
      <c r="CP71" s="12">
        <f t="shared" si="61"/>
        <v>0</v>
      </c>
      <c r="CQ71">
        <v>3.4</v>
      </c>
      <c r="CR71" s="3">
        <f t="shared" si="62"/>
        <v>0</v>
      </c>
    </row>
    <row r="72" spans="2:96">
      <c r="B72" s="1">
        <v>43652</v>
      </c>
      <c r="C72">
        <v>32416</v>
      </c>
      <c r="D72" s="2">
        <f t="shared" si="63"/>
        <v>11236</v>
      </c>
      <c r="E72">
        <v>31904</v>
      </c>
      <c r="F72" s="3">
        <f t="shared" si="32"/>
        <v>0.352181544633902</v>
      </c>
      <c r="H72" s="1">
        <v>42210.3252743</v>
      </c>
      <c r="I72">
        <v>31145</v>
      </c>
      <c r="J72" s="2">
        <f t="shared" si="33"/>
        <v>11065.3252743</v>
      </c>
      <c r="K72">
        <v>32760</v>
      </c>
      <c r="L72" s="3">
        <f t="shared" si="34"/>
        <v>0.337769391767399</v>
      </c>
      <c r="N72" s="4">
        <v>256.319997795833</v>
      </c>
      <c r="O72">
        <v>201.27</v>
      </c>
      <c r="P72" s="5">
        <f t="shared" si="35"/>
        <v>55.049997795833</v>
      </c>
      <c r="Q72">
        <v>79.69</v>
      </c>
      <c r="R72" s="3">
        <f t="shared" si="36"/>
        <v>0.69080182953737</v>
      </c>
      <c r="T72" s="4">
        <v>187.241666795833</v>
      </c>
      <c r="U72">
        <v>100.23</v>
      </c>
      <c r="V72" s="5">
        <f t="shared" si="37"/>
        <v>87.011666795833</v>
      </c>
      <c r="W72">
        <v>410.93</v>
      </c>
      <c r="X72" s="3">
        <f t="shared" si="38"/>
        <v>0.211743281814015</v>
      </c>
      <c r="Z72" s="4">
        <v>28.5795833916666</v>
      </c>
      <c r="AA72">
        <v>13.25</v>
      </c>
      <c r="AB72" s="5">
        <f t="shared" si="39"/>
        <v>15.3295833916666</v>
      </c>
      <c r="AC72">
        <v>33.93</v>
      </c>
      <c r="AD72" s="3">
        <f t="shared" si="40"/>
        <v>0.451800276795361</v>
      </c>
      <c r="AF72" s="4">
        <v>3.86880559383775</v>
      </c>
      <c r="AG72">
        <v>2.09</v>
      </c>
      <c r="AH72" s="5">
        <f t="shared" si="41"/>
        <v>1.77880559383775</v>
      </c>
      <c r="AI72">
        <v>3.85</v>
      </c>
      <c r="AJ72" s="3">
        <f t="shared" si="42"/>
        <v>0.462027426970844</v>
      </c>
      <c r="AL72" s="4">
        <v>6.85486659047619</v>
      </c>
      <c r="AM72">
        <v>6.1</v>
      </c>
      <c r="AN72" s="5">
        <f t="shared" si="43"/>
        <v>0.75486659047619</v>
      </c>
      <c r="AO72">
        <v>1.89</v>
      </c>
      <c r="AP72" s="3">
        <f t="shared" si="44"/>
        <v>0.399400312421265</v>
      </c>
      <c r="AR72" s="4">
        <v>0.779166666666666</v>
      </c>
      <c r="AS72">
        <v>0.02</v>
      </c>
      <c r="AT72" s="5">
        <f t="shared" si="45"/>
        <v>0.759166666666666</v>
      </c>
      <c r="AU72">
        <v>2.84</v>
      </c>
      <c r="AV72" s="3">
        <f t="shared" si="46"/>
        <v>0.26731220657277</v>
      </c>
      <c r="AX72" s="4">
        <v>9.330533325</v>
      </c>
      <c r="AY72">
        <v>3.44</v>
      </c>
      <c r="AZ72" s="5">
        <f t="shared" si="47"/>
        <v>5.890533325</v>
      </c>
      <c r="BA72">
        <v>29.17</v>
      </c>
      <c r="BB72" s="3">
        <f t="shared" si="48"/>
        <v>0.20193806393555</v>
      </c>
      <c r="BD72" s="4">
        <v>3.29375002916667</v>
      </c>
      <c r="BE72">
        <v>0.17</v>
      </c>
      <c r="BF72" s="5">
        <f t="shared" si="49"/>
        <v>3.12375002916667</v>
      </c>
      <c r="BG72">
        <v>4</v>
      </c>
      <c r="BH72" s="3">
        <f t="shared" si="50"/>
        <v>0.780937507291668</v>
      </c>
      <c r="BJ72" s="9">
        <v>5.22074997916667</v>
      </c>
      <c r="BK72">
        <v>4.8</v>
      </c>
      <c r="BL72" s="5">
        <f t="shared" si="51"/>
        <v>0.42074997916667</v>
      </c>
      <c r="BM72">
        <v>8.9</v>
      </c>
      <c r="BN72" s="3">
        <f t="shared" si="52"/>
        <v>0.0472752785580528</v>
      </c>
      <c r="BP72" s="9">
        <v>0.109433333333333</v>
      </c>
      <c r="BQ72">
        <v>0.09</v>
      </c>
      <c r="BR72" s="5">
        <f t="shared" si="53"/>
        <v>0.019433333333333</v>
      </c>
      <c r="BS72">
        <v>0.43</v>
      </c>
      <c r="BT72" s="3">
        <f t="shared" si="54"/>
        <v>0.0451937984496116</v>
      </c>
      <c r="BV72" s="4">
        <v>6.35996665416667</v>
      </c>
      <c r="BW72">
        <v>6.18</v>
      </c>
      <c r="BX72" s="5">
        <f t="shared" si="55"/>
        <v>0.17996665416667</v>
      </c>
      <c r="BY72">
        <v>1.68</v>
      </c>
      <c r="BZ72" s="3">
        <f t="shared" si="56"/>
        <v>0.107123008432542</v>
      </c>
      <c r="CB72" s="10">
        <v>122</v>
      </c>
      <c r="CC72">
        <v>54.3</v>
      </c>
      <c r="CD72" s="12">
        <f t="shared" si="57"/>
        <v>67.7</v>
      </c>
      <c r="CE72">
        <v>71.3</v>
      </c>
      <c r="CF72" s="3">
        <f t="shared" si="58"/>
        <v>0.949509116409537</v>
      </c>
      <c r="CH72" s="13">
        <v>28.4</v>
      </c>
      <c r="CI72">
        <v>22.6</v>
      </c>
      <c r="CJ72">
        <f t="shared" si="59"/>
        <v>5.8</v>
      </c>
      <c r="CK72">
        <v>25.1</v>
      </c>
      <c r="CL72">
        <f t="shared" si="60"/>
        <v>0.231075697211155</v>
      </c>
      <c r="CN72" s="10">
        <v>3.5</v>
      </c>
      <c r="CO72">
        <v>3</v>
      </c>
      <c r="CP72" s="12">
        <f t="shared" si="61"/>
        <v>0.5</v>
      </c>
      <c r="CQ72">
        <v>3.4</v>
      </c>
      <c r="CR72" s="3">
        <f t="shared" si="62"/>
        <v>0.147058823529412</v>
      </c>
    </row>
    <row r="73" spans="2:96">
      <c r="B73" s="1">
        <v>49872</v>
      </c>
      <c r="C73">
        <v>32416</v>
      </c>
      <c r="D73" s="2">
        <f t="shared" si="63"/>
        <v>17456</v>
      </c>
      <c r="E73">
        <v>31904</v>
      </c>
      <c r="F73" s="3">
        <f t="shared" si="32"/>
        <v>0.547141424272818</v>
      </c>
      <c r="H73" s="1">
        <v>48737.3276671</v>
      </c>
      <c r="I73">
        <v>31145</v>
      </c>
      <c r="J73" s="2">
        <f t="shared" si="33"/>
        <v>17592.3276671</v>
      </c>
      <c r="K73">
        <v>32760</v>
      </c>
      <c r="L73" s="3">
        <f t="shared" si="34"/>
        <v>0.537006339044567</v>
      </c>
      <c r="N73" s="4">
        <v>248.256666816667</v>
      </c>
      <c r="O73">
        <v>201.27</v>
      </c>
      <c r="P73" s="5">
        <f t="shared" si="35"/>
        <v>46.986666816667</v>
      </c>
      <c r="Q73">
        <v>79.69</v>
      </c>
      <c r="R73" s="3">
        <f t="shared" si="36"/>
        <v>0.589618105366633</v>
      </c>
      <c r="T73" s="4">
        <v>168.5833339625</v>
      </c>
      <c r="U73">
        <v>100.23</v>
      </c>
      <c r="V73" s="5">
        <f t="shared" si="37"/>
        <v>68.3533339625</v>
      </c>
      <c r="W73">
        <v>410.93</v>
      </c>
      <c r="X73" s="3">
        <f t="shared" si="38"/>
        <v>0.166338145091621</v>
      </c>
      <c r="Z73" s="4">
        <v>27.7958331125</v>
      </c>
      <c r="AA73">
        <v>13.25</v>
      </c>
      <c r="AB73" s="5">
        <f t="shared" si="39"/>
        <v>14.5458331125</v>
      </c>
      <c r="AC73">
        <v>33.93</v>
      </c>
      <c r="AD73" s="3">
        <f t="shared" si="40"/>
        <v>0.428701241158267</v>
      </c>
      <c r="AF73" s="4">
        <v>3.97183385827587</v>
      </c>
      <c r="AG73">
        <v>2.09</v>
      </c>
      <c r="AH73" s="5">
        <f t="shared" si="41"/>
        <v>1.88183385827587</v>
      </c>
      <c r="AI73">
        <v>3.85</v>
      </c>
      <c r="AJ73" s="3">
        <f t="shared" si="42"/>
        <v>0.48878801513659</v>
      </c>
      <c r="AL73" s="4">
        <v>6.83680002857143</v>
      </c>
      <c r="AM73">
        <v>6.1</v>
      </c>
      <c r="AN73" s="5">
        <f t="shared" si="43"/>
        <v>0.73680002857143</v>
      </c>
      <c r="AO73">
        <v>1.89</v>
      </c>
      <c r="AP73" s="3">
        <f t="shared" si="44"/>
        <v>0.389841284958429</v>
      </c>
      <c r="AR73" s="4">
        <v>0.676875</v>
      </c>
      <c r="AS73">
        <v>0.02</v>
      </c>
      <c r="AT73" s="5">
        <f t="shared" si="45"/>
        <v>0.656875</v>
      </c>
      <c r="AU73">
        <v>2.84</v>
      </c>
      <c r="AV73" s="3">
        <f t="shared" si="46"/>
        <v>0.231294014084507</v>
      </c>
      <c r="AX73" s="4">
        <v>9.028933225</v>
      </c>
      <c r="AY73">
        <v>3.44</v>
      </c>
      <c r="AZ73" s="5">
        <f t="shared" si="47"/>
        <v>5.588933225</v>
      </c>
      <c r="BA73">
        <v>29.17</v>
      </c>
      <c r="BB73" s="3">
        <f t="shared" si="48"/>
        <v>0.191598670723346</v>
      </c>
      <c r="BD73" s="4">
        <v>2.39516667916667</v>
      </c>
      <c r="BE73">
        <v>0.17</v>
      </c>
      <c r="BF73" s="5">
        <f t="shared" si="49"/>
        <v>2.22516667916667</v>
      </c>
      <c r="BG73">
        <v>4</v>
      </c>
      <c r="BH73" s="3">
        <f t="shared" si="50"/>
        <v>0.556291669791668</v>
      </c>
      <c r="BJ73" s="9">
        <v>5.2666667</v>
      </c>
      <c r="BK73">
        <v>4.8</v>
      </c>
      <c r="BL73" s="5">
        <f t="shared" si="51"/>
        <v>0.4666667</v>
      </c>
      <c r="BM73">
        <v>8.9</v>
      </c>
      <c r="BN73" s="3">
        <f t="shared" si="52"/>
        <v>0.0524344606741573</v>
      </c>
      <c r="BP73" s="9">
        <v>0.287891666666666</v>
      </c>
      <c r="BQ73">
        <v>0.09</v>
      </c>
      <c r="BR73" s="5">
        <f t="shared" si="53"/>
        <v>0.197891666666666</v>
      </c>
      <c r="BS73">
        <v>0.43</v>
      </c>
      <c r="BT73" s="3">
        <f t="shared" si="54"/>
        <v>0.460213178294572</v>
      </c>
      <c r="BV73" s="4">
        <v>6.31201670416667</v>
      </c>
      <c r="BW73">
        <v>6.18</v>
      </c>
      <c r="BX73" s="5">
        <f t="shared" si="55"/>
        <v>0.13201670416667</v>
      </c>
      <c r="BY73">
        <v>1.68</v>
      </c>
      <c r="BZ73" s="3">
        <f t="shared" si="56"/>
        <v>0.0785813715277798</v>
      </c>
      <c r="CB73" s="10">
        <v>122.7</v>
      </c>
      <c r="CC73">
        <v>54.3</v>
      </c>
      <c r="CD73" s="12">
        <f t="shared" si="57"/>
        <v>68.4</v>
      </c>
      <c r="CE73">
        <v>71.3</v>
      </c>
      <c r="CF73" s="3">
        <f t="shared" si="58"/>
        <v>0.959326788218794</v>
      </c>
      <c r="CH73" s="13">
        <v>30.7</v>
      </c>
      <c r="CI73">
        <v>22.6</v>
      </c>
      <c r="CJ73">
        <f t="shared" si="59"/>
        <v>8.1</v>
      </c>
      <c r="CK73">
        <v>25.1</v>
      </c>
      <c r="CL73">
        <f t="shared" si="60"/>
        <v>0.322709163346613</v>
      </c>
      <c r="CN73" s="10">
        <v>3.9</v>
      </c>
      <c r="CO73">
        <v>3</v>
      </c>
      <c r="CP73" s="12">
        <f t="shared" si="61"/>
        <v>0.9</v>
      </c>
      <c r="CQ73">
        <v>3.4</v>
      </c>
      <c r="CR73" s="3">
        <f t="shared" si="62"/>
        <v>0.264705882352941</v>
      </c>
    </row>
    <row r="74" spans="2:96">
      <c r="B74" s="1">
        <v>42561</v>
      </c>
      <c r="C74">
        <v>32416</v>
      </c>
      <c r="D74" s="2">
        <f t="shared" si="63"/>
        <v>10145</v>
      </c>
      <c r="E74">
        <v>31904</v>
      </c>
      <c r="F74" s="3">
        <f t="shared" si="32"/>
        <v>0.317985205616851</v>
      </c>
      <c r="H74" s="1">
        <v>41421.6423952</v>
      </c>
      <c r="I74">
        <v>31145</v>
      </c>
      <c r="J74" s="2">
        <f t="shared" si="33"/>
        <v>10276.6423952</v>
      </c>
      <c r="K74">
        <v>32760</v>
      </c>
      <c r="L74" s="3">
        <f t="shared" si="34"/>
        <v>0.313694822808303</v>
      </c>
      <c r="N74" s="4">
        <v>250.1166687</v>
      </c>
      <c r="O74">
        <v>201.27</v>
      </c>
      <c r="P74" s="5">
        <f t="shared" si="35"/>
        <v>48.8466687</v>
      </c>
      <c r="Q74">
        <v>79.69</v>
      </c>
      <c r="R74" s="3">
        <f t="shared" si="36"/>
        <v>0.612958573221232</v>
      </c>
      <c r="T74" s="4">
        <v>251.891665783333</v>
      </c>
      <c r="U74">
        <v>100.23</v>
      </c>
      <c r="V74" s="5">
        <f t="shared" si="37"/>
        <v>151.661665783333</v>
      </c>
      <c r="W74">
        <v>410.93</v>
      </c>
      <c r="X74" s="3">
        <f t="shared" si="38"/>
        <v>0.369069344616682</v>
      </c>
      <c r="Z74" s="4">
        <v>27.8441667083333</v>
      </c>
      <c r="AA74">
        <v>13.25</v>
      </c>
      <c r="AB74" s="5">
        <f t="shared" si="39"/>
        <v>14.5941667083333</v>
      </c>
      <c r="AC74">
        <v>33.93</v>
      </c>
      <c r="AD74" s="3">
        <f t="shared" si="40"/>
        <v>0.430125750319284</v>
      </c>
      <c r="AF74" s="4">
        <v>3.58879218718159</v>
      </c>
      <c r="AG74">
        <v>2.09</v>
      </c>
      <c r="AH74" s="5">
        <f t="shared" si="41"/>
        <v>1.49879218718159</v>
      </c>
      <c r="AI74">
        <v>3.85</v>
      </c>
      <c r="AJ74" s="3">
        <f t="shared" si="42"/>
        <v>0.389296671995218</v>
      </c>
      <c r="AL74" s="4">
        <v>6.76793336666667</v>
      </c>
      <c r="AM74">
        <v>6.1</v>
      </c>
      <c r="AN74" s="5">
        <f t="shared" si="43"/>
        <v>0.66793336666667</v>
      </c>
      <c r="AO74">
        <v>1.89</v>
      </c>
      <c r="AP74" s="3">
        <f t="shared" si="44"/>
        <v>0.353403897707233</v>
      </c>
      <c r="AR74" s="4">
        <v>0.878125</v>
      </c>
      <c r="AS74">
        <v>0.02</v>
      </c>
      <c r="AT74" s="5">
        <f t="shared" si="45"/>
        <v>0.858125</v>
      </c>
      <c r="AU74">
        <v>2.84</v>
      </c>
      <c r="AV74" s="3">
        <f t="shared" si="46"/>
        <v>0.302156690140845</v>
      </c>
      <c r="AX74" s="4">
        <v>8.26279987083333</v>
      </c>
      <c r="AY74">
        <v>3.44</v>
      </c>
      <c r="AZ74" s="5">
        <f t="shared" si="47"/>
        <v>4.82279987083333</v>
      </c>
      <c r="BA74">
        <v>29.17</v>
      </c>
      <c r="BB74" s="3">
        <f t="shared" si="48"/>
        <v>0.165334243086504</v>
      </c>
      <c r="BD74" s="4">
        <v>1.92099997916667</v>
      </c>
      <c r="BE74">
        <v>0.17</v>
      </c>
      <c r="BF74" s="5">
        <f t="shared" si="49"/>
        <v>1.75099997916667</v>
      </c>
      <c r="BG74">
        <v>4</v>
      </c>
      <c r="BH74" s="3">
        <f t="shared" si="50"/>
        <v>0.437749994791668</v>
      </c>
      <c r="BJ74" s="9">
        <v>9.92633335416667</v>
      </c>
      <c r="BK74">
        <v>4.8</v>
      </c>
      <c r="BL74" s="5">
        <f t="shared" si="51"/>
        <v>5.12633335416667</v>
      </c>
      <c r="BM74">
        <v>8.9</v>
      </c>
      <c r="BN74" s="3">
        <f t="shared" si="52"/>
        <v>0.57599251170412</v>
      </c>
      <c r="BP74" s="9">
        <v>0.178691666666666</v>
      </c>
      <c r="BQ74">
        <v>0.09</v>
      </c>
      <c r="BR74" s="5">
        <f t="shared" si="53"/>
        <v>0.088691666666666</v>
      </c>
      <c r="BS74">
        <v>0.43</v>
      </c>
      <c r="BT74" s="3">
        <f t="shared" si="54"/>
        <v>0.206259689922479</v>
      </c>
      <c r="BV74" s="4">
        <v>6.2962084</v>
      </c>
      <c r="BW74">
        <v>6.18</v>
      </c>
      <c r="BX74" s="5">
        <f t="shared" si="55"/>
        <v>0.116208400000001</v>
      </c>
      <c r="BY74">
        <v>1.68</v>
      </c>
      <c r="BZ74" s="3">
        <f t="shared" si="56"/>
        <v>0.069171666666667</v>
      </c>
      <c r="CB74" s="10">
        <v>121</v>
      </c>
      <c r="CC74">
        <v>54.3</v>
      </c>
      <c r="CD74" s="12">
        <f t="shared" si="57"/>
        <v>66.7</v>
      </c>
      <c r="CE74">
        <v>71.3</v>
      </c>
      <c r="CF74" s="3">
        <f t="shared" si="58"/>
        <v>0.935483870967742</v>
      </c>
      <c r="CH74" s="13">
        <v>31.3</v>
      </c>
      <c r="CI74">
        <v>22.6</v>
      </c>
      <c r="CJ74">
        <f t="shared" si="59"/>
        <v>8.7</v>
      </c>
      <c r="CK74">
        <v>25.1</v>
      </c>
      <c r="CL74">
        <f t="shared" si="60"/>
        <v>0.346613545816733</v>
      </c>
      <c r="CN74" s="10">
        <v>4.4</v>
      </c>
      <c r="CO74">
        <v>3</v>
      </c>
      <c r="CP74" s="12">
        <f t="shared" si="61"/>
        <v>1.4</v>
      </c>
      <c r="CQ74">
        <v>3.4</v>
      </c>
      <c r="CR74" s="3">
        <f t="shared" si="62"/>
        <v>0.411764705882353</v>
      </c>
    </row>
    <row r="75" spans="2:96">
      <c r="B75" s="1">
        <v>48591</v>
      </c>
      <c r="C75">
        <v>32416</v>
      </c>
      <c r="D75" s="2">
        <f t="shared" si="63"/>
        <v>16175</v>
      </c>
      <c r="E75">
        <v>31904</v>
      </c>
      <c r="F75" s="3">
        <f t="shared" si="32"/>
        <v>0.506989719157472</v>
      </c>
      <c r="H75" s="1">
        <v>47591.487671</v>
      </c>
      <c r="I75">
        <v>31145</v>
      </c>
      <c r="J75" s="2">
        <f t="shared" si="33"/>
        <v>16446.487671</v>
      </c>
      <c r="K75">
        <v>32760</v>
      </c>
      <c r="L75" s="3">
        <f t="shared" si="34"/>
        <v>0.502029538186813</v>
      </c>
      <c r="N75" s="4">
        <v>259.880001704167</v>
      </c>
      <c r="O75">
        <v>201.27</v>
      </c>
      <c r="P75" s="5">
        <f t="shared" si="35"/>
        <v>58.610001704167</v>
      </c>
      <c r="Q75">
        <v>79.69</v>
      </c>
      <c r="R75" s="3">
        <f t="shared" si="36"/>
        <v>0.735474986876233</v>
      </c>
      <c r="T75" s="4">
        <v>251.616665525</v>
      </c>
      <c r="U75">
        <v>100.23</v>
      </c>
      <c r="V75" s="5">
        <f t="shared" si="37"/>
        <v>151.386665525</v>
      </c>
      <c r="W75">
        <v>410.93</v>
      </c>
      <c r="X75" s="3">
        <f t="shared" si="38"/>
        <v>0.368400130253328</v>
      </c>
      <c r="Z75" s="4">
        <v>28.1110416875</v>
      </c>
      <c r="AA75">
        <v>13.25</v>
      </c>
      <c r="AB75" s="5">
        <f t="shared" si="39"/>
        <v>14.8610416875</v>
      </c>
      <c r="AC75">
        <v>33.93</v>
      </c>
      <c r="AD75" s="3">
        <f t="shared" si="40"/>
        <v>0.437991208001768</v>
      </c>
      <c r="AF75" s="4">
        <v>3.38014836053572</v>
      </c>
      <c r="AG75">
        <v>2.09</v>
      </c>
      <c r="AH75" s="5">
        <f t="shared" si="41"/>
        <v>1.29014836053572</v>
      </c>
      <c r="AI75">
        <v>3.85</v>
      </c>
      <c r="AJ75" s="3">
        <f t="shared" si="42"/>
        <v>0.335103470269018</v>
      </c>
      <c r="AL75" s="4">
        <v>6.81873687894737</v>
      </c>
      <c r="AM75">
        <v>6.1</v>
      </c>
      <c r="AN75" s="5">
        <f t="shared" si="43"/>
        <v>0.718736878947371</v>
      </c>
      <c r="AO75">
        <v>1.89</v>
      </c>
      <c r="AP75" s="3">
        <f t="shared" si="44"/>
        <v>0.380284062935117</v>
      </c>
      <c r="AR75" s="4">
        <v>0.780208333333333</v>
      </c>
      <c r="AS75">
        <v>0.02</v>
      </c>
      <c r="AT75" s="5">
        <f t="shared" si="45"/>
        <v>0.760208333333333</v>
      </c>
      <c r="AU75">
        <v>2.84</v>
      </c>
      <c r="AV75" s="3">
        <f t="shared" si="46"/>
        <v>0.267678990610329</v>
      </c>
      <c r="AX75" s="4">
        <v>10.2899333291667</v>
      </c>
      <c r="AY75">
        <v>3.44</v>
      </c>
      <c r="AZ75" s="5">
        <f t="shared" si="47"/>
        <v>6.8499333291667</v>
      </c>
      <c r="BA75">
        <v>29.17</v>
      </c>
      <c r="BB75" s="3">
        <f t="shared" si="48"/>
        <v>0.234828019512057</v>
      </c>
      <c r="BD75" s="4">
        <v>2.69449998333333</v>
      </c>
      <c r="BE75">
        <v>0.17</v>
      </c>
      <c r="BF75" s="5">
        <f t="shared" si="49"/>
        <v>2.52449998333333</v>
      </c>
      <c r="BG75">
        <v>4</v>
      </c>
      <c r="BH75" s="3">
        <f t="shared" si="50"/>
        <v>0.631124995833332</v>
      </c>
      <c r="BJ75" s="9">
        <v>12.1689166208333</v>
      </c>
      <c r="BK75">
        <v>4.8</v>
      </c>
      <c r="BL75" s="5">
        <f t="shared" si="51"/>
        <v>7.3689166208333</v>
      </c>
      <c r="BM75">
        <v>8.9</v>
      </c>
      <c r="BN75" s="3">
        <f t="shared" si="52"/>
        <v>0.827968159644191</v>
      </c>
      <c r="BP75" s="9">
        <v>0.1841</v>
      </c>
      <c r="BQ75">
        <v>0.09</v>
      </c>
      <c r="BR75" s="5">
        <f t="shared" si="53"/>
        <v>0.0941</v>
      </c>
      <c r="BS75">
        <v>0.43</v>
      </c>
      <c r="BT75" s="3">
        <f t="shared" si="54"/>
        <v>0.218837209302326</v>
      </c>
      <c r="BV75" s="4">
        <v>6.32152499166667</v>
      </c>
      <c r="BW75">
        <v>6.18</v>
      </c>
      <c r="BX75" s="5">
        <f t="shared" si="55"/>
        <v>0.14152499166667</v>
      </c>
      <c r="BY75">
        <v>1.68</v>
      </c>
      <c r="BZ75" s="3">
        <f t="shared" si="56"/>
        <v>0.084241066468256</v>
      </c>
      <c r="CB75" s="10">
        <v>121.9</v>
      </c>
      <c r="CC75">
        <v>54.3</v>
      </c>
      <c r="CD75" s="12">
        <f t="shared" si="57"/>
        <v>67.6</v>
      </c>
      <c r="CE75">
        <v>71.3</v>
      </c>
      <c r="CF75" s="3">
        <f t="shared" si="58"/>
        <v>0.948106591865358</v>
      </c>
      <c r="CH75" s="13">
        <v>30.8</v>
      </c>
      <c r="CI75">
        <v>22.6</v>
      </c>
      <c r="CJ75">
        <f t="shared" si="59"/>
        <v>8.2</v>
      </c>
      <c r="CK75">
        <v>25.1</v>
      </c>
      <c r="CL75">
        <f t="shared" si="60"/>
        <v>0.326693227091633</v>
      </c>
      <c r="CN75" s="11">
        <v>4.7</v>
      </c>
      <c r="CO75">
        <v>3</v>
      </c>
      <c r="CP75" s="12">
        <f t="shared" si="61"/>
        <v>1.7</v>
      </c>
      <c r="CQ75">
        <v>3.4</v>
      </c>
      <c r="CR75" s="3">
        <f t="shared" si="62"/>
        <v>0.5</v>
      </c>
    </row>
    <row r="76" spans="2:96">
      <c r="B76" s="1">
        <v>44257</v>
      </c>
      <c r="C76">
        <v>32416</v>
      </c>
      <c r="D76" s="2">
        <f t="shared" si="63"/>
        <v>11841</v>
      </c>
      <c r="E76">
        <v>31904</v>
      </c>
      <c r="F76" s="3">
        <f t="shared" si="32"/>
        <v>0.371144684052156</v>
      </c>
      <c r="H76" s="1">
        <v>43200.9145813</v>
      </c>
      <c r="I76">
        <v>31145</v>
      </c>
      <c r="J76" s="2">
        <f t="shared" si="33"/>
        <v>12055.9145813</v>
      </c>
      <c r="K76">
        <v>32760</v>
      </c>
      <c r="L76" s="3">
        <f t="shared" si="34"/>
        <v>0.368007160601343</v>
      </c>
      <c r="N76" s="4">
        <v>266.050000495833</v>
      </c>
      <c r="O76">
        <v>201.27</v>
      </c>
      <c r="P76" s="5">
        <f t="shared" si="35"/>
        <v>64.780000495833</v>
      </c>
      <c r="Q76">
        <v>79.69</v>
      </c>
      <c r="R76" s="3">
        <f t="shared" si="36"/>
        <v>0.812899993673397</v>
      </c>
      <c r="T76" s="4">
        <v>182.316666283333</v>
      </c>
      <c r="U76">
        <v>100.23</v>
      </c>
      <c r="V76" s="5">
        <f t="shared" si="37"/>
        <v>82.086666283333</v>
      </c>
      <c r="W76">
        <v>410.93</v>
      </c>
      <c r="X76" s="3">
        <f t="shared" si="38"/>
        <v>0.199758270954501</v>
      </c>
      <c r="Z76" s="4">
        <v>28.68249995</v>
      </c>
      <c r="AA76">
        <v>13.25</v>
      </c>
      <c r="AB76" s="5">
        <f t="shared" si="39"/>
        <v>15.43249995</v>
      </c>
      <c r="AC76">
        <v>33.93</v>
      </c>
      <c r="AD76" s="3">
        <f t="shared" si="40"/>
        <v>0.454833479221928</v>
      </c>
      <c r="AF76" s="4">
        <v>3.50268362274257</v>
      </c>
      <c r="AG76">
        <v>2.09</v>
      </c>
      <c r="AH76" s="5">
        <f t="shared" si="41"/>
        <v>1.41268362274257</v>
      </c>
      <c r="AI76">
        <v>3.85</v>
      </c>
      <c r="AJ76" s="3">
        <f t="shared" si="42"/>
        <v>0.366930811101966</v>
      </c>
      <c r="AL76" s="4">
        <v>6.87434992</v>
      </c>
      <c r="AM76">
        <v>6.1</v>
      </c>
      <c r="AN76" s="5">
        <f t="shared" si="43"/>
        <v>0.774349920000001</v>
      </c>
      <c r="AO76">
        <v>1.89</v>
      </c>
      <c r="AP76" s="3">
        <f t="shared" si="44"/>
        <v>0.409708952380953</v>
      </c>
      <c r="AR76" s="4">
        <v>0.684583333333333</v>
      </c>
      <c r="AS76">
        <v>0.02</v>
      </c>
      <c r="AT76" s="5">
        <f t="shared" si="45"/>
        <v>0.664583333333333</v>
      </c>
      <c r="AU76">
        <v>2.84</v>
      </c>
      <c r="AV76" s="3">
        <f t="shared" si="46"/>
        <v>0.234008215962441</v>
      </c>
      <c r="AX76" s="4">
        <v>8.25933312916667</v>
      </c>
      <c r="AY76">
        <v>3.44</v>
      </c>
      <c r="AZ76" s="5">
        <f t="shared" si="47"/>
        <v>4.81933312916667</v>
      </c>
      <c r="BA76">
        <v>29.17</v>
      </c>
      <c r="BB76" s="3">
        <f t="shared" si="48"/>
        <v>0.165215396954634</v>
      </c>
      <c r="BD76" s="4">
        <v>2.83533335833333</v>
      </c>
      <c r="BE76">
        <v>0.17</v>
      </c>
      <c r="BF76" s="5">
        <f t="shared" si="49"/>
        <v>2.66533335833333</v>
      </c>
      <c r="BG76">
        <v>4</v>
      </c>
      <c r="BH76" s="3">
        <f t="shared" si="50"/>
        <v>0.666333339583333</v>
      </c>
      <c r="BJ76" s="9">
        <v>11.4972499625</v>
      </c>
      <c r="BK76">
        <v>4.8</v>
      </c>
      <c r="BL76" s="5">
        <f t="shared" si="51"/>
        <v>6.6972499625</v>
      </c>
      <c r="BM76">
        <v>8.9</v>
      </c>
      <c r="BN76" s="3">
        <f t="shared" si="52"/>
        <v>0.752499995786517</v>
      </c>
      <c r="BP76" s="9">
        <v>0.168016666666666</v>
      </c>
      <c r="BQ76">
        <v>0.09</v>
      </c>
      <c r="BR76" s="5">
        <f t="shared" si="53"/>
        <v>0.078016666666666</v>
      </c>
      <c r="BS76">
        <v>0.43</v>
      </c>
      <c r="BT76" s="3">
        <f t="shared" si="54"/>
        <v>0.18143410852713</v>
      </c>
      <c r="BV76" s="4">
        <v>6.31400005416667</v>
      </c>
      <c r="BW76">
        <v>6.18</v>
      </c>
      <c r="BX76" s="5">
        <f t="shared" si="55"/>
        <v>0.134000054166671</v>
      </c>
      <c r="BY76">
        <v>1.68</v>
      </c>
      <c r="BZ76" s="3">
        <f t="shared" si="56"/>
        <v>0.0797619370039706</v>
      </c>
      <c r="CB76" s="10">
        <v>122.2</v>
      </c>
      <c r="CC76">
        <v>54.3</v>
      </c>
      <c r="CD76" s="12">
        <f t="shared" si="57"/>
        <v>67.9</v>
      </c>
      <c r="CE76">
        <v>71.3</v>
      </c>
      <c r="CF76" s="3">
        <f t="shared" si="58"/>
        <v>0.952314165497896</v>
      </c>
      <c r="CH76" s="13">
        <v>32.6</v>
      </c>
      <c r="CI76">
        <v>22.6</v>
      </c>
      <c r="CJ76">
        <f t="shared" si="59"/>
        <v>10</v>
      </c>
      <c r="CK76">
        <v>25.1</v>
      </c>
      <c r="CL76">
        <f t="shared" si="60"/>
        <v>0.398406374501992</v>
      </c>
      <c r="CN76" s="10">
        <v>4.5</v>
      </c>
      <c r="CO76">
        <v>3</v>
      </c>
      <c r="CP76" s="12">
        <f t="shared" si="61"/>
        <v>1.5</v>
      </c>
      <c r="CQ76">
        <v>3.4</v>
      </c>
      <c r="CR76" s="3">
        <f t="shared" si="62"/>
        <v>0.441176470588235</v>
      </c>
    </row>
    <row r="77" spans="2:96">
      <c r="B77" s="1">
        <v>48253</v>
      </c>
      <c r="C77">
        <v>32416</v>
      </c>
      <c r="D77" s="2">
        <f t="shared" si="63"/>
        <v>15837</v>
      </c>
      <c r="E77">
        <v>31904</v>
      </c>
      <c r="F77" s="3">
        <f t="shared" si="32"/>
        <v>0.496395436308927</v>
      </c>
      <c r="H77" s="1">
        <v>47039.4506836</v>
      </c>
      <c r="I77">
        <v>31145</v>
      </c>
      <c r="J77" s="2">
        <f t="shared" si="33"/>
        <v>15894.4506836</v>
      </c>
      <c r="K77">
        <v>32760</v>
      </c>
      <c r="L77" s="3">
        <f t="shared" si="34"/>
        <v>0.485178592295482</v>
      </c>
      <c r="N77" s="4">
        <v>251.37666575</v>
      </c>
      <c r="O77">
        <v>201.27</v>
      </c>
      <c r="P77" s="5">
        <f t="shared" si="35"/>
        <v>50.10666575</v>
      </c>
      <c r="Q77">
        <v>79.69</v>
      </c>
      <c r="R77" s="3">
        <f t="shared" si="36"/>
        <v>0.628769804868867</v>
      </c>
      <c r="T77" s="4">
        <v>199.766668954167</v>
      </c>
      <c r="U77">
        <v>100.23</v>
      </c>
      <c r="V77" s="5">
        <f t="shared" si="37"/>
        <v>99.536668954167</v>
      </c>
      <c r="W77">
        <v>410.93</v>
      </c>
      <c r="X77" s="3">
        <f t="shared" si="38"/>
        <v>0.242222930801273</v>
      </c>
      <c r="Z77" s="4">
        <v>29.1604166708333</v>
      </c>
      <c r="AA77">
        <v>13.25</v>
      </c>
      <c r="AB77" s="5">
        <f t="shared" si="39"/>
        <v>15.9104166708333</v>
      </c>
      <c r="AC77">
        <v>33.93</v>
      </c>
      <c r="AD77" s="3">
        <f t="shared" si="40"/>
        <v>0.468918852662343</v>
      </c>
      <c r="AF77" s="4">
        <v>4.12285556000486</v>
      </c>
      <c r="AG77">
        <v>2.09</v>
      </c>
      <c r="AH77" s="5">
        <f t="shared" si="41"/>
        <v>2.03285556000486</v>
      </c>
      <c r="AI77">
        <v>3.85</v>
      </c>
      <c r="AJ77" s="3">
        <f t="shared" si="42"/>
        <v>0.528014431170094</v>
      </c>
      <c r="AL77" s="4">
        <v>6.81310005</v>
      </c>
      <c r="AM77">
        <v>6.1</v>
      </c>
      <c r="AN77" s="5">
        <f t="shared" si="43"/>
        <v>0.71310005</v>
      </c>
      <c r="AO77">
        <v>1.89</v>
      </c>
      <c r="AP77" s="3">
        <f t="shared" si="44"/>
        <v>0.377301613756614</v>
      </c>
      <c r="AR77" s="4">
        <v>0.788541666666666</v>
      </c>
      <c r="AS77">
        <v>0.02</v>
      </c>
      <c r="AT77" s="5">
        <f t="shared" si="45"/>
        <v>0.768541666666666</v>
      </c>
      <c r="AU77">
        <v>2.84</v>
      </c>
      <c r="AV77" s="3">
        <f t="shared" si="46"/>
        <v>0.270613262910798</v>
      </c>
      <c r="AX77" s="4">
        <v>8.20300001666667</v>
      </c>
      <c r="AY77">
        <v>3.44</v>
      </c>
      <c r="AZ77" s="5">
        <f t="shared" si="47"/>
        <v>4.76300001666667</v>
      </c>
      <c r="BA77">
        <v>29.17</v>
      </c>
      <c r="BB77" s="3">
        <f t="shared" si="48"/>
        <v>0.163284196663239</v>
      </c>
      <c r="BD77" s="4">
        <v>2.56899997916667</v>
      </c>
      <c r="BE77">
        <v>0.17</v>
      </c>
      <c r="BF77" s="5">
        <f t="shared" si="49"/>
        <v>2.39899997916667</v>
      </c>
      <c r="BG77">
        <v>4</v>
      </c>
      <c r="BH77" s="3">
        <f t="shared" si="50"/>
        <v>0.599749994791667</v>
      </c>
      <c r="BJ77" s="9">
        <v>8.62141665416667</v>
      </c>
      <c r="BK77">
        <v>4.8</v>
      </c>
      <c r="BL77" s="5">
        <f t="shared" si="51"/>
        <v>3.82141665416667</v>
      </c>
      <c r="BM77">
        <v>8.9</v>
      </c>
      <c r="BN77" s="3">
        <f t="shared" si="52"/>
        <v>0.429372657771536</v>
      </c>
      <c r="BP77" s="9">
        <v>0.25965</v>
      </c>
      <c r="BQ77">
        <v>0.09</v>
      </c>
      <c r="BR77" s="5">
        <f t="shared" si="53"/>
        <v>0.16965</v>
      </c>
      <c r="BS77">
        <v>0.43</v>
      </c>
      <c r="BT77" s="3">
        <f t="shared" si="54"/>
        <v>0.39453488372093</v>
      </c>
      <c r="BV77" s="4">
        <v>6.3066499375</v>
      </c>
      <c r="BW77">
        <v>6.18</v>
      </c>
      <c r="BX77" s="5">
        <f t="shared" si="55"/>
        <v>0.1266499375</v>
      </c>
      <c r="BY77">
        <v>1.68</v>
      </c>
      <c r="BZ77" s="3">
        <f t="shared" si="56"/>
        <v>0.0753868675595237</v>
      </c>
      <c r="CB77" s="10">
        <v>122</v>
      </c>
      <c r="CC77">
        <v>54.3</v>
      </c>
      <c r="CD77" s="12">
        <f t="shared" si="57"/>
        <v>67.7</v>
      </c>
      <c r="CE77">
        <v>71.3</v>
      </c>
      <c r="CF77" s="3">
        <f t="shared" si="58"/>
        <v>0.949509116409537</v>
      </c>
      <c r="CH77" s="13">
        <v>31.9</v>
      </c>
      <c r="CI77">
        <v>22.6</v>
      </c>
      <c r="CJ77">
        <f t="shared" si="59"/>
        <v>9.3</v>
      </c>
      <c r="CK77">
        <v>25.1</v>
      </c>
      <c r="CL77">
        <f t="shared" si="60"/>
        <v>0.370517928286852</v>
      </c>
      <c r="CN77" s="10">
        <v>4.4</v>
      </c>
      <c r="CO77">
        <v>3</v>
      </c>
      <c r="CP77" s="12">
        <f t="shared" si="61"/>
        <v>1.4</v>
      </c>
      <c r="CQ77">
        <v>3.4</v>
      </c>
      <c r="CR77" s="3">
        <f t="shared" si="62"/>
        <v>0.411764705882353</v>
      </c>
    </row>
    <row r="78" spans="2:96">
      <c r="B78" s="1">
        <v>41857</v>
      </c>
      <c r="C78">
        <v>32416</v>
      </c>
      <c r="D78" s="2">
        <f t="shared" si="63"/>
        <v>9441</v>
      </c>
      <c r="E78">
        <v>31904</v>
      </c>
      <c r="F78" s="3">
        <f t="shared" si="32"/>
        <v>0.295919007021063</v>
      </c>
      <c r="H78" s="1">
        <v>40788.7736207</v>
      </c>
      <c r="I78">
        <v>31145</v>
      </c>
      <c r="J78" s="2">
        <f t="shared" si="33"/>
        <v>9643.7736207</v>
      </c>
      <c r="K78">
        <v>32760</v>
      </c>
      <c r="L78" s="3">
        <f t="shared" si="34"/>
        <v>0.294376484148352</v>
      </c>
      <c r="N78" s="4">
        <v>255.736667629167</v>
      </c>
      <c r="O78">
        <v>201.27</v>
      </c>
      <c r="P78" s="5">
        <f t="shared" si="35"/>
        <v>54.466667629167</v>
      </c>
      <c r="Q78">
        <v>79.69</v>
      </c>
      <c r="R78" s="3">
        <f t="shared" si="36"/>
        <v>0.683481837484841</v>
      </c>
      <c r="T78" s="4">
        <v>322.433331170833</v>
      </c>
      <c r="U78">
        <v>100.23</v>
      </c>
      <c r="V78" s="5">
        <f t="shared" si="37"/>
        <v>222.203331170833</v>
      </c>
      <c r="W78">
        <v>410.93</v>
      </c>
      <c r="X78" s="3">
        <f t="shared" si="38"/>
        <v>0.540732804056246</v>
      </c>
      <c r="Z78" s="4">
        <v>20.2752082666667</v>
      </c>
      <c r="AA78">
        <v>13.25</v>
      </c>
      <c r="AB78" s="5">
        <f t="shared" si="39"/>
        <v>7.0252082666667</v>
      </c>
      <c r="AC78">
        <v>33.93</v>
      </c>
      <c r="AD78" s="3">
        <f t="shared" si="40"/>
        <v>0.207050052067984</v>
      </c>
      <c r="AF78" s="4">
        <v>3.50520624973322</v>
      </c>
      <c r="AG78">
        <v>2.09</v>
      </c>
      <c r="AH78" s="5">
        <f t="shared" si="41"/>
        <v>1.41520624973322</v>
      </c>
      <c r="AI78">
        <v>3.85</v>
      </c>
      <c r="AJ78" s="3">
        <f t="shared" si="42"/>
        <v>0.367586038891746</v>
      </c>
      <c r="AL78" s="4">
        <v>6.81922498333333</v>
      </c>
      <c r="AM78">
        <v>6.1</v>
      </c>
      <c r="AN78" s="5">
        <f t="shared" si="43"/>
        <v>0.71922498333333</v>
      </c>
      <c r="AO78">
        <v>1.89</v>
      </c>
      <c r="AP78" s="3">
        <f t="shared" si="44"/>
        <v>0.380542319223984</v>
      </c>
      <c r="AR78" s="4">
        <v>1.07458333333333</v>
      </c>
      <c r="AS78">
        <v>0.02</v>
      </c>
      <c r="AT78" s="5">
        <f t="shared" si="45"/>
        <v>1.05458333333333</v>
      </c>
      <c r="AU78">
        <v>2.84</v>
      </c>
      <c r="AV78" s="3">
        <f t="shared" si="46"/>
        <v>0.371332159624412</v>
      </c>
      <c r="AX78" s="4">
        <v>25.1047331</v>
      </c>
      <c r="AY78">
        <v>3.44</v>
      </c>
      <c r="AZ78" s="5">
        <f t="shared" si="47"/>
        <v>21.6647331</v>
      </c>
      <c r="BA78">
        <v>29.17</v>
      </c>
      <c r="BB78" s="3">
        <f t="shared" si="48"/>
        <v>0.742705968460747</v>
      </c>
      <c r="BD78" s="4">
        <v>1.82166665416667</v>
      </c>
      <c r="BE78">
        <v>0.17</v>
      </c>
      <c r="BF78" s="5">
        <f t="shared" si="49"/>
        <v>1.65166665416667</v>
      </c>
      <c r="BG78">
        <v>4</v>
      </c>
      <c r="BH78" s="3">
        <f t="shared" si="50"/>
        <v>0.412916663541668</v>
      </c>
      <c r="BJ78" s="9">
        <v>9.91974998333333</v>
      </c>
      <c r="BK78">
        <v>4.8</v>
      </c>
      <c r="BL78" s="5">
        <f t="shared" si="51"/>
        <v>5.11974998333333</v>
      </c>
      <c r="BM78">
        <v>8.9</v>
      </c>
      <c r="BN78" s="3">
        <f t="shared" si="52"/>
        <v>0.575252807116105</v>
      </c>
      <c r="BP78" s="9">
        <v>0.15335</v>
      </c>
      <c r="BQ78">
        <v>0.09</v>
      </c>
      <c r="BR78" s="5">
        <f t="shared" si="53"/>
        <v>0.06335</v>
      </c>
      <c r="BS78">
        <v>0.43</v>
      </c>
      <c r="BT78" s="3">
        <f t="shared" si="54"/>
        <v>0.147325581395349</v>
      </c>
      <c r="BV78" s="4">
        <v>6.27830002916667</v>
      </c>
      <c r="BW78">
        <v>6.18</v>
      </c>
      <c r="BX78" s="5">
        <f t="shared" si="55"/>
        <v>0.09830002916667</v>
      </c>
      <c r="BY78">
        <v>1.68</v>
      </c>
      <c r="BZ78" s="3">
        <f t="shared" si="56"/>
        <v>0.0585119221230179</v>
      </c>
      <c r="CB78" s="10">
        <v>122.5</v>
      </c>
      <c r="CC78">
        <v>54.3</v>
      </c>
      <c r="CD78" s="12">
        <f t="shared" si="57"/>
        <v>68.2</v>
      </c>
      <c r="CE78">
        <v>71.3</v>
      </c>
      <c r="CF78" s="3">
        <f t="shared" si="58"/>
        <v>0.956521739130435</v>
      </c>
      <c r="CH78" s="13">
        <v>30.5</v>
      </c>
      <c r="CI78">
        <v>22.6</v>
      </c>
      <c r="CJ78">
        <f t="shared" si="59"/>
        <v>7.9</v>
      </c>
      <c r="CK78">
        <v>25.1</v>
      </c>
      <c r="CL78">
        <f t="shared" si="60"/>
        <v>0.314741035856574</v>
      </c>
      <c r="CN78" s="10">
        <v>3.9</v>
      </c>
      <c r="CO78">
        <v>3</v>
      </c>
      <c r="CP78" s="12">
        <f t="shared" si="61"/>
        <v>0.9</v>
      </c>
      <c r="CQ78">
        <v>3.4</v>
      </c>
      <c r="CR78" s="3">
        <f t="shared" si="62"/>
        <v>0.264705882352941</v>
      </c>
    </row>
    <row r="79" spans="2:96">
      <c r="B79" s="1">
        <v>49562</v>
      </c>
      <c r="C79">
        <v>32416</v>
      </c>
      <c r="D79" s="2">
        <f t="shared" si="63"/>
        <v>17146</v>
      </c>
      <c r="E79">
        <v>31904</v>
      </c>
      <c r="F79" s="3">
        <f t="shared" si="32"/>
        <v>0.537424774322969</v>
      </c>
      <c r="H79" s="1">
        <v>48798.6467897</v>
      </c>
      <c r="I79">
        <v>31145</v>
      </c>
      <c r="J79" s="2">
        <f t="shared" si="33"/>
        <v>17653.6467897</v>
      </c>
      <c r="K79">
        <v>32760</v>
      </c>
      <c r="L79" s="3">
        <f t="shared" si="34"/>
        <v>0.5388781071337</v>
      </c>
      <c r="N79" s="4">
        <v>273.389998116667</v>
      </c>
      <c r="O79">
        <v>201.27</v>
      </c>
      <c r="P79" s="5">
        <f t="shared" si="35"/>
        <v>72.119998116667</v>
      </c>
      <c r="Q79">
        <v>79.69</v>
      </c>
      <c r="R79" s="3">
        <f t="shared" si="36"/>
        <v>0.905006878111018</v>
      </c>
      <c r="T79" s="4">
        <v>210.2749958</v>
      </c>
      <c r="U79">
        <v>100.23</v>
      </c>
      <c r="V79" s="5">
        <f t="shared" si="37"/>
        <v>110.0449958</v>
      </c>
      <c r="W79">
        <v>410.93</v>
      </c>
      <c r="X79" s="3">
        <f t="shared" si="38"/>
        <v>0.267794991361059</v>
      </c>
      <c r="Z79" s="4">
        <v>29.2470833541666</v>
      </c>
      <c r="AA79">
        <v>13.25</v>
      </c>
      <c r="AB79" s="5">
        <f t="shared" si="39"/>
        <v>15.9970833541666</v>
      </c>
      <c r="AC79">
        <v>33.93</v>
      </c>
      <c r="AD79" s="3">
        <f t="shared" si="40"/>
        <v>0.471473131569897</v>
      </c>
      <c r="AF79" s="4">
        <v>3.76</v>
      </c>
      <c r="AG79">
        <v>2.09</v>
      </c>
      <c r="AH79" s="5">
        <f t="shared" si="41"/>
        <v>1.67</v>
      </c>
      <c r="AI79">
        <v>3.85</v>
      </c>
      <c r="AJ79" s="3">
        <f t="shared" si="42"/>
        <v>0.433766233766234</v>
      </c>
      <c r="AL79" s="4">
        <v>6.91045828333333</v>
      </c>
      <c r="AM79">
        <v>6.1</v>
      </c>
      <c r="AN79" s="5">
        <f t="shared" si="43"/>
        <v>0.810458283333331</v>
      </c>
      <c r="AO79">
        <v>1.89</v>
      </c>
      <c r="AP79" s="3">
        <f t="shared" si="44"/>
        <v>0.428813906525572</v>
      </c>
      <c r="AR79" s="4">
        <v>0.885208333333333</v>
      </c>
      <c r="AS79">
        <v>0.02</v>
      </c>
      <c r="AT79" s="5">
        <f t="shared" si="45"/>
        <v>0.865208333333333</v>
      </c>
      <c r="AU79">
        <v>2.84</v>
      </c>
      <c r="AV79" s="3">
        <f t="shared" si="46"/>
        <v>0.304650821596244</v>
      </c>
      <c r="AX79" s="4">
        <v>7.69859995</v>
      </c>
      <c r="AY79">
        <v>3.44</v>
      </c>
      <c r="AZ79" s="5">
        <f t="shared" si="47"/>
        <v>4.25859995</v>
      </c>
      <c r="BA79">
        <v>29.17</v>
      </c>
      <c r="BB79" s="3">
        <f t="shared" si="48"/>
        <v>0.14599245629071</v>
      </c>
      <c r="BD79" s="4">
        <v>1.921</v>
      </c>
      <c r="BE79">
        <v>0.17</v>
      </c>
      <c r="BF79" s="5">
        <f t="shared" si="49"/>
        <v>1.751</v>
      </c>
      <c r="BG79">
        <v>4</v>
      </c>
      <c r="BH79" s="3">
        <f t="shared" si="50"/>
        <v>0.43775</v>
      </c>
      <c r="BJ79" s="9">
        <v>9.976333325</v>
      </c>
      <c r="BK79">
        <v>4.8</v>
      </c>
      <c r="BL79" s="5">
        <f t="shared" si="51"/>
        <v>5.176333325</v>
      </c>
      <c r="BM79">
        <v>8.9</v>
      </c>
      <c r="BN79" s="3">
        <f t="shared" si="52"/>
        <v>0.581610485955056</v>
      </c>
      <c r="BP79" s="9">
        <v>0.1599</v>
      </c>
      <c r="BQ79">
        <v>0.09</v>
      </c>
      <c r="BR79" s="5">
        <f t="shared" si="53"/>
        <v>0.0699</v>
      </c>
      <c r="BS79">
        <v>0.43</v>
      </c>
      <c r="BT79" s="3">
        <f t="shared" si="54"/>
        <v>0.162558139534884</v>
      </c>
      <c r="BV79" s="4">
        <v>6.31615839166667</v>
      </c>
      <c r="BW79">
        <v>6.18</v>
      </c>
      <c r="BX79" s="5">
        <f t="shared" si="55"/>
        <v>0.136158391666671</v>
      </c>
      <c r="BY79">
        <v>1.68</v>
      </c>
      <c r="BZ79" s="3">
        <f t="shared" si="56"/>
        <v>0.0810466617063516</v>
      </c>
      <c r="CB79" s="10">
        <v>121.4</v>
      </c>
      <c r="CC79">
        <v>54.3</v>
      </c>
      <c r="CD79" s="12">
        <f t="shared" si="57"/>
        <v>67.1</v>
      </c>
      <c r="CE79">
        <v>71.3</v>
      </c>
      <c r="CF79" s="3">
        <f t="shared" si="58"/>
        <v>0.94109396914446</v>
      </c>
      <c r="CH79" s="13">
        <v>31.8</v>
      </c>
      <c r="CI79">
        <v>22.6</v>
      </c>
      <c r="CJ79">
        <f t="shared" si="59"/>
        <v>9.2</v>
      </c>
      <c r="CK79">
        <v>25.1</v>
      </c>
      <c r="CL79">
        <f t="shared" si="60"/>
        <v>0.366533864541833</v>
      </c>
      <c r="CN79" s="11">
        <v>4.1</v>
      </c>
      <c r="CO79">
        <v>3</v>
      </c>
      <c r="CP79" s="12">
        <f t="shared" si="61"/>
        <v>1.1</v>
      </c>
      <c r="CQ79">
        <v>3.4</v>
      </c>
      <c r="CR79" s="3">
        <f t="shared" si="62"/>
        <v>0.323529411764706</v>
      </c>
    </row>
    <row r="80" spans="2:96">
      <c r="B80" s="1">
        <v>43105</v>
      </c>
      <c r="C80">
        <v>32416</v>
      </c>
      <c r="D80" s="2">
        <f t="shared" si="63"/>
        <v>10689</v>
      </c>
      <c r="E80">
        <v>31904</v>
      </c>
      <c r="F80" s="3">
        <f t="shared" si="32"/>
        <v>0.335036359077232</v>
      </c>
      <c r="H80" s="1">
        <v>41654</v>
      </c>
      <c r="I80">
        <v>31145</v>
      </c>
      <c r="J80" s="2">
        <f t="shared" si="33"/>
        <v>10509</v>
      </c>
      <c r="K80">
        <v>32760</v>
      </c>
      <c r="L80" s="3">
        <f t="shared" si="34"/>
        <v>0.320787545787546</v>
      </c>
      <c r="N80" s="4">
        <v>273.019997920833</v>
      </c>
      <c r="O80">
        <v>201.27</v>
      </c>
      <c r="P80" s="5">
        <f t="shared" si="35"/>
        <v>71.749997920833</v>
      </c>
      <c r="Q80">
        <v>79.69</v>
      </c>
      <c r="R80" s="3">
        <f t="shared" si="36"/>
        <v>0.90036388406115</v>
      </c>
      <c r="T80" s="4">
        <v>255.616664883333</v>
      </c>
      <c r="U80">
        <v>100.23</v>
      </c>
      <c r="V80" s="5">
        <f t="shared" si="37"/>
        <v>155.386664883333</v>
      </c>
      <c r="W80">
        <v>410.93</v>
      </c>
      <c r="X80" s="3">
        <f t="shared" si="38"/>
        <v>0.378134146651091</v>
      </c>
      <c r="Z80" s="4">
        <v>29.4668748833333</v>
      </c>
      <c r="AA80">
        <v>13.25</v>
      </c>
      <c r="AB80" s="5">
        <f t="shared" si="39"/>
        <v>16.2168748833333</v>
      </c>
      <c r="AC80">
        <v>33.93</v>
      </c>
      <c r="AD80" s="3">
        <f t="shared" si="40"/>
        <v>0.47795092494351</v>
      </c>
      <c r="AF80" s="4">
        <v>4.33</v>
      </c>
      <c r="AG80">
        <v>2.09</v>
      </c>
      <c r="AH80" s="5">
        <f t="shared" si="41"/>
        <v>2.24</v>
      </c>
      <c r="AI80">
        <v>3.85</v>
      </c>
      <c r="AJ80" s="3">
        <f t="shared" si="42"/>
        <v>0.581818181818182</v>
      </c>
      <c r="AL80" s="4">
        <v>6.94954177916667</v>
      </c>
      <c r="AM80">
        <v>6.1</v>
      </c>
      <c r="AN80" s="5">
        <f t="shared" si="43"/>
        <v>0.84954177916667</v>
      </c>
      <c r="AO80">
        <v>1.89</v>
      </c>
      <c r="AP80" s="3">
        <f t="shared" si="44"/>
        <v>0.44949300485009</v>
      </c>
      <c r="AR80" s="4">
        <v>0.784166666666666</v>
      </c>
      <c r="AS80">
        <v>0.02</v>
      </c>
      <c r="AT80" s="5">
        <f t="shared" si="45"/>
        <v>0.764166666666666</v>
      </c>
      <c r="AU80">
        <v>2.84</v>
      </c>
      <c r="AV80" s="3">
        <f t="shared" si="46"/>
        <v>0.269072769953051</v>
      </c>
      <c r="AX80" s="4">
        <v>5.557933325</v>
      </c>
      <c r="AY80">
        <v>3.44</v>
      </c>
      <c r="AZ80" s="5">
        <f t="shared" si="47"/>
        <v>2.117933325</v>
      </c>
      <c r="BA80">
        <v>29.17</v>
      </c>
      <c r="BB80" s="3">
        <f t="shared" si="48"/>
        <v>0.0726065589646897</v>
      </c>
      <c r="BD80" s="4">
        <v>1.81466666666667</v>
      </c>
      <c r="BE80">
        <v>0.17</v>
      </c>
      <c r="BF80" s="5">
        <f t="shared" si="49"/>
        <v>1.64466666666667</v>
      </c>
      <c r="BG80">
        <v>4</v>
      </c>
      <c r="BH80" s="3">
        <f t="shared" si="50"/>
        <v>0.411166666666668</v>
      </c>
      <c r="BJ80" s="9">
        <v>8.644</v>
      </c>
      <c r="BK80">
        <v>4.8</v>
      </c>
      <c r="BL80" s="5">
        <f t="shared" si="51"/>
        <v>3.844</v>
      </c>
      <c r="BM80">
        <v>8.9</v>
      </c>
      <c r="BN80" s="3">
        <f t="shared" si="52"/>
        <v>0.431910112359551</v>
      </c>
      <c r="BP80" s="9">
        <v>0.143425</v>
      </c>
      <c r="BQ80">
        <v>0.09</v>
      </c>
      <c r="BR80" s="5">
        <f t="shared" si="53"/>
        <v>0.053425</v>
      </c>
      <c r="BS80">
        <v>0.43</v>
      </c>
      <c r="BT80" s="3">
        <f t="shared" si="54"/>
        <v>0.124244186046512</v>
      </c>
      <c r="BV80" s="4">
        <v>6.2889166375</v>
      </c>
      <c r="BW80">
        <v>6.18</v>
      </c>
      <c r="BX80" s="5">
        <f t="shared" si="55"/>
        <v>0.1089166375</v>
      </c>
      <c r="BY80">
        <v>1.68</v>
      </c>
      <c r="BZ80" s="3">
        <f t="shared" si="56"/>
        <v>0.0648313318452382</v>
      </c>
      <c r="CB80" s="10">
        <v>124</v>
      </c>
      <c r="CC80">
        <v>54.3</v>
      </c>
      <c r="CD80" s="12">
        <f t="shared" si="57"/>
        <v>69.7</v>
      </c>
      <c r="CE80">
        <v>71.3</v>
      </c>
      <c r="CF80" s="3">
        <f t="shared" si="58"/>
        <v>0.977559607293128</v>
      </c>
      <c r="CH80" s="13">
        <v>32.3</v>
      </c>
      <c r="CI80">
        <v>22.6</v>
      </c>
      <c r="CJ80">
        <f t="shared" si="59"/>
        <v>9.7</v>
      </c>
      <c r="CK80">
        <v>25.1</v>
      </c>
      <c r="CL80">
        <f t="shared" si="60"/>
        <v>0.386454183266932</v>
      </c>
      <c r="CN80" s="10">
        <v>4.8</v>
      </c>
      <c r="CO80">
        <v>3</v>
      </c>
      <c r="CP80" s="12">
        <f t="shared" si="61"/>
        <v>1.8</v>
      </c>
      <c r="CQ80">
        <v>3.4</v>
      </c>
      <c r="CR80" s="3">
        <f t="shared" si="62"/>
        <v>0.529411764705882</v>
      </c>
    </row>
    <row r="81" spans="2:96">
      <c r="B81" s="1">
        <v>42578</v>
      </c>
      <c r="C81">
        <v>32416</v>
      </c>
      <c r="D81" s="2">
        <f t="shared" si="63"/>
        <v>10162</v>
      </c>
      <c r="E81">
        <v>31904</v>
      </c>
      <c r="F81" s="3">
        <f t="shared" si="32"/>
        <v>0.318518054162487</v>
      </c>
      <c r="H81" s="1">
        <v>41267.7053225</v>
      </c>
      <c r="I81">
        <v>31145</v>
      </c>
      <c r="J81" s="2">
        <f t="shared" si="33"/>
        <v>10122.7053225</v>
      </c>
      <c r="K81">
        <v>32760</v>
      </c>
      <c r="L81" s="3">
        <f t="shared" si="34"/>
        <v>0.308995888965201</v>
      </c>
      <c r="N81" s="4">
        <v>268.213333129167</v>
      </c>
      <c r="O81">
        <v>201.27</v>
      </c>
      <c r="P81" s="5">
        <f t="shared" si="35"/>
        <v>66.943333129167</v>
      </c>
      <c r="Q81">
        <v>79.69</v>
      </c>
      <c r="R81" s="3">
        <f t="shared" si="36"/>
        <v>0.840046845641448</v>
      </c>
      <c r="T81" s="4">
        <v>248.5833346125</v>
      </c>
      <c r="U81">
        <v>100.23</v>
      </c>
      <c r="V81" s="5">
        <f t="shared" si="37"/>
        <v>148.3533346125</v>
      </c>
      <c r="W81">
        <v>410.93</v>
      </c>
      <c r="X81" s="3">
        <f t="shared" si="38"/>
        <v>0.361018505858662</v>
      </c>
      <c r="Z81" s="4">
        <v>28.2189583791666</v>
      </c>
      <c r="AA81">
        <v>13.25</v>
      </c>
      <c r="AB81" s="5">
        <f t="shared" si="39"/>
        <v>14.9689583791666</v>
      </c>
      <c r="AC81">
        <v>33.93</v>
      </c>
      <c r="AD81" s="3">
        <f t="shared" si="40"/>
        <v>0.441171776574318</v>
      </c>
      <c r="AF81" s="4">
        <v>4.74</v>
      </c>
      <c r="AG81">
        <v>2.09</v>
      </c>
      <c r="AH81" s="5">
        <f t="shared" si="41"/>
        <v>2.65</v>
      </c>
      <c r="AI81">
        <v>3.85</v>
      </c>
      <c r="AJ81" s="3">
        <f t="shared" si="42"/>
        <v>0.688311688311688</v>
      </c>
      <c r="AL81" s="4">
        <v>6.95805832083333</v>
      </c>
      <c r="AM81">
        <v>6.1</v>
      </c>
      <c r="AN81" s="5">
        <f t="shared" si="43"/>
        <v>0.85805832083333</v>
      </c>
      <c r="AO81">
        <v>1.89</v>
      </c>
      <c r="AP81" s="3">
        <f t="shared" si="44"/>
        <v>0.453999111552027</v>
      </c>
      <c r="AR81" s="4">
        <v>1.08770833333333</v>
      </c>
      <c r="AS81">
        <v>0.02</v>
      </c>
      <c r="AT81" s="5">
        <f t="shared" si="45"/>
        <v>1.06770833333333</v>
      </c>
      <c r="AU81">
        <v>2.84</v>
      </c>
      <c r="AV81" s="3">
        <f t="shared" si="46"/>
        <v>0.375953638497651</v>
      </c>
      <c r="AX81" s="4">
        <v>10.42166665</v>
      </c>
      <c r="AY81">
        <v>3.44</v>
      </c>
      <c r="AZ81" s="5">
        <f t="shared" si="47"/>
        <v>6.98166665</v>
      </c>
      <c r="BA81">
        <v>29.17</v>
      </c>
      <c r="BB81" s="3">
        <f t="shared" si="48"/>
        <v>0.239344074391498</v>
      </c>
      <c r="BD81" s="4">
        <v>1.36650002083333</v>
      </c>
      <c r="BE81">
        <v>0.17</v>
      </c>
      <c r="BF81" s="5">
        <f t="shared" si="49"/>
        <v>1.19650002083333</v>
      </c>
      <c r="BG81">
        <v>4</v>
      </c>
      <c r="BH81" s="3">
        <f t="shared" si="50"/>
        <v>0.299125005208333</v>
      </c>
      <c r="BJ81" s="9">
        <v>8.19049999166667</v>
      </c>
      <c r="BK81">
        <v>4.8</v>
      </c>
      <c r="BL81" s="5">
        <f t="shared" si="51"/>
        <v>3.39049999166667</v>
      </c>
      <c r="BM81">
        <v>8.9</v>
      </c>
      <c r="BN81" s="3">
        <f t="shared" si="52"/>
        <v>0.380955055243446</v>
      </c>
      <c r="BP81" s="9">
        <v>0.240033333333333</v>
      </c>
      <c r="BQ81">
        <v>0.09</v>
      </c>
      <c r="BR81" s="5">
        <f t="shared" si="53"/>
        <v>0.150033333333333</v>
      </c>
      <c r="BS81">
        <v>0.43</v>
      </c>
      <c r="BT81" s="3">
        <f t="shared" si="54"/>
        <v>0.34891472868217</v>
      </c>
      <c r="BV81" s="4">
        <v>6.26634171666667</v>
      </c>
      <c r="BW81">
        <v>6.18</v>
      </c>
      <c r="BX81" s="5">
        <f t="shared" si="55"/>
        <v>0.08634171666667</v>
      </c>
      <c r="BY81">
        <v>1.68</v>
      </c>
      <c r="BZ81" s="3">
        <f t="shared" si="56"/>
        <v>0.051393878968256</v>
      </c>
      <c r="CB81" s="10">
        <v>124.9</v>
      </c>
      <c r="CC81">
        <v>54.3</v>
      </c>
      <c r="CD81" s="12">
        <f t="shared" si="57"/>
        <v>70.6</v>
      </c>
      <c r="CE81">
        <v>71.3</v>
      </c>
      <c r="CF81" s="3">
        <f t="shared" si="58"/>
        <v>0.990182328190743</v>
      </c>
      <c r="CH81" s="13">
        <v>33.2</v>
      </c>
      <c r="CI81">
        <v>22.6</v>
      </c>
      <c r="CJ81">
        <f t="shared" si="59"/>
        <v>10.6</v>
      </c>
      <c r="CK81">
        <v>25.1</v>
      </c>
      <c r="CL81">
        <f t="shared" si="60"/>
        <v>0.422310756972112</v>
      </c>
      <c r="CN81" s="10">
        <v>4.3</v>
      </c>
      <c r="CO81">
        <v>3</v>
      </c>
      <c r="CP81" s="12">
        <f t="shared" si="61"/>
        <v>1.3</v>
      </c>
      <c r="CQ81">
        <v>3.4</v>
      </c>
      <c r="CR81" s="3">
        <f t="shared" si="62"/>
        <v>0.382352941176471</v>
      </c>
    </row>
    <row r="82" spans="2:96">
      <c r="B82" s="1">
        <v>40351</v>
      </c>
      <c r="C82">
        <v>32416</v>
      </c>
      <c r="D82" s="2">
        <f t="shared" si="63"/>
        <v>7935</v>
      </c>
      <c r="E82">
        <v>31904</v>
      </c>
      <c r="F82" s="3">
        <f t="shared" si="32"/>
        <v>0.248714894684052</v>
      </c>
      <c r="H82" s="1">
        <v>39754</v>
      </c>
      <c r="I82">
        <v>31145</v>
      </c>
      <c r="J82" s="2">
        <f t="shared" si="33"/>
        <v>8609</v>
      </c>
      <c r="K82">
        <v>32760</v>
      </c>
      <c r="L82" s="3">
        <f t="shared" si="34"/>
        <v>0.262789987789988</v>
      </c>
      <c r="N82" s="4">
        <v>255.343334195833</v>
      </c>
      <c r="O82">
        <v>201.27</v>
      </c>
      <c r="P82" s="5">
        <f t="shared" si="35"/>
        <v>54.073334195833</v>
      </c>
      <c r="Q82">
        <v>79.69</v>
      </c>
      <c r="R82" s="3">
        <f t="shared" si="36"/>
        <v>0.678546043365955</v>
      </c>
      <c r="T82" s="4">
        <v>292.550001775</v>
      </c>
      <c r="U82">
        <v>100.23</v>
      </c>
      <c r="V82" s="5">
        <f t="shared" si="37"/>
        <v>192.320001775</v>
      </c>
      <c r="W82">
        <v>410.93</v>
      </c>
      <c r="X82" s="3">
        <f t="shared" si="38"/>
        <v>0.468011587800842</v>
      </c>
      <c r="Z82" s="4">
        <v>26.7510417291666</v>
      </c>
      <c r="AA82">
        <v>13.25</v>
      </c>
      <c r="AB82" s="5">
        <f t="shared" si="39"/>
        <v>13.5010417291666</v>
      </c>
      <c r="AC82">
        <v>33.93</v>
      </c>
      <c r="AD82" s="3">
        <f t="shared" si="40"/>
        <v>0.397908686388641</v>
      </c>
      <c r="AF82" s="4">
        <v>4.12</v>
      </c>
      <c r="AG82">
        <v>2.09</v>
      </c>
      <c r="AH82" s="5">
        <f t="shared" si="41"/>
        <v>2.03</v>
      </c>
      <c r="AI82">
        <v>3.85</v>
      </c>
      <c r="AJ82" s="3">
        <f t="shared" si="42"/>
        <v>0.527272727272727</v>
      </c>
      <c r="AL82" s="4">
        <v>6.93740840416667</v>
      </c>
      <c r="AM82">
        <v>6.1</v>
      </c>
      <c r="AN82" s="5">
        <f t="shared" si="43"/>
        <v>0.837408404166671</v>
      </c>
      <c r="AO82">
        <v>1.89</v>
      </c>
      <c r="AP82" s="3">
        <f t="shared" si="44"/>
        <v>0.443073229717815</v>
      </c>
      <c r="AR82" s="4">
        <v>1.091875</v>
      </c>
      <c r="AS82">
        <v>0.02</v>
      </c>
      <c r="AT82" s="5">
        <f t="shared" si="45"/>
        <v>1.071875</v>
      </c>
      <c r="AU82">
        <v>2.84</v>
      </c>
      <c r="AV82" s="3">
        <f t="shared" si="46"/>
        <v>0.377420774647887</v>
      </c>
      <c r="AX82" s="4">
        <v>11.5673999416667</v>
      </c>
      <c r="AY82">
        <v>3.44</v>
      </c>
      <c r="AZ82" s="5">
        <f t="shared" si="47"/>
        <v>8.1273999416667</v>
      </c>
      <c r="BA82">
        <v>29.17</v>
      </c>
      <c r="BB82" s="3">
        <f t="shared" si="48"/>
        <v>0.278621869786311</v>
      </c>
      <c r="BD82" s="4">
        <v>1.43441668333333</v>
      </c>
      <c r="BE82">
        <v>0.17</v>
      </c>
      <c r="BF82" s="5">
        <f t="shared" si="49"/>
        <v>1.26441668333333</v>
      </c>
      <c r="BG82">
        <v>4</v>
      </c>
      <c r="BH82" s="3">
        <f t="shared" si="50"/>
        <v>0.316104170833333</v>
      </c>
      <c r="BJ82" s="9">
        <v>9.34500000416667</v>
      </c>
      <c r="BK82">
        <v>4.8</v>
      </c>
      <c r="BL82" s="5">
        <f t="shared" si="51"/>
        <v>4.54500000416667</v>
      </c>
      <c r="BM82">
        <v>8.9</v>
      </c>
      <c r="BN82" s="3">
        <f t="shared" si="52"/>
        <v>0.510674157771536</v>
      </c>
      <c r="BP82" s="9">
        <v>0.143483333333333</v>
      </c>
      <c r="BQ82">
        <v>0.09</v>
      </c>
      <c r="BR82" s="5">
        <f t="shared" si="53"/>
        <v>0.053483333333333</v>
      </c>
      <c r="BS82">
        <v>0.43</v>
      </c>
      <c r="BT82" s="3">
        <f t="shared" si="54"/>
        <v>0.12437984496124</v>
      </c>
      <c r="BV82" s="4">
        <v>6.318375</v>
      </c>
      <c r="BW82">
        <v>6.18</v>
      </c>
      <c r="BX82" s="5">
        <f t="shared" si="55"/>
        <v>0.138375</v>
      </c>
      <c r="BY82">
        <v>1.68</v>
      </c>
      <c r="BZ82" s="3">
        <f t="shared" si="56"/>
        <v>0.0823660714285714</v>
      </c>
      <c r="CB82" s="10">
        <v>122.5</v>
      </c>
      <c r="CC82">
        <v>54.3</v>
      </c>
      <c r="CD82" s="12">
        <f t="shared" si="57"/>
        <v>68.2</v>
      </c>
      <c r="CE82">
        <v>71.3</v>
      </c>
      <c r="CF82" s="3">
        <f t="shared" si="58"/>
        <v>0.956521739130435</v>
      </c>
      <c r="CH82" s="13">
        <v>34.5</v>
      </c>
      <c r="CI82">
        <v>22.6</v>
      </c>
      <c r="CJ82">
        <f t="shared" si="59"/>
        <v>11.9</v>
      </c>
      <c r="CK82">
        <v>25.1</v>
      </c>
      <c r="CL82">
        <f t="shared" si="60"/>
        <v>0.47410358565737</v>
      </c>
      <c r="CN82" s="10">
        <v>3.7</v>
      </c>
      <c r="CO82">
        <v>3</v>
      </c>
      <c r="CP82" s="12">
        <f t="shared" si="61"/>
        <v>0.7</v>
      </c>
      <c r="CQ82">
        <v>3.4</v>
      </c>
      <c r="CR82" s="3">
        <f t="shared" si="62"/>
        <v>0.205882352941177</v>
      </c>
    </row>
    <row r="83" spans="2:96">
      <c r="B83" s="1">
        <v>39284</v>
      </c>
      <c r="C83">
        <v>32416</v>
      </c>
      <c r="D83" s="2">
        <f t="shared" si="63"/>
        <v>6868</v>
      </c>
      <c r="E83">
        <v>31904</v>
      </c>
      <c r="F83" s="3">
        <f t="shared" si="32"/>
        <v>0.215270812437312</v>
      </c>
      <c r="H83" s="1">
        <v>38482.6044924</v>
      </c>
      <c r="I83">
        <v>31145</v>
      </c>
      <c r="J83" s="2">
        <f t="shared" si="33"/>
        <v>7337.6044924</v>
      </c>
      <c r="K83">
        <v>32760</v>
      </c>
      <c r="L83" s="3">
        <f t="shared" si="34"/>
        <v>0.223980601111111</v>
      </c>
      <c r="N83" s="4">
        <v>261.970000579167</v>
      </c>
      <c r="O83">
        <v>201.27</v>
      </c>
      <c r="P83" s="5">
        <f t="shared" si="35"/>
        <v>60.700000579167</v>
      </c>
      <c r="Q83">
        <v>79.69</v>
      </c>
      <c r="R83" s="3">
        <f t="shared" si="36"/>
        <v>0.761701600943242</v>
      </c>
      <c r="T83" s="4">
        <v>363.6791687</v>
      </c>
      <c r="U83">
        <v>100.23</v>
      </c>
      <c r="V83" s="5">
        <f t="shared" si="37"/>
        <v>263.4491687</v>
      </c>
      <c r="W83">
        <v>410.93</v>
      </c>
      <c r="X83" s="3">
        <f t="shared" si="38"/>
        <v>0.641104734869686</v>
      </c>
      <c r="Z83" s="4">
        <v>26.8950000583333</v>
      </c>
      <c r="AA83">
        <v>13.25</v>
      </c>
      <c r="AB83" s="5">
        <f t="shared" si="39"/>
        <v>13.6450000583333</v>
      </c>
      <c r="AC83">
        <v>33.93</v>
      </c>
      <c r="AD83" s="3">
        <f t="shared" si="40"/>
        <v>0.40215149007761</v>
      </c>
      <c r="AF83" s="4">
        <v>4.19</v>
      </c>
      <c r="AG83">
        <v>2.09</v>
      </c>
      <c r="AH83" s="5">
        <f t="shared" si="41"/>
        <v>2.1</v>
      </c>
      <c r="AI83">
        <v>3.85</v>
      </c>
      <c r="AJ83" s="3">
        <f t="shared" si="42"/>
        <v>0.545454545454546</v>
      </c>
      <c r="AL83" s="4">
        <v>6.94850430434783</v>
      </c>
      <c r="AM83">
        <v>6.1</v>
      </c>
      <c r="AN83" s="5">
        <f t="shared" si="43"/>
        <v>0.848504304347831</v>
      </c>
      <c r="AO83">
        <v>1.89</v>
      </c>
      <c r="AP83" s="3">
        <f t="shared" si="44"/>
        <v>0.448944076374514</v>
      </c>
      <c r="AR83" s="4">
        <v>0.592708333333333</v>
      </c>
      <c r="AS83">
        <v>0.02</v>
      </c>
      <c r="AT83" s="5">
        <f t="shared" si="45"/>
        <v>0.572708333333333</v>
      </c>
      <c r="AU83">
        <v>2.84</v>
      </c>
      <c r="AV83" s="3">
        <f t="shared" si="46"/>
        <v>0.201657863849765</v>
      </c>
      <c r="AX83" s="4">
        <v>10.4208000208333</v>
      </c>
      <c r="AY83">
        <v>3.44</v>
      </c>
      <c r="AZ83" s="5">
        <f t="shared" si="47"/>
        <v>6.9808000208333</v>
      </c>
      <c r="BA83">
        <v>29.17</v>
      </c>
      <c r="BB83" s="3">
        <f t="shared" si="48"/>
        <v>0.23931436478688</v>
      </c>
      <c r="BD83" s="4">
        <v>2.624166625</v>
      </c>
      <c r="BE83">
        <v>0.17</v>
      </c>
      <c r="BF83" s="5">
        <f t="shared" si="49"/>
        <v>2.454166625</v>
      </c>
      <c r="BG83">
        <v>4</v>
      </c>
      <c r="BH83" s="3">
        <f t="shared" si="50"/>
        <v>0.61354165625</v>
      </c>
      <c r="BJ83" s="9">
        <v>9.47350003333333</v>
      </c>
      <c r="BK83">
        <v>4.8</v>
      </c>
      <c r="BL83" s="5">
        <f t="shared" si="51"/>
        <v>4.67350003333333</v>
      </c>
      <c r="BM83">
        <v>8.9</v>
      </c>
      <c r="BN83" s="3">
        <f t="shared" si="52"/>
        <v>0.52511236329588</v>
      </c>
      <c r="BP83" s="9">
        <v>0.22133333333333</v>
      </c>
      <c r="BQ83">
        <v>0.09</v>
      </c>
      <c r="BR83" s="5">
        <f t="shared" si="53"/>
        <v>0.13133333333333</v>
      </c>
      <c r="BS83">
        <v>0.43</v>
      </c>
      <c r="BT83" s="3">
        <f t="shared" si="54"/>
        <v>0.30542635658914</v>
      </c>
      <c r="BV83" s="4">
        <v>6.21652499583333</v>
      </c>
      <c r="BW83">
        <v>6.18</v>
      </c>
      <c r="BX83" s="5">
        <f t="shared" si="55"/>
        <v>0.0365249958333305</v>
      </c>
      <c r="BY83">
        <v>1.68</v>
      </c>
      <c r="BZ83" s="3">
        <f t="shared" si="56"/>
        <v>0.021741068948411</v>
      </c>
      <c r="CB83" s="10">
        <v>121.9</v>
      </c>
      <c r="CC83">
        <v>54.3</v>
      </c>
      <c r="CD83" s="12">
        <f t="shared" si="57"/>
        <v>67.6</v>
      </c>
      <c r="CE83">
        <v>71.3</v>
      </c>
      <c r="CF83" s="3">
        <f t="shared" si="58"/>
        <v>0.948106591865358</v>
      </c>
      <c r="CH83" s="13">
        <v>29.7</v>
      </c>
      <c r="CI83">
        <v>22.6</v>
      </c>
      <c r="CJ83">
        <f t="shared" si="59"/>
        <v>7.1</v>
      </c>
      <c r="CK83">
        <v>25.1</v>
      </c>
      <c r="CL83">
        <f t="shared" si="60"/>
        <v>0.282868525896414</v>
      </c>
      <c r="CN83" s="10">
        <v>3.5</v>
      </c>
      <c r="CO83">
        <v>3</v>
      </c>
      <c r="CP83" s="12">
        <f t="shared" si="61"/>
        <v>0.5</v>
      </c>
      <c r="CQ83">
        <v>3.4</v>
      </c>
      <c r="CR83" s="3">
        <f t="shared" si="62"/>
        <v>0.147058823529412</v>
      </c>
    </row>
    <row r="84" spans="2:96">
      <c r="B84" s="1">
        <v>41825</v>
      </c>
      <c r="C84">
        <v>32416</v>
      </c>
      <c r="D84" s="2">
        <f t="shared" si="63"/>
        <v>9409</v>
      </c>
      <c r="E84">
        <v>31904</v>
      </c>
      <c r="F84" s="3">
        <f t="shared" si="32"/>
        <v>0.294915997993982</v>
      </c>
      <c r="H84" s="1">
        <v>41059.2438661</v>
      </c>
      <c r="I84">
        <v>31145</v>
      </c>
      <c r="J84" s="2">
        <f t="shared" si="33"/>
        <v>9914.2438661</v>
      </c>
      <c r="K84">
        <v>32760</v>
      </c>
      <c r="L84" s="3">
        <f t="shared" si="34"/>
        <v>0.302632596645299</v>
      </c>
      <c r="N84" s="4">
        <v>277.43333435</v>
      </c>
      <c r="O84">
        <v>201.27</v>
      </c>
      <c r="P84" s="5">
        <f t="shared" si="35"/>
        <v>76.16333435</v>
      </c>
      <c r="Q84">
        <v>79.69</v>
      </c>
      <c r="R84" s="3">
        <f t="shared" si="36"/>
        <v>0.955745191993976</v>
      </c>
      <c r="T84" s="4">
        <v>266.029163354167</v>
      </c>
      <c r="U84">
        <v>100.23</v>
      </c>
      <c r="V84" s="5">
        <f t="shared" si="37"/>
        <v>165.799163354167</v>
      </c>
      <c r="W84">
        <v>410.93</v>
      </c>
      <c r="X84" s="3">
        <f t="shared" si="38"/>
        <v>0.403473008430066</v>
      </c>
      <c r="Z84" s="4">
        <v>27.7295833208333</v>
      </c>
      <c r="AA84">
        <v>13.25</v>
      </c>
      <c r="AB84" s="5">
        <f t="shared" si="39"/>
        <v>14.4795833208333</v>
      </c>
      <c r="AC84">
        <v>33.93</v>
      </c>
      <c r="AD84" s="3">
        <f t="shared" si="40"/>
        <v>0.426748697932016</v>
      </c>
      <c r="AF84" s="4">
        <v>4.39</v>
      </c>
      <c r="AG84">
        <v>2.09</v>
      </c>
      <c r="AH84" s="5">
        <f t="shared" si="41"/>
        <v>2.3</v>
      </c>
      <c r="AI84">
        <v>3.85</v>
      </c>
      <c r="AJ84" s="3">
        <f t="shared" si="42"/>
        <v>0.597402597402597</v>
      </c>
      <c r="AL84" s="4">
        <v>6.91109999</v>
      </c>
      <c r="AM84">
        <v>6.1</v>
      </c>
      <c r="AN84" s="5">
        <f t="shared" si="43"/>
        <v>0.811099990000001</v>
      </c>
      <c r="AO84">
        <v>1.89</v>
      </c>
      <c r="AP84" s="3">
        <f t="shared" si="44"/>
        <v>0.429153433862434</v>
      </c>
      <c r="AR84" s="4">
        <v>0.685833333333333</v>
      </c>
      <c r="AS84">
        <v>0.02</v>
      </c>
      <c r="AT84" s="5">
        <f t="shared" si="45"/>
        <v>0.665833333333333</v>
      </c>
      <c r="AU84">
        <v>2.84</v>
      </c>
      <c r="AV84" s="3">
        <f t="shared" si="46"/>
        <v>0.234448356807512</v>
      </c>
      <c r="AX84" s="4">
        <v>11.7580666875</v>
      </c>
      <c r="AY84">
        <v>3.44</v>
      </c>
      <c r="AZ84" s="5">
        <f t="shared" si="47"/>
        <v>8.3180666875</v>
      </c>
      <c r="BA84">
        <v>29.17</v>
      </c>
      <c r="BB84" s="3">
        <f t="shared" si="48"/>
        <v>0.285158268340761</v>
      </c>
      <c r="BD84" s="4">
        <v>2.20625000416667</v>
      </c>
      <c r="BE84">
        <v>0.17</v>
      </c>
      <c r="BF84" s="5">
        <f t="shared" si="49"/>
        <v>2.03625000416667</v>
      </c>
      <c r="BG84">
        <v>4</v>
      </c>
      <c r="BH84" s="3">
        <f t="shared" si="50"/>
        <v>0.509062501041668</v>
      </c>
      <c r="BJ84" s="9">
        <v>5.0339167</v>
      </c>
      <c r="BK84">
        <v>4.8</v>
      </c>
      <c r="BL84" s="5">
        <f t="shared" si="51"/>
        <v>0.2339167</v>
      </c>
      <c r="BM84">
        <v>8.9</v>
      </c>
      <c r="BN84" s="3">
        <f t="shared" si="52"/>
        <v>0.0262827752808989</v>
      </c>
      <c r="BP84" s="9">
        <v>0.27435</v>
      </c>
      <c r="BQ84">
        <v>0.09</v>
      </c>
      <c r="BR84" s="5">
        <f t="shared" si="53"/>
        <v>0.18435</v>
      </c>
      <c r="BS84">
        <v>0.43</v>
      </c>
      <c r="BT84" s="3">
        <f t="shared" si="54"/>
        <v>0.428720930232558</v>
      </c>
      <c r="BV84" s="4">
        <v>6.1870666625</v>
      </c>
      <c r="BW84">
        <v>6.18</v>
      </c>
      <c r="BX84" s="5">
        <f t="shared" si="55"/>
        <v>0.00706666250000065</v>
      </c>
      <c r="BY84">
        <v>1.68</v>
      </c>
      <c r="BZ84" s="3">
        <f t="shared" si="56"/>
        <v>0.00420634672619086</v>
      </c>
      <c r="CB84" s="10">
        <v>122.2</v>
      </c>
      <c r="CC84">
        <v>54.3</v>
      </c>
      <c r="CD84" s="12">
        <f t="shared" si="57"/>
        <v>67.9</v>
      </c>
      <c r="CE84">
        <v>71.3</v>
      </c>
      <c r="CF84" s="3">
        <f t="shared" si="58"/>
        <v>0.952314165497896</v>
      </c>
      <c r="CH84" s="13">
        <v>30.1</v>
      </c>
      <c r="CI84">
        <v>22.6</v>
      </c>
      <c r="CJ84">
        <f t="shared" si="59"/>
        <v>7.5</v>
      </c>
      <c r="CK84">
        <v>25.1</v>
      </c>
      <c r="CL84">
        <f t="shared" si="60"/>
        <v>0.298804780876494</v>
      </c>
      <c r="CN84" s="10">
        <v>4</v>
      </c>
      <c r="CO84">
        <v>3</v>
      </c>
      <c r="CP84" s="12">
        <f t="shared" si="61"/>
        <v>1</v>
      </c>
      <c r="CQ84">
        <v>3.4</v>
      </c>
      <c r="CR84" s="3">
        <f t="shared" si="62"/>
        <v>0.294117647058824</v>
      </c>
    </row>
    <row r="85" spans="2:96">
      <c r="B85" s="1">
        <v>42587</v>
      </c>
      <c r="C85">
        <v>32416</v>
      </c>
      <c r="D85" s="2">
        <f t="shared" si="63"/>
        <v>10171</v>
      </c>
      <c r="E85">
        <v>31904</v>
      </c>
      <c r="F85" s="3">
        <f t="shared" si="32"/>
        <v>0.318800150451354</v>
      </c>
      <c r="H85" s="1">
        <v>41827.4377748</v>
      </c>
      <c r="I85">
        <v>31145</v>
      </c>
      <c r="J85" s="2">
        <f t="shared" si="33"/>
        <v>10682.4377748</v>
      </c>
      <c r="K85">
        <v>32760</v>
      </c>
      <c r="L85" s="3">
        <f t="shared" si="34"/>
        <v>0.326081739157509</v>
      </c>
      <c r="N85" s="4">
        <v>274.149997070833</v>
      </c>
      <c r="O85">
        <v>201.27</v>
      </c>
      <c r="P85" s="5">
        <f t="shared" si="35"/>
        <v>72.879997070833</v>
      </c>
      <c r="Q85">
        <v>79.69</v>
      </c>
      <c r="R85" s="3">
        <f t="shared" si="36"/>
        <v>0.914543820690589</v>
      </c>
      <c r="T85" s="4">
        <v>305.6374994875</v>
      </c>
      <c r="U85">
        <v>100.23</v>
      </c>
      <c r="V85" s="5">
        <f t="shared" si="37"/>
        <v>205.4074994875</v>
      </c>
      <c r="W85">
        <v>410.93</v>
      </c>
      <c r="X85" s="3">
        <f t="shared" si="38"/>
        <v>0.499860072244664</v>
      </c>
      <c r="Z85" s="4">
        <v>27.3116666833333</v>
      </c>
      <c r="AA85">
        <v>13.25</v>
      </c>
      <c r="AB85" s="5">
        <f t="shared" si="39"/>
        <v>14.0616666833333</v>
      </c>
      <c r="AC85">
        <v>33.93</v>
      </c>
      <c r="AD85" s="3">
        <f t="shared" si="40"/>
        <v>0.414431673543569</v>
      </c>
      <c r="AF85" s="4">
        <v>3.69</v>
      </c>
      <c r="AG85">
        <v>2.09</v>
      </c>
      <c r="AH85" s="5">
        <f t="shared" si="41"/>
        <v>1.6</v>
      </c>
      <c r="AI85">
        <v>3.85</v>
      </c>
      <c r="AJ85" s="3">
        <f t="shared" si="42"/>
        <v>0.415584415584416</v>
      </c>
      <c r="AL85" s="4">
        <v>6.87326316842105</v>
      </c>
      <c r="AM85">
        <v>6.1</v>
      </c>
      <c r="AN85" s="5">
        <f t="shared" si="43"/>
        <v>0.77326316842105</v>
      </c>
      <c r="AO85">
        <v>1.89</v>
      </c>
      <c r="AP85" s="3">
        <f t="shared" si="44"/>
        <v>0.409133951545529</v>
      </c>
      <c r="AR85" s="4">
        <v>0.782916666666666</v>
      </c>
      <c r="AS85">
        <v>0.02</v>
      </c>
      <c r="AT85" s="5">
        <f t="shared" si="45"/>
        <v>0.762916666666666</v>
      </c>
      <c r="AU85">
        <v>2.84</v>
      </c>
      <c r="AV85" s="3">
        <f t="shared" si="46"/>
        <v>0.268632629107981</v>
      </c>
      <c r="AX85" s="4">
        <v>9.52726659166667</v>
      </c>
      <c r="AY85">
        <v>3.44</v>
      </c>
      <c r="AZ85" s="5">
        <f t="shared" si="47"/>
        <v>6.08726659166667</v>
      </c>
      <c r="BA85">
        <v>29.17</v>
      </c>
      <c r="BB85" s="3">
        <f t="shared" si="48"/>
        <v>0.20868243372186</v>
      </c>
      <c r="BD85" s="4">
        <v>2.14441669166667</v>
      </c>
      <c r="BE85">
        <v>0.17</v>
      </c>
      <c r="BF85" s="5">
        <f t="shared" si="49"/>
        <v>1.97441669166667</v>
      </c>
      <c r="BG85">
        <v>4</v>
      </c>
      <c r="BH85" s="3">
        <f t="shared" si="50"/>
        <v>0.493604172916667</v>
      </c>
      <c r="BJ85" s="9">
        <v>9.31124996666667</v>
      </c>
      <c r="BK85">
        <v>4.8</v>
      </c>
      <c r="BL85" s="5">
        <f t="shared" si="51"/>
        <v>4.51124996666667</v>
      </c>
      <c r="BM85">
        <v>8.9</v>
      </c>
      <c r="BN85" s="3">
        <f t="shared" si="52"/>
        <v>0.506882018726592</v>
      </c>
      <c r="BP85" s="9">
        <v>0.2749083333333</v>
      </c>
      <c r="BQ85">
        <v>0.09</v>
      </c>
      <c r="BR85" s="5">
        <f t="shared" si="53"/>
        <v>0.1849083333333</v>
      </c>
      <c r="BS85">
        <v>0.43</v>
      </c>
      <c r="BT85" s="3">
        <f t="shared" si="54"/>
        <v>0.430019379844884</v>
      </c>
      <c r="BV85" s="4">
        <v>6.18426663333333</v>
      </c>
      <c r="BW85">
        <v>6.18</v>
      </c>
      <c r="BX85" s="5">
        <f t="shared" si="55"/>
        <v>0.00426663333333011</v>
      </c>
      <c r="BY85">
        <v>1.68</v>
      </c>
      <c r="BZ85" s="3">
        <f t="shared" si="56"/>
        <v>0.00253966269841078</v>
      </c>
      <c r="CB85" s="10">
        <v>123.7</v>
      </c>
      <c r="CC85">
        <v>54.3</v>
      </c>
      <c r="CD85" s="12">
        <f t="shared" si="57"/>
        <v>69.4</v>
      </c>
      <c r="CE85">
        <v>71.3</v>
      </c>
      <c r="CF85" s="3">
        <f t="shared" si="58"/>
        <v>0.973352033660589</v>
      </c>
      <c r="CH85" s="13">
        <v>33.5</v>
      </c>
      <c r="CI85">
        <v>22.6</v>
      </c>
      <c r="CJ85">
        <f t="shared" si="59"/>
        <v>10.9</v>
      </c>
      <c r="CK85">
        <v>25.1</v>
      </c>
      <c r="CL85">
        <f t="shared" si="60"/>
        <v>0.434262948207171</v>
      </c>
      <c r="CN85" s="10">
        <v>3.4</v>
      </c>
      <c r="CO85">
        <v>3</v>
      </c>
      <c r="CP85" s="12">
        <f t="shared" si="61"/>
        <v>0.4</v>
      </c>
      <c r="CQ85">
        <v>3.4</v>
      </c>
      <c r="CR85" s="3">
        <f t="shared" si="62"/>
        <v>0.117647058823529</v>
      </c>
    </row>
    <row r="86" spans="2:96">
      <c r="B86" s="1">
        <v>45328</v>
      </c>
      <c r="C86">
        <v>32416</v>
      </c>
      <c r="D86" s="2">
        <f t="shared" si="63"/>
        <v>12912</v>
      </c>
      <c r="E86">
        <v>31904</v>
      </c>
      <c r="F86" s="3">
        <f t="shared" si="32"/>
        <v>0.404714142427282</v>
      </c>
      <c r="H86" s="1">
        <v>44138.9751283</v>
      </c>
      <c r="I86">
        <v>31145</v>
      </c>
      <c r="J86" s="2">
        <f t="shared" si="33"/>
        <v>12993.9751283</v>
      </c>
      <c r="K86">
        <v>32760</v>
      </c>
      <c r="L86" s="3">
        <f t="shared" si="34"/>
        <v>0.396641487432845</v>
      </c>
      <c r="N86" s="4">
        <v>268.3033332875</v>
      </c>
      <c r="O86">
        <v>201.27</v>
      </c>
      <c r="P86" s="5">
        <f t="shared" si="35"/>
        <v>67.0333332875</v>
      </c>
      <c r="Q86">
        <v>79.69</v>
      </c>
      <c r="R86" s="3">
        <f t="shared" si="36"/>
        <v>0.841176223961601</v>
      </c>
      <c r="T86" s="4">
        <v>325.470830275</v>
      </c>
      <c r="U86">
        <v>100.23</v>
      </c>
      <c r="V86" s="5">
        <f t="shared" si="37"/>
        <v>225.240830275</v>
      </c>
      <c r="W86">
        <v>410.93</v>
      </c>
      <c r="X86" s="3">
        <f t="shared" si="38"/>
        <v>0.548124571764047</v>
      </c>
      <c r="Z86" s="4">
        <v>22.2585416458333</v>
      </c>
      <c r="AA86">
        <v>13.25</v>
      </c>
      <c r="AB86" s="5">
        <f t="shared" si="39"/>
        <v>9.0085416458333</v>
      </c>
      <c r="AC86">
        <v>33.93</v>
      </c>
      <c r="AD86" s="3">
        <f t="shared" si="40"/>
        <v>0.265503732562137</v>
      </c>
      <c r="AF86" s="4">
        <v>4.57</v>
      </c>
      <c r="AG86">
        <v>2.09</v>
      </c>
      <c r="AH86" s="5">
        <f t="shared" si="41"/>
        <v>2.48</v>
      </c>
      <c r="AI86">
        <v>3.85</v>
      </c>
      <c r="AJ86" s="3">
        <f t="shared" si="42"/>
        <v>0.644155844155844</v>
      </c>
      <c r="AL86" s="4">
        <v>6.88346656190476</v>
      </c>
      <c r="AM86">
        <v>6.1</v>
      </c>
      <c r="AN86" s="5">
        <f t="shared" si="43"/>
        <v>0.783466561904761</v>
      </c>
      <c r="AO86">
        <v>1.89</v>
      </c>
      <c r="AP86" s="3">
        <f t="shared" si="44"/>
        <v>0.414532572436381</v>
      </c>
      <c r="AR86" s="4">
        <v>0.882708333333333</v>
      </c>
      <c r="AS86">
        <v>0.02</v>
      </c>
      <c r="AT86" s="5">
        <f t="shared" si="45"/>
        <v>0.862708333333333</v>
      </c>
      <c r="AU86">
        <v>2.84</v>
      </c>
      <c r="AV86" s="3">
        <f t="shared" si="46"/>
        <v>0.303770539906103</v>
      </c>
      <c r="AX86" s="4">
        <v>4.80046675833333</v>
      </c>
      <c r="AY86">
        <v>3.44</v>
      </c>
      <c r="AZ86" s="5">
        <f t="shared" si="47"/>
        <v>1.36046675833333</v>
      </c>
      <c r="BA86">
        <v>29.17</v>
      </c>
      <c r="BB86" s="3">
        <f t="shared" si="48"/>
        <v>0.0466392443720716</v>
      </c>
      <c r="BD86" s="4">
        <v>1.2424999875</v>
      </c>
      <c r="BE86">
        <v>0.17</v>
      </c>
      <c r="BF86" s="5">
        <f t="shared" si="49"/>
        <v>1.0724999875</v>
      </c>
      <c r="BG86">
        <v>4</v>
      </c>
      <c r="BH86" s="3">
        <f t="shared" si="50"/>
        <v>0.268124996875</v>
      </c>
      <c r="BJ86" s="4">
        <v>8.9255</v>
      </c>
      <c r="BK86">
        <v>4.8</v>
      </c>
      <c r="BL86" s="5">
        <f t="shared" si="51"/>
        <v>4.1255</v>
      </c>
      <c r="BM86">
        <v>8.9</v>
      </c>
      <c r="BN86" s="3">
        <f t="shared" si="52"/>
        <v>0.463539325842697</v>
      </c>
      <c r="BP86" s="4">
        <v>0.2456</v>
      </c>
      <c r="BQ86">
        <v>0.09</v>
      </c>
      <c r="BR86" s="5">
        <f t="shared" si="53"/>
        <v>0.1556</v>
      </c>
      <c r="BS86">
        <v>0.43</v>
      </c>
      <c r="BT86" s="3">
        <f t="shared" si="54"/>
        <v>0.361860465116279</v>
      </c>
      <c r="BV86" s="4">
        <v>6.23787497083333</v>
      </c>
      <c r="BW86">
        <v>6.18</v>
      </c>
      <c r="BX86" s="5">
        <f t="shared" si="55"/>
        <v>0.0578749708333302</v>
      </c>
      <c r="BY86">
        <v>1.68</v>
      </c>
      <c r="BZ86" s="3">
        <f t="shared" si="56"/>
        <v>0.0344493874007918</v>
      </c>
      <c r="CB86" s="10">
        <v>122.3</v>
      </c>
      <c r="CC86">
        <v>54.3</v>
      </c>
      <c r="CD86" s="12">
        <f t="shared" si="57"/>
        <v>68</v>
      </c>
      <c r="CE86">
        <v>71.3</v>
      </c>
      <c r="CF86" s="3">
        <f t="shared" si="58"/>
        <v>0.953716690042076</v>
      </c>
      <c r="CH86" s="13">
        <v>28.4</v>
      </c>
      <c r="CI86">
        <v>22.6</v>
      </c>
      <c r="CJ86">
        <f t="shared" si="59"/>
        <v>5.8</v>
      </c>
      <c r="CK86">
        <v>25.1</v>
      </c>
      <c r="CL86">
        <f t="shared" si="60"/>
        <v>0.231075697211155</v>
      </c>
      <c r="CN86" s="10">
        <v>4.6</v>
      </c>
      <c r="CO86">
        <v>3</v>
      </c>
      <c r="CP86" s="12">
        <f t="shared" si="61"/>
        <v>1.6</v>
      </c>
      <c r="CQ86">
        <v>3.4</v>
      </c>
      <c r="CR86" s="3">
        <f t="shared" si="62"/>
        <v>0.470588235294118</v>
      </c>
    </row>
    <row r="87" spans="2:96">
      <c r="B87" s="1">
        <v>43026</v>
      </c>
      <c r="C87">
        <v>32416</v>
      </c>
      <c r="D87" s="2">
        <f t="shared" si="63"/>
        <v>10610</v>
      </c>
      <c r="E87">
        <v>31904</v>
      </c>
      <c r="F87" s="3">
        <f t="shared" si="32"/>
        <v>0.332560180541625</v>
      </c>
      <c r="H87" s="1">
        <v>42163.0820314</v>
      </c>
      <c r="I87">
        <v>31145</v>
      </c>
      <c r="J87" s="2">
        <f t="shared" si="33"/>
        <v>11018.0820314</v>
      </c>
      <c r="K87">
        <v>32760</v>
      </c>
      <c r="L87" s="3">
        <f t="shared" si="34"/>
        <v>0.336327290335775</v>
      </c>
      <c r="N87" s="4">
        <v>253.183333725</v>
      </c>
      <c r="O87">
        <v>201.27</v>
      </c>
      <c r="P87" s="5">
        <f t="shared" si="35"/>
        <v>51.913333725</v>
      </c>
      <c r="Q87">
        <v>79.69</v>
      </c>
      <c r="R87" s="3">
        <f t="shared" si="36"/>
        <v>0.651441005458652</v>
      </c>
      <c r="T87" s="4">
        <v>193.554168704167</v>
      </c>
      <c r="U87">
        <v>100.23</v>
      </c>
      <c r="V87" s="5">
        <f t="shared" si="37"/>
        <v>93.324168704167</v>
      </c>
      <c r="W87">
        <v>410.93</v>
      </c>
      <c r="X87" s="3">
        <f t="shared" si="38"/>
        <v>0.227104783549916</v>
      </c>
      <c r="Z87" s="4">
        <v>24.8031250708333</v>
      </c>
      <c r="AA87">
        <v>13.25</v>
      </c>
      <c r="AB87" s="5">
        <f t="shared" si="39"/>
        <v>11.5531250708333</v>
      </c>
      <c r="AC87">
        <v>33.93</v>
      </c>
      <c r="AD87" s="3">
        <f t="shared" si="40"/>
        <v>0.3404988231899</v>
      </c>
      <c r="AF87" s="4">
        <v>4.16</v>
      </c>
      <c r="AG87">
        <v>2.09</v>
      </c>
      <c r="AH87" s="5">
        <f t="shared" si="41"/>
        <v>2.07</v>
      </c>
      <c r="AI87">
        <v>3.85</v>
      </c>
      <c r="AJ87" s="3">
        <f t="shared" si="42"/>
        <v>0.537662337662338</v>
      </c>
      <c r="AL87" s="4">
        <v>6.82533332857143</v>
      </c>
      <c r="AM87">
        <v>6.1</v>
      </c>
      <c r="AN87" s="5">
        <f t="shared" si="43"/>
        <v>0.725333328571431</v>
      </c>
      <c r="AO87">
        <v>1.89</v>
      </c>
      <c r="AP87" s="3">
        <f t="shared" si="44"/>
        <v>0.383774247921392</v>
      </c>
      <c r="AR87" s="4">
        <v>0.782708333333333</v>
      </c>
      <c r="AS87">
        <v>0.02</v>
      </c>
      <c r="AT87" s="5">
        <f t="shared" si="45"/>
        <v>0.762708333333333</v>
      </c>
      <c r="AU87">
        <v>2.84</v>
      </c>
      <c r="AV87" s="3">
        <f t="shared" si="46"/>
        <v>0.268559272300469</v>
      </c>
      <c r="AX87" s="4">
        <v>5.75466665</v>
      </c>
      <c r="AY87">
        <v>3.44</v>
      </c>
      <c r="AZ87" s="5">
        <f t="shared" si="47"/>
        <v>2.31466665</v>
      </c>
      <c r="BA87">
        <v>29.17</v>
      </c>
      <c r="BB87" s="3">
        <f t="shared" si="48"/>
        <v>0.0793509307507713</v>
      </c>
      <c r="BD87" s="4">
        <v>1.65649999166667</v>
      </c>
      <c r="BE87">
        <v>0.17</v>
      </c>
      <c r="BF87" s="5">
        <f t="shared" si="49"/>
        <v>1.48649999166667</v>
      </c>
      <c r="BG87">
        <v>4</v>
      </c>
      <c r="BH87" s="3">
        <f t="shared" si="50"/>
        <v>0.371624997916668</v>
      </c>
      <c r="BJ87" s="4">
        <v>9.53774999583333</v>
      </c>
      <c r="BK87">
        <v>4.8</v>
      </c>
      <c r="BL87" s="5">
        <f t="shared" si="51"/>
        <v>4.73774999583333</v>
      </c>
      <c r="BM87">
        <v>8.9</v>
      </c>
      <c r="BN87" s="3">
        <f t="shared" si="52"/>
        <v>0.532331460205992</v>
      </c>
      <c r="BP87" s="4">
        <v>0.252341666666666</v>
      </c>
      <c r="BQ87">
        <v>0.09</v>
      </c>
      <c r="BR87" s="5">
        <f t="shared" si="53"/>
        <v>0.162341666666666</v>
      </c>
      <c r="BS87">
        <v>0.43</v>
      </c>
      <c r="BT87" s="3">
        <f t="shared" si="54"/>
        <v>0.377538759689921</v>
      </c>
      <c r="BV87" s="4">
        <v>6.26348336666667</v>
      </c>
      <c r="BW87">
        <v>6.18</v>
      </c>
      <c r="BX87" s="5">
        <f t="shared" si="55"/>
        <v>0.0834833666666706</v>
      </c>
      <c r="BY87">
        <v>1.68</v>
      </c>
      <c r="BZ87" s="3">
        <f t="shared" si="56"/>
        <v>0.0496924801587325</v>
      </c>
      <c r="CB87" s="10">
        <v>122.8</v>
      </c>
      <c r="CC87">
        <v>54.3</v>
      </c>
      <c r="CD87" s="12">
        <f t="shared" si="57"/>
        <v>68.5</v>
      </c>
      <c r="CE87">
        <v>71.3</v>
      </c>
      <c r="CF87" s="3">
        <f t="shared" si="58"/>
        <v>0.960729312762973</v>
      </c>
      <c r="CH87" s="13">
        <v>28.6</v>
      </c>
      <c r="CI87">
        <v>22.6</v>
      </c>
      <c r="CJ87">
        <f t="shared" si="59"/>
        <v>6</v>
      </c>
      <c r="CK87">
        <v>25.1</v>
      </c>
      <c r="CL87">
        <f t="shared" si="60"/>
        <v>0.239043824701195</v>
      </c>
      <c r="CN87" s="11">
        <v>3.2</v>
      </c>
      <c r="CO87">
        <v>3</v>
      </c>
      <c r="CP87" s="12">
        <f t="shared" si="61"/>
        <v>0.2</v>
      </c>
      <c r="CQ87">
        <v>3.4</v>
      </c>
      <c r="CR87" s="3">
        <f t="shared" si="62"/>
        <v>0.0588235294117648</v>
      </c>
    </row>
    <row r="88" spans="2:96">
      <c r="B88" s="1">
        <v>48751</v>
      </c>
      <c r="C88">
        <v>32416</v>
      </c>
      <c r="D88" s="2">
        <f t="shared" si="63"/>
        <v>16335</v>
      </c>
      <c r="E88">
        <v>31904</v>
      </c>
      <c r="F88" s="3">
        <f t="shared" si="32"/>
        <v>0.512004764292879</v>
      </c>
      <c r="H88" s="1">
        <v>47743.241455</v>
      </c>
      <c r="I88">
        <v>31145</v>
      </c>
      <c r="J88" s="2">
        <f t="shared" si="33"/>
        <v>16598.241455</v>
      </c>
      <c r="K88">
        <v>32760</v>
      </c>
      <c r="L88" s="3">
        <f t="shared" si="34"/>
        <v>0.506661827075702</v>
      </c>
      <c r="N88" s="4">
        <v>262.243332554167</v>
      </c>
      <c r="O88">
        <v>201.27</v>
      </c>
      <c r="P88" s="5">
        <f t="shared" si="35"/>
        <v>60.973332554167</v>
      </c>
      <c r="Q88">
        <v>79.69</v>
      </c>
      <c r="R88" s="3">
        <f t="shared" si="36"/>
        <v>0.765131541650985</v>
      </c>
      <c r="T88" s="4">
        <v>209.808334995833</v>
      </c>
      <c r="U88">
        <v>100.23</v>
      </c>
      <c r="V88" s="5">
        <f t="shared" si="37"/>
        <v>109.578334995833</v>
      </c>
      <c r="W88">
        <v>410.93</v>
      </c>
      <c r="X88" s="3">
        <f t="shared" si="38"/>
        <v>0.266659370198898</v>
      </c>
      <c r="Z88" s="4">
        <v>24.6441666708333</v>
      </c>
      <c r="AA88">
        <v>13.25</v>
      </c>
      <c r="AB88" s="5">
        <f t="shared" si="39"/>
        <v>11.3941666708333</v>
      </c>
      <c r="AC88">
        <v>33.93</v>
      </c>
      <c r="AD88" s="3">
        <f t="shared" si="40"/>
        <v>0.335813930764318</v>
      </c>
      <c r="AF88" s="4">
        <v>3.76</v>
      </c>
      <c r="AG88">
        <v>2.09</v>
      </c>
      <c r="AH88" s="5">
        <f t="shared" si="41"/>
        <v>1.67</v>
      </c>
      <c r="AI88">
        <v>3.85</v>
      </c>
      <c r="AJ88" s="3">
        <f t="shared" si="42"/>
        <v>0.433766233766234</v>
      </c>
      <c r="AL88" s="4">
        <v>6.91853330952381</v>
      </c>
      <c r="AM88">
        <v>6.1</v>
      </c>
      <c r="AN88" s="5">
        <f t="shared" si="43"/>
        <v>0.818533309523811</v>
      </c>
      <c r="AO88">
        <v>1.89</v>
      </c>
      <c r="AP88" s="3">
        <f t="shared" si="44"/>
        <v>0.433086407155455</v>
      </c>
      <c r="AR88" s="4">
        <v>0.783125</v>
      </c>
      <c r="AS88">
        <v>0.02</v>
      </c>
      <c r="AT88" s="5">
        <f t="shared" si="45"/>
        <v>0.763125</v>
      </c>
      <c r="AU88">
        <v>2.84</v>
      </c>
      <c r="AV88" s="3">
        <f t="shared" si="46"/>
        <v>0.268705985915493</v>
      </c>
      <c r="AX88" s="4">
        <v>5.1739999625</v>
      </c>
      <c r="AY88">
        <v>3.44</v>
      </c>
      <c r="AZ88" s="5">
        <f t="shared" si="47"/>
        <v>1.7339999625</v>
      </c>
      <c r="BA88">
        <v>29.17</v>
      </c>
      <c r="BB88" s="3">
        <f t="shared" si="48"/>
        <v>0.0594446336133013</v>
      </c>
      <c r="BD88" s="4">
        <v>1.26649999583333</v>
      </c>
      <c r="BE88">
        <v>0.17</v>
      </c>
      <c r="BF88" s="5">
        <f t="shared" si="49"/>
        <v>1.09649999583333</v>
      </c>
      <c r="BG88">
        <v>4</v>
      </c>
      <c r="BH88" s="3">
        <f t="shared" si="50"/>
        <v>0.274124998958333</v>
      </c>
      <c r="BJ88" s="4">
        <v>9.50525002916667</v>
      </c>
      <c r="BK88">
        <v>4.8</v>
      </c>
      <c r="BL88" s="5">
        <f t="shared" si="51"/>
        <v>4.70525002916667</v>
      </c>
      <c r="BM88">
        <v>8.9</v>
      </c>
      <c r="BN88" s="3">
        <f t="shared" si="52"/>
        <v>0.528679778558053</v>
      </c>
      <c r="BP88" s="4">
        <v>0.150891666666666</v>
      </c>
      <c r="BQ88">
        <v>0.09</v>
      </c>
      <c r="BR88" s="5">
        <f t="shared" si="53"/>
        <v>0.060891666666666</v>
      </c>
      <c r="BS88">
        <v>0.43</v>
      </c>
      <c r="BT88" s="3">
        <f t="shared" si="54"/>
        <v>0.141608527131781</v>
      </c>
      <c r="BV88" s="4">
        <v>6.19593324583333</v>
      </c>
      <c r="BW88">
        <v>6.18</v>
      </c>
      <c r="BX88" s="5">
        <f t="shared" si="55"/>
        <v>0.0159332458333301</v>
      </c>
      <c r="BY88">
        <v>1.68</v>
      </c>
      <c r="BZ88" s="3">
        <f t="shared" si="56"/>
        <v>0.00948407490079173</v>
      </c>
      <c r="CB88" s="10">
        <v>123.5</v>
      </c>
      <c r="CC88">
        <v>54.3</v>
      </c>
      <c r="CD88" s="12">
        <f t="shared" si="57"/>
        <v>69.2</v>
      </c>
      <c r="CE88">
        <v>71.3</v>
      </c>
      <c r="CF88" s="3">
        <f t="shared" si="58"/>
        <v>0.97054698457223</v>
      </c>
      <c r="CH88" s="13">
        <v>29.7</v>
      </c>
      <c r="CI88">
        <v>22.6</v>
      </c>
      <c r="CJ88">
        <f t="shared" si="59"/>
        <v>7.1</v>
      </c>
      <c r="CK88">
        <v>25.1</v>
      </c>
      <c r="CL88">
        <f t="shared" si="60"/>
        <v>0.282868525896414</v>
      </c>
      <c r="CN88" s="10">
        <v>3.3</v>
      </c>
      <c r="CO88">
        <v>3</v>
      </c>
      <c r="CP88" s="12">
        <f t="shared" si="61"/>
        <v>0.3</v>
      </c>
      <c r="CQ88">
        <v>3.4</v>
      </c>
      <c r="CR88" s="3">
        <f t="shared" si="62"/>
        <v>0.088235294117647</v>
      </c>
    </row>
    <row r="89" spans="2:96">
      <c r="B89" s="1">
        <v>43256</v>
      </c>
      <c r="C89">
        <v>32416</v>
      </c>
      <c r="D89" s="2">
        <f t="shared" si="63"/>
        <v>10840</v>
      </c>
      <c r="E89">
        <v>31904</v>
      </c>
      <c r="F89" s="3">
        <f t="shared" si="32"/>
        <v>0.339769307923771</v>
      </c>
      <c r="H89" s="1">
        <v>42465.9899033</v>
      </c>
      <c r="I89">
        <v>31145</v>
      </c>
      <c r="J89" s="2">
        <f t="shared" si="33"/>
        <v>11320.9899033</v>
      </c>
      <c r="K89">
        <v>32760</v>
      </c>
      <c r="L89" s="3">
        <f t="shared" si="34"/>
        <v>0.345573562371795</v>
      </c>
      <c r="N89" s="4">
        <v>250.166667941667</v>
      </c>
      <c r="O89">
        <v>201.27</v>
      </c>
      <c r="P89" s="5">
        <f t="shared" si="35"/>
        <v>48.896667941667</v>
      </c>
      <c r="Q89">
        <v>79.69</v>
      </c>
      <c r="R89" s="3">
        <f t="shared" si="36"/>
        <v>0.613585995001468</v>
      </c>
      <c r="T89" s="4">
        <v>158.445833841667</v>
      </c>
      <c r="U89">
        <v>100.23</v>
      </c>
      <c r="V89" s="5">
        <f t="shared" si="37"/>
        <v>58.215833841667</v>
      </c>
      <c r="W89">
        <v>410.93</v>
      </c>
      <c r="X89" s="3">
        <f t="shared" si="38"/>
        <v>0.141668493032066</v>
      </c>
      <c r="Z89" s="4">
        <v>24.5810416791666</v>
      </c>
      <c r="AA89">
        <v>13.25</v>
      </c>
      <c r="AB89" s="5">
        <f t="shared" si="39"/>
        <v>11.3310416791666</v>
      </c>
      <c r="AC89">
        <v>33.93</v>
      </c>
      <c r="AD89" s="3">
        <f t="shared" si="40"/>
        <v>0.333953483028783</v>
      </c>
      <c r="AF89" s="4">
        <v>4.33</v>
      </c>
      <c r="AG89">
        <v>2.09</v>
      </c>
      <c r="AH89" s="5">
        <f t="shared" si="41"/>
        <v>2.24</v>
      </c>
      <c r="AI89">
        <v>3.85</v>
      </c>
      <c r="AJ89" s="3">
        <f t="shared" si="42"/>
        <v>0.581818181818182</v>
      </c>
      <c r="AL89" s="4">
        <v>6.90516845263158</v>
      </c>
      <c r="AM89">
        <v>6.1</v>
      </c>
      <c r="AN89" s="5">
        <f t="shared" si="43"/>
        <v>0.80516845263158</v>
      </c>
      <c r="AO89">
        <v>1.89</v>
      </c>
      <c r="AP89" s="3">
        <f t="shared" si="44"/>
        <v>0.426015054302423</v>
      </c>
      <c r="AR89" s="4">
        <v>1.095</v>
      </c>
      <c r="AS89">
        <v>0.02</v>
      </c>
      <c r="AT89" s="5">
        <f t="shared" si="45"/>
        <v>1.075</v>
      </c>
      <c r="AU89">
        <v>2.84</v>
      </c>
      <c r="AV89" s="3">
        <f t="shared" si="46"/>
        <v>0.378521126760563</v>
      </c>
      <c r="AX89" s="4">
        <v>4.39660000416667</v>
      </c>
      <c r="AY89">
        <v>3.44</v>
      </c>
      <c r="AZ89" s="5">
        <f t="shared" si="47"/>
        <v>0.95660000416667</v>
      </c>
      <c r="BA89">
        <v>29.17</v>
      </c>
      <c r="BB89" s="3">
        <f t="shared" si="48"/>
        <v>0.0327939665466805</v>
      </c>
      <c r="BD89" s="4">
        <v>0.603416666666667</v>
      </c>
      <c r="BE89">
        <v>0.17</v>
      </c>
      <c r="BF89" s="5">
        <f t="shared" si="49"/>
        <v>0.433416666666667</v>
      </c>
      <c r="BG89">
        <v>4</v>
      </c>
      <c r="BH89" s="3">
        <f t="shared" si="50"/>
        <v>0.108354166666667</v>
      </c>
      <c r="BJ89" s="4">
        <v>11.3645000041666</v>
      </c>
      <c r="BK89">
        <v>4.8</v>
      </c>
      <c r="BL89" s="5">
        <f t="shared" si="51"/>
        <v>6.5645000041666</v>
      </c>
      <c r="BM89">
        <v>8.9</v>
      </c>
      <c r="BN89" s="3">
        <f t="shared" si="52"/>
        <v>0.737584270131079</v>
      </c>
      <c r="BP89" s="4">
        <v>0.144258333333333</v>
      </c>
      <c r="BQ89">
        <v>0.09</v>
      </c>
      <c r="BR89" s="5">
        <f t="shared" si="53"/>
        <v>0.054258333333333</v>
      </c>
      <c r="BS89">
        <v>0.43</v>
      </c>
      <c r="BT89" s="3">
        <f t="shared" si="54"/>
        <v>0.126182170542635</v>
      </c>
      <c r="BV89" s="4">
        <v>6.24184165833333</v>
      </c>
      <c r="BW89">
        <v>6.18</v>
      </c>
      <c r="BX89" s="5">
        <f t="shared" si="55"/>
        <v>0.0618416583333303</v>
      </c>
      <c r="BY89">
        <v>1.68</v>
      </c>
      <c r="BZ89" s="3">
        <f t="shared" si="56"/>
        <v>0.0368105109126966</v>
      </c>
      <c r="CB89" s="10">
        <v>123</v>
      </c>
      <c r="CC89">
        <v>54.3</v>
      </c>
      <c r="CD89" s="12">
        <f t="shared" si="57"/>
        <v>68.7</v>
      </c>
      <c r="CE89">
        <v>71.3</v>
      </c>
      <c r="CF89" s="3">
        <f t="shared" si="58"/>
        <v>0.963534361851332</v>
      </c>
      <c r="CH89" s="13">
        <v>31.7</v>
      </c>
      <c r="CI89">
        <v>22.6</v>
      </c>
      <c r="CJ89">
        <f t="shared" si="59"/>
        <v>9.1</v>
      </c>
      <c r="CK89">
        <v>25.1</v>
      </c>
      <c r="CL89">
        <f t="shared" si="60"/>
        <v>0.362549800796813</v>
      </c>
      <c r="CN89" s="10">
        <v>3</v>
      </c>
      <c r="CO89">
        <v>3</v>
      </c>
      <c r="CP89" s="12">
        <f t="shared" si="61"/>
        <v>0</v>
      </c>
      <c r="CQ89">
        <v>3.4</v>
      </c>
      <c r="CR89" s="3">
        <f t="shared" si="62"/>
        <v>0</v>
      </c>
    </row>
    <row r="90" spans="2:96">
      <c r="B90" s="1">
        <v>42578</v>
      </c>
      <c r="C90">
        <v>32416</v>
      </c>
      <c r="D90" s="2">
        <f t="shared" si="63"/>
        <v>10162</v>
      </c>
      <c r="E90">
        <v>31904</v>
      </c>
      <c r="F90" s="3">
        <f t="shared" si="32"/>
        <v>0.318518054162487</v>
      </c>
      <c r="H90" s="1">
        <v>41583.9538536</v>
      </c>
      <c r="I90">
        <v>31145</v>
      </c>
      <c r="J90" s="2">
        <f t="shared" si="33"/>
        <v>10438.9538536</v>
      </c>
      <c r="K90">
        <v>32760</v>
      </c>
      <c r="L90" s="3">
        <f t="shared" si="34"/>
        <v>0.318649385030525</v>
      </c>
      <c r="N90" s="4">
        <v>244.799999233333</v>
      </c>
      <c r="O90">
        <v>201.27</v>
      </c>
      <c r="P90" s="5">
        <f t="shared" si="35"/>
        <v>43.529999233333</v>
      </c>
      <c r="Q90">
        <v>79.69</v>
      </c>
      <c r="R90" s="3">
        <f t="shared" si="36"/>
        <v>0.546241676914707</v>
      </c>
      <c r="T90" s="4">
        <v>233.912500383333</v>
      </c>
      <c r="U90">
        <v>100.23</v>
      </c>
      <c r="V90" s="5">
        <f t="shared" si="37"/>
        <v>133.682500383333</v>
      </c>
      <c r="W90">
        <v>410.93</v>
      </c>
      <c r="X90" s="3">
        <f t="shared" si="38"/>
        <v>0.325316964892641</v>
      </c>
      <c r="Z90" s="4">
        <v>25.2012500166666</v>
      </c>
      <c r="AA90">
        <v>13.25</v>
      </c>
      <c r="AB90" s="5">
        <f t="shared" si="39"/>
        <v>11.9512500166666</v>
      </c>
      <c r="AC90">
        <v>33.93</v>
      </c>
      <c r="AD90" s="3">
        <f t="shared" si="40"/>
        <v>0.352232538068571</v>
      </c>
      <c r="AF90" s="4">
        <v>4.57</v>
      </c>
      <c r="AG90">
        <v>2.09</v>
      </c>
      <c r="AH90" s="5">
        <f t="shared" si="41"/>
        <v>2.48</v>
      </c>
      <c r="AI90">
        <v>3.85</v>
      </c>
      <c r="AJ90" s="3">
        <f t="shared" si="42"/>
        <v>0.644155844155844</v>
      </c>
      <c r="AL90" s="4">
        <v>6.89556002</v>
      </c>
      <c r="AM90">
        <v>6.1</v>
      </c>
      <c r="AN90" s="5">
        <f t="shared" si="43"/>
        <v>0.79556002</v>
      </c>
      <c r="AO90">
        <v>1.89</v>
      </c>
      <c r="AP90" s="3">
        <f t="shared" si="44"/>
        <v>0.420931227513227</v>
      </c>
      <c r="AR90" s="4">
        <v>1.09270833333333</v>
      </c>
      <c r="AS90">
        <v>0.02</v>
      </c>
      <c r="AT90" s="5">
        <f t="shared" si="45"/>
        <v>1.07270833333333</v>
      </c>
      <c r="AU90">
        <v>2.84</v>
      </c>
      <c r="AV90" s="3">
        <f t="shared" si="46"/>
        <v>0.377714201877933</v>
      </c>
      <c r="AX90" s="4">
        <v>6.24433331666667</v>
      </c>
      <c r="AY90">
        <v>3.44</v>
      </c>
      <c r="AZ90" s="5">
        <f t="shared" si="47"/>
        <v>2.80433331666667</v>
      </c>
      <c r="BA90">
        <v>29.17</v>
      </c>
      <c r="BB90" s="3">
        <f t="shared" si="48"/>
        <v>0.0961375837047196</v>
      </c>
      <c r="BD90" s="4">
        <v>0.610833333333333</v>
      </c>
      <c r="BE90">
        <v>0.17</v>
      </c>
      <c r="BF90" s="5">
        <f t="shared" si="49"/>
        <v>0.440833333333333</v>
      </c>
      <c r="BG90">
        <v>4</v>
      </c>
      <c r="BH90" s="3">
        <f t="shared" si="50"/>
        <v>0.110208333333333</v>
      </c>
      <c r="BJ90" s="4">
        <v>11.2650833291666</v>
      </c>
      <c r="BK90">
        <v>4.8</v>
      </c>
      <c r="BL90" s="5">
        <f t="shared" si="51"/>
        <v>6.4650833291666</v>
      </c>
      <c r="BM90">
        <v>8.9</v>
      </c>
      <c r="BN90" s="3">
        <f t="shared" si="52"/>
        <v>0.72641385720973</v>
      </c>
      <c r="BP90" s="4">
        <v>0.151508333333333</v>
      </c>
      <c r="BQ90">
        <v>0.09</v>
      </c>
      <c r="BR90" s="5">
        <f t="shared" si="53"/>
        <v>0.061508333333333</v>
      </c>
      <c r="BS90">
        <v>0.43</v>
      </c>
      <c r="BT90" s="3">
        <f t="shared" si="54"/>
        <v>0.143042635658914</v>
      </c>
      <c r="BV90" s="4">
        <v>6.3649834</v>
      </c>
      <c r="BW90">
        <v>6.18</v>
      </c>
      <c r="BX90" s="5">
        <f t="shared" si="55"/>
        <v>0.1849834</v>
      </c>
      <c r="BY90">
        <v>1.68</v>
      </c>
      <c r="BZ90" s="3">
        <f t="shared" si="56"/>
        <v>0.110109166666667</v>
      </c>
      <c r="CB90" s="11">
        <v>123.1</v>
      </c>
      <c r="CC90">
        <v>54.3</v>
      </c>
      <c r="CD90" s="12">
        <f t="shared" si="57"/>
        <v>68.8</v>
      </c>
      <c r="CE90">
        <v>71.3</v>
      </c>
      <c r="CF90" s="3">
        <f t="shared" si="58"/>
        <v>0.964936886395512</v>
      </c>
      <c r="CH90" s="13">
        <v>28.9</v>
      </c>
      <c r="CI90">
        <v>22.6</v>
      </c>
      <c r="CJ90">
        <f t="shared" si="59"/>
        <v>6.3</v>
      </c>
      <c r="CK90">
        <v>25.1</v>
      </c>
      <c r="CL90">
        <f t="shared" si="60"/>
        <v>0.250996015936255</v>
      </c>
      <c r="CN90" s="13">
        <v>3.7</v>
      </c>
      <c r="CO90">
        <v>3</v>
      </c>
      <c r="CP90" s="12">
        <f t="shared" si="61"/>
        <v>0.7</v>
      </c>
      <c r="CQ90">
        <v>3.4</v>
      </c>
      <c r="CR90" s="3">
        <f t="shared" si="62"/>
        <v>0.205882352941177</v>
      </c>
    </row>
    <row r="91" spans="2:96">
      <c r="B91" s="1">
        <v>42657</v>
      </c>
      <c r="C91">
        <v>32416</v>
      </c>
      <c r="D91" s="2">
        <f t="shared" si="63"/>
        <v>10241</v>
      </c>
      <c r="E91">
        <v>31904</v>
      </c>
      <c r="F91" s="3">
        <f t="shared" si="32"/>
        <v>0.320994232698094</v>
      </c>
      <c r="H91" s="1">
        <v>41815.1649782</v>
      </c>
      <c r="I91">
        <v>31145</v>
      </c>
      <c r="J91" s="2">
        <f t="shared" si="33"/>
        <v>10670.1649782</v>
      </c>
      <c r="K91">
        <v>32760</v>
      </c>
      <c r="L91" s="3">
        <f t="shared" si="34"/>
        <v>0.325707111666667</v>
      </c>
      <c r="N91" s="4">
        <v>252.356669104167</v>
      </c>
      <c r="O91">
        <v>201.27</v>
      </c>
      <c r="P91" s="5">
        <f t="shared" si="35"/>
        <v>51.086669104167</v>
      </c>
      <c r="Q91">
        <v>79.69</v>
      </c>
      <c r="R91" s="3">
        <f t="shared" si="36"/>
        <v>0.641067500366006</v>
      </c>
      <c r="T91" s="4">
        <v>212.183333075</v>
      </c>
      <c r="U91">
        <v>100.23</v>
      </c>
      <c r="V91" s="5">
        <f t="shared" si="37"/>
        <v>111.953333075</v>
      </c>
      <c r="W91">
        <v>410.93</v>
      </c>
      <c r="X91" s="3">
        <f t="shared" si="38"/>
        <v>0.272438938687854</v>
      </c>
      <c r="Z91" s="4">
        <v>24.820625</v>
      </c>
      <c r="AA91">
        <v>13.25</v>
      </c>
      <c r="AB91" s="5">
        <f t="shared" si="39"/>
        <v>11.570625</v>
      </c>
      <c r="AC91">
        <v>33.93</v>
      </c>
      <c r="AD91" s="3">
        <f t="shared" si="40"/>
        <v>0.341014588859416</v>
      </c>
      <c r="AF91" s="4">
        <v>4.16</v>
      </c>
      <c r="AG91">
        <v>2.09</v>
      </c>
      <c r="AH91" s="5">
        <f t="shared" si="41"/>
        <v>2.07</v>
      </c>
      <c r="AI91">
        <v>3.85</v>
      </c>
      <c r="AJ91" s="3">
        <f t="shared" si="42"/>
        <v>0.537662337662338</v>
      </c>
      <c r="AL91" s="4">
        <v>6.90199995</v>
      </c>
      <c r="AM91">
        <v>6.1</v>
      </c>
      <c r="AN91" s="5">
        <f t="shared" si="43"/>
        <v>0.801999950000001</v>
      </c>
      <c r="AO91">
        <v>1.89</v>
      </c>
      <c r="AP91" s="3">
        <f t="shared" si="44"/>
        <v>0.424338597883598</v>
      </c>
      <c r="AR91" s="4">
        <v>0.88625</v>
      </c>
      <c r="AS91">
        <v>0.02</v>
      </c>
      <c r="AT91" s="5">
        <f t="shared" si="45"/>
        <v>0.86625</v>
      </c>
      <c r="AU91">
        <v>2.84</v>
      </c>
      <c r="AV91" s="3">
        <f t="shared" si="46"/>
        <v>0.305017605633803</v>
      </c>
      <c r="AX91" s="4">
        <v>7.22539998333333</v>
      </c>
      <c r="AY91">
        <v>3.44</v>
      </c>
      <c r="AZ91" s="5">
        <f t="shared" si="47"/>
        <v>3.78539998333333</v>
      </c>
      <c r="BA91">
        <v>29.17</v>
      </c>
      <c r="BB91" s="3">
        <f t="shared" si="48"/>
        <v>0.129770311392984</v>
      </c>
      <c r="BD91" s="4">
        <v>0.755916675</v>
      </c>
      <c r="BE91">
        <v>0.17</v>
      </c>
      <c r="BF91" s="5">
        <f t="shared" si="49"/>
        <v>0.585916675</v>
      </c>
      <c r="BG91">
        <v>4</v>
      </c>
      <c r="BH91" s="3">
        <f t="shared" si="50"/>
        <v>0.14647916875</v>
      </c>
      <c r="BJ91" s="4">
        <v>9.79108335833333</v>
      </c>
      <c r="BK91">
        <v>4.8</v>
      </c>
      <c r="BL91" s="5">
        <f t="shared" si="51"/>
        <v>4.99108335833333</v>
      </c>
      <c r="BM91">
        <v>8.9</v>
      </c>
      <c r="BN91" s="3">
        <f t="shared" si="52"/>
        <v>0.560795882958801</v>
      </c>
      <c r="BP91" s="4">
        <v>0.248841666666666</v>
      </c>
      <c r="BQ91">
        <v>0.09</v>
      </c>
      <c r="BR91" s="5">
        <f t="shared" si="53"/>
        <v>0.158841666666666</v>
      </c>
      <c r="BS91">
        <v>0.43</v>
      </c>
      <c r="BT91" s="3">
        <f t="shared" si="54"/>
        <v>0.3693992248062</v>
      </c>
      <c r="BV91" s="4">
        <v>6.40103330833333</v>
      </c>
      <c r="BW91">
        <v>6.18</v>
      </c>
      <c r="BX91" s="5">
        <f t="shared" si="55"/>
        <v>0.221033308333331</v>
      </c>
      <c r="BY91">
        <v>1.68</v>
      </c>
      <c r="BZ91" s="3">
        <f t="shared" si="56"/>
        <v>0.131567445436506</v>
      </c>
      <c r="CB91" s="11">
        <v>124.8</v>
      </c>
      <c r="CC91">
        <v>54.3</v>
      </c>
      <c r="CD91" s="12">
        <f t="shared" si="57"/>
        <v>70.5</v>
      </c>
      <c r="CE91">
        <v>71.3</v>
      </c>
      <c r="CF91" s="3">
        <f t="shared" si="58"/>
        <v>0.988779803646564</v>
      </c>
      <c r="CH91" s="13">
        <v>30.4</v>
      </c>
      <c r="CI91">
        <v>22.6</v>
      </c>
      <c r="CJ91">
        <f t="shared" si="59"/>
        <v>7.8</v>
      </c>
      <c r="CK91">
        <v>25.1</v>
      </c>
      <c r="CL91">
        <f t="shared" si="60"/>
        <v>0.310756972111554</v>
      </c>
      <c r="CN91" s="13">
        <v>4.2</v>
      </c>
      <c r="CO91">
        <v>3</v>
      </c>
      <c r="CP91" s="12">
        <f t="shared" si="61"/>
        <v>1.2</v>
      </c>
      <c r="CQ91">
        <v>3.4</v>
      </c>
      <c r="CR91" s="3">
        <f t="shared" si="62"/>
        <v>0.352941176470588</v>
      </c>
    </row>
    <row r="92" spans="2:96">
      <c r="B92" s="1">
        <v>47154</v>
      </c>
      <c r="C92">
        <v>32416</v>
      </c>
      <c r="D92" s="2">
        <f t="shared" si="63"/>
        <v>14738</v>
      </c>
      <c r="E92">
        <v>31904</v>
      </c>
      <c r="F92" s="3">
        <f t="shared" si="32"/>
        <v>0.461948345035105</v>
      </c>
      <c r="H92" s="1">
        <v>46798.1867983</v>
      </c>
      <c r="I92">
        <v>31145</v>
      </c>
      <c r="J92" s="2">
        <f t="shared" si="33"/>
        <v>15653.1867983</v>
      </c>
      <c r="K92">
        <v>32760</v>
      </c>
      <c r="L92" s="3">
        <f t="shared" si="34"/>
        <v>0.477814004832112</v>
      </c>
      <c r="N92" s="4">
        <v>264.68333435</v>
      </c>
      <c r="O92">
        <v>201.27</v>
      </c>
      <c r="P92" s="5">
        <f t="shared" si="35"/>
        <v>63.41333435</v>
      </c>
      <c r="Q92">
        <v>79.69</v>
      </c>
      <c r="R92" s="3">
        <f t="shared" si="36"/>
        <v>0.795750211444347</v>
      </c>
      <c r="T92" s="4">
        <v>235.087498358333</v>
      </c>
      <c r="U92">
        <v>100.23</v>
      </c>
      <c r="V92" s="5">
        <f t="shared" si="37"/>
        <v>134.857498358333</v>
      </c>
      <c r="W92">
        <v>410.93</v>
      </c>
      <c r="X92" s="3">
        <f t="shared" si="38"/>
        <v>0.328176327740328</v>
      </c>
      <c r="Z92" s="4">
        <v>23.49</v>
      </c>
      <c r="AA92">
        <v>13.25</v>
      </c>
      <c r="AB92" s="5">
        <f t="shared" si="39"/>
        <v>10.24</v>
      </c>
      <c r="AC92">
        <v>33.93</v>
      </c>
      <c r="AD92" s="3">
        <f t="shared" si="40"/>
        <v>0.301797819039198</v>
      </c>
      <c r="AF92" s="4">
        <v>3.86</v>
      </c>
      <c r="AG92">
        <v>2.09</v>
      </c>
      <c r="AH92" s="5">
        <f t="shared" si="41"/>
        <v>1.77</v>
      </c>
      <c r="AI92">
        <v>3.85</v>
      </c>
      <c r="AJ92" s="3">
        <f t="shared" si="42"/>
        <v>0.45974025974026</v>
      </c>
      <c r="AL92" s="4">
        <v>6.81173333809524</v>
      </c>
      <c r="AM92">
        <v>6.1</v>
      </c>
      <c r="AN92" s="5">
        <f t="shared" si="43"/>
        <v>0.71173333809524</v>
      </c>
      <c r="AO92">
        <v>1.89</v>
      </c>
      <c r="AP92" s="3">
        <f t="shared" si="44"/>
        <v>0.376578485764678</v>
      </c>
      <c r="AR92" s="4">
        <v>0.0904166666666667</v>
      </c>
      <c r="AS92">
        <v>0.02</v>
      </c>
      <c r="AT92" s="5">
        <f t="shared" si="45"/>
        <v>0.0704166666666667</v>
      </c>
      <c r="AU92">
        <v>2.84</v>
      </c>
      <c r="AV92" s="3">
        <f t="shared" si="46"/>
        <v>0.0247946009389671</v>
      </c>
      <c r="AX92" s="4">
        <v>8.96133338333333</v>
      </c>
      <c r="AY92">
        <v>3.44</v>
      </c>
      <c r="AZ92" s="5">
        <f t="shared" si="47"/>
        <v>5.52133338333333</v>
      </c>
      <c r="BA92">
        <v>29.17</v>
      </c>
      <c r="BB92" s="3">
        <f t="shared" si="48"/>
        <v>0.189281226716946</v>
      </c>
      <c r="BD92" s="4">
        <v>1.51266666666667</v>
      </c>
      <c r="BE92">
        <v>0.17</v>
      </c>
      <c r="BF92" s="5">
        <f t="shared" si="49"/>
        <v>1.34266666666667</v>
      </c>
      <c r="BG92">
        <v>4</v>
      </c>
      <c r="BH92" s="3">
        <f t="shared" si="50"/>
        <v>0.335666666666668</v>
      </c>
      <c r="BJ92" s="9">
        <v>7.31308334583333</v>
      </c>
      <c r="BK92">
        <v>4.8</v>
      </c>
      <c r="BL92" s="5">
        <f t="shared" si="51"/>
        <v>2.51308334583333</v>
      </c>
      <c r="BM92">
        <v>8.9</v>
      </c>
      <c r="BN92" s="3">
        <f t="shared" si="52"/>
        <v>0.282368915262172</v>
      </c>
      <c r="BP92" s="9">
        <v>0.148241666666667</v>
      </c>
      <c r="BQ92">
        <v>0.09</v>
      </c>
      <c r="BR92" s="5">
        <f t="shared" si="53"/>
        <v>0.058241666666667</v>
      </c>
      <c r="BS92">
        <v>0.43</v>
      </c>
      <c r="BT92" s="3">
        <f t="shared" si="54"/>
        <v>0.135445736434109</v>
      </c>
      <c r="BV92" s="4">
        <v>6.46980834166667</v>
      </c>
      <c r="BW92">
        <v>6.18</v>
      </c>
      <c r="BX92" s="5">
        <f t="shared" si="55"/>
        <v>0.28980834166667</v>
      </c>
      <c r="BY92">
        <v>1.68</v>
      </c>
      <c r="BZ92" s="3">
        <f t="shared" si="56"/>
        <v>0.17250496527778</v>
      </c>
      <c r="CB92" s="10">
        <v>125.1</v>
      </c>
      <c r="CC92">
        <v>54.3</v>
      </c>
      <c r="CD92" s="12">
        <f t="shared" si="57"/>
        <v>70.8</v>
      </c>
      <c r="CE92">
        <v>71.3</v>
      </c>
      <c r="CF92" s="3">
        <f t="shared" si="58"/>
        <v>0.992987377279102</v>
      </c>
      <c r="CH92" s="13">
        <v>32.8</v>
      </c>
      <c r="CI92">
        <v>22.6</v>
      </c>
      <c r="CJ92">
        <f t="shared" si="59"/>
        <v>10.2</v>
      </c>
      <c r="CK92">
        <v>25.1</v>
      </c>
      <c r="CL92">
        <f t="shared" si="60"/>
        <v>0.406374501992032</v>
      </c>
      <c r="CN92" s="11">
        <v>4.8</v>
      </c>
      <c r="CO92">
        <v>3</v>
      </c>
      <c r="CP92" s="12">
        <f t="shared" si="61"/>
        <v>1.8</v>
      </c>
      <c r="CQ92">
        <v>3.4</v>
      </c>
      <c r="CR92" s="3">
        <f t="shared" si="62"/>
        <v>0.529411764705882</v>
      </c>
    </row>
    <row r="93" spans="2:96">
      <c r="B93" s="1">
        <v>47021</v>
      </c>
      <c r="C93">
        <v>32416</v>
      </c>
      <c r="D93" s="2">
        <f t="shared" si="63"/>
        <v>14605</v>
      </c>
      <c r="E93">
        <v>31904</v>
      </c>
      <c r="F93" s="3">
        <f t="shared" si="32"/>
        <v>0.457779588766299</v>
      </c>
      <c r="H93" s="1">
        <v>46666.115723</v>
      </c>
      <c r="I93">
        <v>31145</v>
      </c>
      <c r="J93" s="2">
        <f t="shared" si="33"/>
        <v>15521.115723</v>
      </c>
      <c r="K93">
        <v>32760</v>
      </c>
      <c r="L93" s="3">
        <f t="shared" si="34"/>
        <v>0.473782531227106</v>
      </c>
      <c r="N93" s="4">
        <v>251.096665695833</v>
      </c>
      <c r="O93">
        <v>201.27</v>
      </c>
      <c r="P93" s="5">
        <f t="shared" si="35"/>
        <v>49.826665695833</v>
      </c>
      <c r="Q93">
        <v>79.69</v>
      </c>
      <c r="R93" s="3">
        <f t="shared" si="36"/>
        <v>0.625256188930016</v>
      </c>
      <c r="T93" s="4">
        <v>223.408330920833</v>
      </c>
      <c r="U93">
        <v>100.23</v>
      </c>
      <c r="V93" s="5">
        <f t="shared" si="37"/>
        <v>123.178330920833</v>
      </c>
      <c r="W93">
        <v>410.93</v>
      </c>
      <c r="X93" s="3">
        <f t="shared" si="38"/>
        <v>0.299755021343862</v>
      </c>
      <c r="Z93" s="4">
        <v>22.8292858</v>
      </c>
      <c r="AA93">
        <v>13.25</v>
      </c>
      <c r="AB93" s="5">
        <f t="shared" si="39"/>
        <v>9.5792858</v>
      </c>
      <c r="AC93">
        <v>33.93</v>
      </c>
      <c r="AD93" s="3">
        <f t="shared" si="40"/>
        <v>0.282324957264957</v>
      </c>
      <c r="AF93" s="4">
        <v>3.95</v>
      </c>
      <c r="AG93">
        <v>2.09</v>
      </c>
      <c r="AH93" s="5">
        <f t="shared" si="41"/>
        <v>1.86</v>
      </c>
      <c r="AI93">
        <v>3.85</v>
      </c>
      <c r="AJ93" s="3">
        <f t="shared" si="42"/>
        <v>0.483116883116883</v>
      </c>
      <c r="AL93" s="4">
        <v>6.85486659047619</v>
      </c>
      <c r="AM93">
        <v>6.1</v>
      </c>
      <c r="AN93" s="5">
        <f t="shared" si="43"/>
        <v>0.75486659047619</v>
      </c>
      <c r="AO93">
        <v>1.89</v>
      </c>
      <c r="AP93" s="3">
        <f t="shared" si="44"/>
        <v>0.399400312421265</v>
      </c>
      <c r="AR93" s="4">
        <v>0.086875</v>
      </c>
      <c r="AS93">
        <v>0.02</v>
      </c>
      <c r="AT93" s="5">
        <f t="shared" si="45"/>
        <v>0.066875</v>
      </c>
      <c r="AU93">
        <v>2.84</v>
      </c>
      <c r="AV93" s="3">
        <f t="shared" si="46"/>
        <v>0.0235475352112676</v>
      </c>
      <c r="AX93" s="4">
        <v>8.71953330416667</v>
      </c>
      <c r="AY93">
        <v>3.44</v>
      </c>
      <c r="AZ93" s="5">
        <f t="shared" si="47"/>
        <v>5.27953330416667</v>
      </c>
      <c r="BA93">
        <v>29.17</v>
      </c>
      <c r="BB93" s="3">
        <f t="shared" si="48"/>
        <v>0.180991885641641</v>
      </c>
      <c r="BD93" s="4">
        <v>2.04008332083333</v>
      </c>
      <c r="BE93">
        <v>0.17</v>
      </c>
      <c r="BF93" s="5">
        <f t="shared" si="49"/>
        <v>1.87008332083333</v>
      </c>
      <c r="BG93">
        <v>4</v>
      </c>
      <c r="BH93" s="3">
        <f t="shared" si="50"/>
        <v>0.467520830208333</v>
      </c>
      <c r="BJ93" s="9">
        <v>9.25958334166667</v>
      </c>
      <c r="BK93">
        <v>4.8</v>
      </c>
      <c r="BL93" s="5">
        <f t="shared" si="51"/>
        <v>4.45958334166667</v>
      </c>
      <c r="BM93">
        <v>8.9</v>
      </c>
      <c r="BN93" s="3">
        <f t="shared" si="52"/>
        <v>0.501076779962547</v>
      </c>
      <c r="BP93" s="9">
        <v>0.250683333333333</v>
      </c>
      <c r="BQ93">
        <v>0.09</v>
      </c>
      <c r="BR93" s="5">
        <f t="shared" si="53"/>
        <v>0.160683333333333</v>
      </c>
      <c r="BS93">
        <v>0.43</v>
      </c>
      <c r="BT93" s="3">
        <f t="shared" si="54"/>
        <v>0.373682170542635</v>
      </c>
      <c r="BV93" s="4">
        <v>6.43609164583333</v>
      </c>
      <c r="BW93">
        <v>6.18</v>
      </c>
      <c r="BX93" s="5">
        <f t="shared" si="55"/>
        <v>0.25609164583333</v>
      </c>
      <c r="BY93">
        <v>1.68</v>
      </c>
      <c r="BZ93" s="3">
        <f t="shared" si="56"/>
        <v>0.152435503472221</v>
      </c>
      <c r="CB93" s="10">
        <v>124.7</v>
      </c>
      <c r="CC93">
        <v>54.3</v>
      </c>
      <c r="CD93" s="12">
        <f t="shared" si="57"/>
        <v>70.4</v>
      </c>
      <c r="CE93">
        <v>71.3</v>
      </c>
      <c r="CF93" s="3">
        <f t="shared" si="58"/>
        <v>0.987377279102384</v>
      </c>
      <c r="CH93" s="13">
        <v>29.4</v>
      </c>
      <c r="CI93">
        <v>22.6</v>
      </c>
      <c r="CJ93">
        <f t="shared" si="59"/>
        <v>6.8</v>
      </c>
      <c r="CK93">
        <v>25.1</v>
      </c>
      <c r="CL93">
        <f t="shared" si="60"/>
        <v>0.270916334661354</v>
      </c>
      <c r="CN93" s="10">
        <v>3.6</v>
      </c>
      <c r="CO93">
        <v>3</v>
      </c>
      <c r="CP93" s="12">
        <f t="shared" si="61"/>
        <v>0.6</v>
      </c>
      <c r="CQ93">
        <v>3.4</v>
      </c>
      <c r="CR93" s="3">
        <f t="shared" si="62"/>
        <v>0.176470588235294</v>
      </c>
    </row>
    <row r="94" spans="2:96">
      <c r="B94" s="1">
        <v>46981</v>
      </c>
      <c r="C94">
        <v>32416</v>
      </c>
      <c r="D94" s="2">
        <f t="shared" si="63"/>
        <v>14565</v>
      </c>
      <c r="E94">
        <v>31904</v>
      </c>
      <c r="F94" s="3">
        <f t="shared" si="32"/>
        <v>0.456525827482447</v>
      </c>
      <c r="H94" s="1">
        <v>46743.277539</v>
      </c>
      <c r="I94">
        <v>31145</v>
      </c>
      <c r="J94" s="2">
        <f t="shared" si="33"/>
        <v>15598.277539</v>
      </c>
      <c r="K94">
        <v>32760</v>
      </c>
      <c r="L94" s="3">
        <f t="shared" si="34"/>
        <v>0.476137898015873</v>
      </c>
      <c r="N94" s="4">
        <v>252.490002304167</v>
      </c>
      <c r="O94">
        <v>201.27</v>
      </c>
      <c r="P94" s="5">
        <f t="shared" si="35"/>
        <v>51.220002304167</v>
      </c>
      <c r="Q94">
        <v>79.69</v>
      </c>
      <c r="R94" s="3">
        <f t="shared" si="36"/>
        <v>0.64274064881625</v>
      </c>
      <c r="T94" s="4">
        <v>361.791670795833</v>
      </c>
      <c r="U94">
        <v>100.23</v>
      </c>
      <c r="V94" s="5">
        <f t="shared" si="37"/>
        <v>261.561670795833</v>
      </c>
      <c r="W94">
        <v>410.93</v>
      </c>
      <c r="X94" s="3">
        <f t="shared" si="38"/>
        <v>0.636511500245378</v>
      </c>
      <c r="Z94" s="4">
        <v>22.58</v>
      </c>
      <c r="AA94">
        <v>13.25</v>
      </c>
      <c r="AB94" s="5">
        <f t="shared" si="39"/>
        <v>9.33</v>
      </c>
      <c r="AC94">
        <v>33.93</v>
      </c>
      <c r="AD94" s="3">
        <f t="shared" si="40"/>
        <v>0.274977895667551</v>
      </c>
      <c r="AF94" s="4">
        <v>3.73</v>
      </c>
      <c r="AG94">
        <v>2.09</v>
      </c>
      <c r="AH94" s="5">
        <f t="shared" si="41"/>
        <v>1.64</v>
      </c>
      <c r="AI94">
        <v>3.85</v>
      </c>
      <c r="AJ94" s="3">
        <f t="shared" si="42"/>
        <v>0.425974025974026</v>
      </c>
      <c r="AL94" s="4">
        <v>6.83680002857143</v>
      </c>
      <c r="AM94">
        <v>6.1</v>
      </c>
      <c r="AN94" s="5">
        <f t="shared" si="43"/>
        <v>0.73680002857143</v>
      </c>
      <c r="AO94">
        <v>1.89</v>
      </c>
      <c r="AP94" s="3">
        <f t="shared" si="44"/>
        <v>0.389841284958429</v>
      </c>
      <c r="AR94" s="4">
        <v>0.0835416666666667</v>
      </c>
      <c r="AS94">
        <v>0.02</v>
      </c>
      <c r="AT94" s="5">
        <f t="shared" si="45"/>
        <v>0.0635416666666667</v>
      </c>
      <c r="AU94">
        <v>2.84</v>
      </c>
      <c r="AV94" s="3">
        <f t="shared" si="46"/>
        <v>0.0223738262910798</v>
      </c>
      <c r="AX94" s="4">
        <v>8.0903334125</v>
      </c>
      <c r="AY94">
        <v>3.44</v>
      </c>
      <c r="AZ94" s="5">
        <f t="shared" si="47"/>
        <v>4.6503334125</v>
      </c>
      <c r="BA94">
        <v>29.17</v>
      </c>
      <c r="BB94" s="3">
        <f t="shared" si="48"/>
        <v>0.159421783081933</v>
      </c>
      <c r="BD94" s="4">
        <v>0.765000004166667</v>
      </c>
      <c r="BE94">
        <v>0.17</v>
      </c>
      <c r="BF94" s="5">
        <f t="shared" si="49"/>
        <v>0.595000004166667</v>
      </c>
      <c r="BG94">
        <v>4</v>
      </c>
      <c r="BH94" s="3">
        <f t="shared" si="50"/>
        <v>0.148750001041667</v>
      </c>
      <c r="BJ94" s="9">
        <v>8.28941667083333</v>
      </c>
      <c r="BK94">
        <v>4.8</v>
      </c>
      <c r="BL94" s="5">
        <f t="shared" si="51"/>
        <v>3.48941667083333</v>
      </c>
      <c r="BM94">
        <v>8.9</v>
      </c>
      <c r="BN94" s="3">
        <f t="shared" si="52"/>
        <v>0.392069288857677</v>
      </c>
      <c r="BP94" s="9">
        <v>0.245458333333333</v>
      </c>
      <c r="BQ94">
        <v>0.09</v>
      </c>
      <c r="BR94" s="5">
        <f t="shared" si="53"/>
        <v>0.155458333333333</v>
      </c>
      <c r="BS94">
        <v>0.43</v>
      </c>
      <c r="BT94" s="3">
        <f t="shared" si="54"/>
        <v>0.361531007751937</v>
      </c>
      <c r="BV94" s="4">
        <v>6.3229249625</v>
      </c>
      <c r="BW94">
        <v>6.18</v>
      </c>
      <c r="BX94" s="5">
        <f t="shared" si="55"/>
        <v>0.1429249625</v>
      </c>
      <c r="BY94">
        <v>1.68</v>
      </c>
      <c r="BZ94" s="3">
        <f t="shared" si="56"/>
        <v>0.0850743824404764</v>
      </c>
      <c r="CB94" s="10">
        <v>124.1</v>
      </c>
      <c r="CC94">
        <v>54.3</v>
      </c>
      <c r="CD94" s="12">
        <f t="shared" si="57"/>
        <v>69.8</v>
      </c>
      <c r="CE94">
        <v>71.3</v>
      </c>
      <c r="CF94" s="3">
        <f t="shared" si="58"/>
        <v>0.978962131837307</v>
      </c>
      <c r="CH94" s="13">
        <v>33.8</v>
      </c>
      <c r="CI94">
        <v>22.6</v>
      </c>
      <c r="CJ94">
        <f t="shared" si="59"/>
        <v>11.2</v>
      </c>
      <c r="CK94">
        <v>25.1</v>
      </c>
      <c r="CL94">
        <f t="shared" si="60"/>
        <v>0.446215139442231</v>
      </c>
      <c r="CN94" s="10">
        <v>4.2</v>
      </c>
      <c r="CO94">
        <v>3</v>
      </c>
      <c r="CP94" s="12">
        <f t="shared" si="61"/>
        <v>1.2</v>
      </c>
      <c r="CQ94">
        <v>3.4</v>
      </c>
      <c r="CR94" s="3">
        <f t="shared" si="62"/>
        <v>0.352941176470588</v>
      </c>
    </row>
    <row r="95" spans="2:96">
      <c r="B95" s="1">
        <v>46897</v>
      </c>
      <c r="C95">
        <v>32416</v>
      </c>
      <c r="D95" s="2">
        <f t="shared" si="63"/>
        <v>14481</v>
      </c>
      <c r="E95">
        <v>31904</v>
      </c>
      <c r="F95" s="3">
        <f t="shared" si="32"/>
        <v>0.453892928786359</v>
      </c>
      <c r="H95" s="1">
        <v>46554.1183437</v>
      </c>
      <c r="I95">
        <v>31145</v>
      </c>
      <c r="J95" s="2">
        <f t="shared" si="33"/>
        <v>15409.1183437</v>
      </c>
      <c r="K95">
        <v>32760</v>
      </c>
      <c r="L95" s="3">
        <f t="shared" si="34"/>
        <v>0.47036380780525</v>
      </c>
      <c r="N95" s="4">
        <v>257.029562926087</v>
      </c>
      <c r="O95">
        <v>201.27</v>
      </c>
      <c r="P95" s="5">
        <f t="shared" si="35"/>
        <v>55.759562926087</v>
      </c>
      <c r="Q95">
        <v>79.69</v>
      </c>
      <c r="R95" s="3">
        <f t="shared" si="36"/>
        <v>0.699705896926678</v>
      </c>
      <c r="T95" s="4">
        <v>343.921742321739</v>
      </c>
      <c r="U95">
        <v>100.23</v>
      </c>
      <c r="V95" s="5">
        <f t="shared" si="37"/>
        <v>243.691742321739</v>
      </c>
      <c r="W95">
        <v>410.93</v>
      </c>
      <c r="X95" s="3">
        <f t="shared" si="38"/>
        <v>0.593024949070983</v>
      </c>
      <c r="Z95" s="4">
        <v>23.41</v>
      </c>
      <c r="AA95">
        <v>13.25</v>
      </c>
      <c r="AB95" s="5">
        <f t="shared" si="39"/>
        <v>10.16</v>
      </c>
      <c r="AC95">
        <v>33.93</v>
      </c>
      <c r="AD95" s="3">
        <f t="shared" si="40"/>
        <v>0.299440023577955</v>
      </c>
      <c r="AF95" s="4">
        <v>4.56</v>
      </c>
      <c r="AG95">
        <v>2.09</v>
      </c>
      <c r="AH95" s="5">
        <f t="shared" si="41"/>
        <v>2.47</v>
      </c>
      <c r="AI95">
        <v>3.85</v>
      </c>
      <c r="AJ95" s="3">
        <f t="shared" si="42"/>
        <v>0.641558441558441</v>
      </c>
      <c r="AL95" s="4">
        <v>6.76793336666667</v>
      </c>
      <c r="AM95">
        <v>6.1</v>
      </c>
      <c r="AN95" s="5">
        <f t="shared" si="43"/>
        <v>0.66793336666667</v>
      </c>
      <c r="AO95">
        <v>1.89</v>
      </c>
      <c r="AP95" s="3">
        <f t="shared" si="44"/>
        <v>0.353403897707233</v>
      </c>
      <c r="AR95" s="4">
        <v>0.0780434782608696</v>
      </c>
      <c r="AS95">
        <v>0.02</v>
      </c>
      <c r="AT95" s="5">
        <f t="shared" si="45"/>
        <v>0.0580434782608696</v>
      </c>
      <c r="AU95">
        <v>2.84</v>
      </c>
      <c r="AV95" s="3">
        <f t="shared" si="46"/>
        <v>0.0204378444580527</v>
      </c>
      <c r="AX95" s="4">
        <v>3.72048698695652</v>
      </c>
      <c r="AY95">
        <v>3.44</v>
      </c>
      <c r="AZ95" s="5">
        <f t="shared" si="47"/>
        <v>0.28048698695652</v>
      </c>
      <c r="BA95">
        <v>29.17</v>
      </c>
      <c r="BB95" s="3">
        <f t="shared" si="48"/>
        <v>0.00961559777019266</v>
      </c>
      <c r="BD95" s="4">
        <v>0.53756522173913</v>
      </c>
      <c r="BE95">
        <v>0.17</v>
      </c>
      <c r="BF95" s="5">
        <f t="shared" si="49"/>
        <v>0.36756522173913</v>
      </c>
      <c r="BG95">
        <v>4</v>
      </c>
      <c r="BH95" s="3">
        <f t="shared" si="50"/>
        <v>0.0918913054347825</v>
      </c>
      <c r="BJ95" s="9">
        <v>8.53083329583333</v>
      </c>
      <c r="BK95">
        <v>4.8</v>
      </c>
      <c r="BL95" s="5">
        <f t="shared" si="51"/>
        <v>3.73083329583333</v>
      </c>
      <c r="BM95">
        <v>8.9</v>
      </c>
      <c r="BN95" s="3">
        <f t="shared" si="52"/>
        <v>0.419194752340824</v>
      </c>
      <c r="BP95" s="9">
        <v>0.154521739130434</v>
      </c>
      <c r="BQ95">
        <v>0.09</v>
      </c>
      <c r="BR95" s="5">
        <f t="shared" si="53"/>
        <v>0.064521739130434</v>
      </c>
      <c r="BS95">
        <v>0.43</v>
      </c>
      <c r="BT95" s="3">
        <f t="shared" si="54"/>
        <v>0.150050556117288</v>
      </c>
      <c r="BV95" s="4">
        <v>6.41912173043478</v>
      </c>
      <c r="BW95">
        <v>6.18</v>
      </c>
      <c r="BX95" s="5">
        <f t="shared" si="55"/>
        <v>0.23912173043478</v>
      </c>
      <c r="BY95">
        <v>1.68</v>
      </c>
      <c r="BZ95" s="3">
        <f t="shared" si="56"/>
        <v>0.142334363354036</v>
      </c>
      <c r="CB95" s="10">
        <v>125.3</v>
      </c>
      <c r="CC95">
        <v>54.3</v>
      </c>
      <c r="CD95" s="12">
        <f t="shared" si="57"/>
        <v>71</v>
      </c>
      <c r="CE95">
        <v>71.3</v>
      </c>
      <c r="CF95" s="3">
        <f t="shared" si="58"/>
        <v>0.995792426367461</v>
      </c>
      <c r="CH95" s="13">
        <v>30.5</v>
      </c>
      <c r="CI95">
        <v>22.6</v>
      </c>
      <c r="CJ95">
        <f t="shared" si="59"/>
        <v>7.9</v>
      </c>
      <c r="CK95">
        <v>25.1</v>
      </c>
      <c r="CL95">
        <f t="shared" si="60"/>
        <v>0.314741035856574</v>
      </c>
      <c r="CN95" s="10">
        <v>4.6</v>
      </c>
      <c r="CO95">
        <v>3</v>
      </c>
      <c r="CP95" s="12">
        <f t="shared" si="61"/>
        <v>1.6</v>
      </c>
      <c r="CQ95">
        <v>3.4</v>
      </c>
      <c r="CR95" s="3">
        <f t="shared" si="62"/>
        <v>0.470588235294118</v>
      </c>
    </row>
    <row r="96" spans="2:96">
      <c r="B96" s="1">
        <v>51364</v>
      </c>
      <c r="C96">
        <v>32416</v>
      </c>
      <c r="D96" s="2">
        <f t="shared" si="63"/>
        <v>18948</v>
      </c>
      <c r="E96">
        <v>31904</v>
      </c>
      <c r="F96" s="3">
        <f t="shared" si="32"/>
        <v>0.593906720160481</v>
      </c>
      <c r="H96" s="1">
        <v>50900.5950636</v>
      </c>
      <c r="I96">
        <v>31145</v>
      </c>
      <c r="J96" s="2">
        <f t="shared" si="33"/>
        <v>19755.5950636</v>
      </c>
      <c r="K96">
        <v>32760</v>
      </c>
      <c r="L96" s="3">
        <f t="shared" si="34"/>
        <v>0.603040142356532</v>
      </c>
      <c r="N96" s="4">
        <v>270.050004329167</v>
      </c>
      <c r="O96">
        <v>201.27</v>
      </c>
      <c r="P96" s="5">
        <f t="shared" si="35"/>
        <v>68.780004329167</v>
      </c>
      <c r="Q96">
        <v>79.69</v>
      </c>
      <c r="R96" s="3">
        <f t="shared" si="36"/>
        <v>0.863094545478316</v>
      </c>
      <c r="T96" s="4">
        <v>192.0250009</v>
      </c>
      <c r="U96">
        <v>100.23</v>
      </c>
      <c r="V96" s="5">
        <f t="shared" si="37"/>
        <v>91.7950009</v>
      </c>
      <c r="W96">
        <v>410.93</v>
      </c>
      <c r="X96" s="3">
        <f t="shared" si="38"/>
        <v>0.223383546832794</v>
      </c>
      <c r="Z96" s="4">
        <v>24.62</v>
      </c>
      <c r="AA96">
        <v>13.25</v>
      </c>
      <c r="AB96" s="5">
        <f t="shared" si="39"/>
        <v>11.37</v>
      </c>
      <c r="AC96">
        <v>33.93</v>
      </c>
      <c r="AD96" s="3">
        <f t="shared" si="40"/>
        <v>0.335101679929266</v>
      </c>
      <c r="AF96" s="4">
        <v>4.04</v>
      </c>
      <c r="AG96">
        <v>2.09</v>
      </c>
      <c r="AH96" s="5">
        <f t="shared" si="41"/>
        <v>1.95</v>
      </c>
      <c r="AI96">
        <v>3.85</v>
      </c>
      <c r="AJ96" s="3">
        <f t="shared" si="42"/>
        <v>0.506493506493507</v>
      </c>
      <c r="AL96" s="4">
        <v>6.81873687894737</v>
      </c>
      <c r="AM96">
        <v>6.1</v>
      </c>
      <c r="AN96" s="5">
        <f t="shared" si="43"/>
        <v>0.718736878947371</v>
      </c>
      <c r="AO96">
        <v>1.89</v>
      </c>
      <c r="AP96" s="3">
        <f t="shared" si="44"/>
        <v>0.380284062935117</v>
      </c>
      <c r="AR96" s="4">
        <v>0.0802083333333333</v>
      </c>
      <c r="AS96">
        <v>0.02</v>
      </c>
      <c r="AT96" s="5">
        <f t="shared" si="45"/>
        <v>0.0602083333333333</v>
      </c>
      <c r="AU96">
        <v>2.84</v>
      </c>
      <c r="AV96" s="3">
        <f t="shared" si="46"/>
        <v>0.021200117370892</v>
      </c>
      <c r="AX96" s="4">
        <v>3.4406666375</v>
      </c>
      <c r="AY96">
        <v>3.44</v>
      </c>
      <c r="AZ96" s="5">
        <f t="shared" si="47"/>
        <v>0.000666637500000178</v>
      </c>
      <c r="BA96">
        <v>29.17</v>
      </c>
      <c r="BB96" s="3">
        <f t="shared" si="48"/>
        <v>2.28535310250318e-5</v>
      </c>
      <c r="BD96" s="4">
        <v>0.268916666666667</v>
      </c>
      <c r="BE96">
        <v>0.17</v>
      </c>
      <c r="BF96" s="5">
        <f t="shared" si="49"/>
        <v>0.098916666666667</v>
      </c>
      <c r="BG96">
        <v>4</v>
      </c>
      <c r="BH96" s="3">
        <f t="shared" si="50"/>
        <v>0.0247291666666668</v>
      </c>
      <c r="BJ96" s="9">
        <v>8.91608335416667</v>
      </c>
      <c r="BK96">
        <v>4.8</v>
      </c>
      <c r="BL96" s="5">
        <f t="shared" si="51"/>
        <v>4.11608335416667</v>
      </c>
      <c r="BM96">
        <v>8.9</v>
      </c>
      <c r="BN96" s="3">
        <f t="shared" si="52"/>
        <v>0.462481275749064</v>
      </c>
      <c r="BP96" s="9">
        <v>0.169725</v>
      </c>
      <c r="BQ96">
        <v>0.09</v>
      </c>
      <c r="BR96" s="5">
        <f t="shared" si="53"/>
        <v>0.079725</v>
      </c>
      <c r="BS96">
        <v>0.43</v>
      </c>
      <c r="BT96" s="3">
        <f t="shared" si="54"/>
        <v>0.185406976744186</v>
      </c>
      <c r="BV96" s="4">
        <v>6.48421665833333</v>
      </c>
      <c r="BW96">
        <v>6.18</v>
      </c>
      <c r="BX96" s="5">
        <f t="shared" si="55"/>
        <v>0.30421665833333</v>
      </c>
      <c r="BY96">
        <v>1.68</v>
      </c>
      <c r="BZ96" s="3">
        <f t="shared" si="56"/>
        <v>0.18108134424603</v>
      </c>
      <c r="CB96" s="10">
        <v>125.6</v>
      </c>
      <c r="CC96">
        <v>54.3</v>
      </c>
      <c r="CD96" s="12">
        <f t="shared" si="57"/>
        <v>71.3</v>
      </c>
      <c r="CE96">
        <v>71.3</v>
      </c>
      <c r="CF96" s="3">
        <f t="shared" si="58"/>
        <v>1</v>
      </c>
      <c r="CH96" s="13">
        <v>31.3</v>
      </c>
      <c r="CI96">
        <v>22.6</v>
      </c>
      <c r="CJ96">
        <f t="shared" si="59"/>
        <v>8.7</v>
      </c>
      <c r="CK96">
        <v>25.1</v>
      </c>
      <c r="CL96">
        <f t="shared" si="60"/>
        <v>0.346613545816733</v>
      </c>
      <c r="CN96" s="10">
        <v>4.3</v>
      </c>
      <c r="CO96">
        <v>3</v>
      </c>
      <c r="CP96" s="12">
        <f t="shared" si="61"/>
        <v>1.3</v>
      </c>
      <c r="CQ96">
        <v>3.4</v>
      </c>
      <c r="CR96" s="3">
        <f t="shared" si="62"/>
        <v>0.382352941176471</v>
      </c>
    </row>
    <row r="97" spans="2:96">
      <c r="B97" s="1">
        <v>51972</v>
      </c>
      <c r="C97">
        <v>32416</v>
      </c>
      <c r="D97" s="2">
        <f t="shared" si="63"/>
        <v>19556</v>
      </c>
      <c r="E97">
        <v>31904</v>
      </c>
      <c r="F97" s="3">
        <f t="shared" si="32"/>
        <v>0.612963891675025</v>
      </c>
      <c r="H97" s="1">
        <v>51593.5482948</v>
      </c>
      <c r="I97">
        <v>31145</v>
      </c>
      <c r="J97" s="2">
        <f t="shared" si="33"/>
        <v>20448.5482948</v>
      </c>
      <c r="K97">
        <v>32760</v>
      </c>
      <c r="L97" s="3">
        <f t="shared" si="34"/>
        <v>0.624192560891331</v>
      </c>
      <c r="N97" s="4">
        <v>266.023331320833</v>
      </c>
      <c r="O97">
        <v>201.27</v>
      </c>
      <c r="P97" s="5">
        <f t="shared" si="35"/>
        <v>64.753331320833</v>
      </c>
      <c r="Q97">
        <v>79.69</v>
      </c>
      <c r="R97" s="3">
        <f t="shared" si="36"/>
        <v>0.812565332172581</v>
      </c>
      <c r="T97" s="4">
        <v>234.441667554167</v>
      </c>
      <c r="U97">
        <v>100.23</v>
      </c>
      <c r="V97" s="5">
        <f t="shared" si="37"/>
        <v>134.211667554167</v>
      </c>
      <c r="W97">
        <v>410.93</v>
      </c>
      <c r="X97" s="3">
        <f t="shared" si="38"/>
        <v>0.326604695578729</v>
      </c>
      <c r="Z97" s="4">
        <v>23.64</v>
      </c>
      <c r="AA97">
        <v>13.25</v>
      </c>
      <c r="AB97" s="5">
        <f t="shared" si="39"/>
        <v>10.39</v>
      </c>
      <c r="AC97">
        <v>33.93</v>
      </c>
      <c r="AD97" s="3">
        <f t="shared" si="40"/>
        <v>0.30621868552903</v>
      </c>
      <c r="AF97" s="4">
        <v>3.73</v>
      </c>
      <c r="AG97">
        <v>2.09</v>
      </c>
      <c r="AH97" s="5">
        <f t="shared" si="41"/>
        <v>1.64</v>
      </c>
      <c r="AI97">
        <v>3.85</v>
      </c>
      <c r="AJ97" s="3">
        <f t="shared" si="42"/>
        <v>0.425974025974026</v>
      </c>
      <c r="AL97" s="4">
        <v>6.87434992</v>
      </c>
      <c r="AM97">
        <v>6.1</v>
      </c>
      <c r="AN97" s="5">
        <f t="shared" si="43"/>
        <v>0.774349920000001</v>
      </c>
      <c r="AO97">
        <v>1.89</v>
      </c>
      <c r="AP97" s="3">
        <f t="shared" si="44"/>
        <v>0.409708952380953</v>
      </c>
      <c r="AR97" s="4">
        <v>0.0829166666666667</v>
      </c>
      <c r="AS97">
        <v>0.02</v>
      </c>
      <c r="AT97" s="5">
        <f t="shared" si="45"/>
        <v>0.0629166666666667</v>
      </c>
      <c r="AU97">
        <v>2.84</v>
      </c>
      <c r="AV97" s="3">
        <f t="shared" si="46"/>
        <v>0.0221537558685446</v>
      </c>
      <c r="AX97" s="4">
        <v>7.73413315833333</v>
      </c>
      <c r="AY97">
        <v>3.44</v>
      </c>
      <c r="AZ97" s="5">
        <f t="shared" si="47"/>
        <v>4.29413315833333</v>
      </c>
      <c r="BA97">
        <v>29.17</v>
      </c>
      <c r="BB97" s="3">
        <f t="shared" si="48"/>
        <v>0.147210598503028</v>
      </c>
      <c r="BD97" s="4">
        <v>0.492749995833333</v>
      </c>
      <c r="BE97">
        <v>0.17</v>
      </c>
      <c r="BF97" s="5">
        <f t="shared" si="49"/>
        <v>0.322749995833333</v>
      </c>
      <c r="BG97">
        <v>4</v>
      </c>
      <c r="BH97" s="3">
        <f t="shared" si="50"/>
        <v>0.0806874989583332</v>
      </c>
      <c r="BJ97" s="9">
        <v>8.90766648333333</v>
      </c>
      <c r="BK97">
        <v>4.8</v>
      </c>
      <c r="BL97" s="5">
        <f t="shared" si="51"/>
        <v>4.10766648333333</v>
      </c>
      <c r="BM97">
        <v>8.9</v>
      </c>
      <c r="BN97" s="3">
        <f t="shared" si="52"/>
        <v>0.461535559925093</v>
      </c>
      <c r="BP97" s="9">
        <v>0.175783333333333</v>
      </c>
      <c r="BQ97">
        <v>0.09</v>
      </c>
      <c r="BR97" s="5">
        <f t="shared" si="53"/>
        <v>0.085783333333333</v>
      </c>
      <c r="BS97">
        <v>0.43</v>
      </c>
      <c r="BT97" s="3">
        <f t="shared" si="54"/>
        <v>0.199496124031007</v>
      </c>
      <c r="BV97" s="4">
        <v>6.49325835416667</v>
      </c>
      <c r="BW97">
        <v>6.18</v>
      </c>
      <c r="BX97" s="5">
        <f t="shared" si="55"/>
        <v>0.31325835416667</v>
      </c>
      <c r="BY97">
        <v>1.68</v>
      </c>
      <c r="BZ97" s="3">
        <f t="shared" si="56"/>
        <v>0.18646330605159</v>
      </c>
      <c r="CB97" s="10">
        <v>124.3</v>
      </c>
      <c r="CC97">
        <v>54.3</v>
      </c>
      <c r="CD97" s="12">
        <f t="shared" si="57"/>
        <v>70</v>
      </c>
      <c r="CE97">
        <v>71.3</v>
      </c>
      <c r="CF97" s="3">
        <f t="shared" si="58"/>
        <v>0.981767180925666</v>
      </c>
      <c r="CH97" s="13">
        <v>33.7</v>
      </c>
      <c r="CI97">
        <v>22.6</v>
      </c>
      <c r="CJ97">
        <f t="shared" si="59"/>
        <v>11.1</v>
      </c>
      <c r="CK97">
        <v>25.1</v>
      </c>
      <c r="CL97">
        <f t="shared" si="60"/>
        <v>0.442231075697211</v>
      </c>
      <c r="CN97" s="10">
        <v>4.9</v>
      </c>
      <c r="CO97">
        <v>3</v>
      </c>
      <c r="CP97" s="12">
        <f t="shared" si="61"/>
        <v>1.9</v>
      </c>
      <c r="CQ97">
        <v>3.4</v>
      </c>
      <c r="CR97" s="3">
        <f t="shared" si="62"/>
        <v>0.558823529411765</v>
      </c>
    </row>
    <row r="98" spans="2:96">
      <c r="B98" s="1">
        <v>51897</v>
      </c>
      <c r="C98">
        <v>32416</v>
      </c>
      <c r="D98" s="2">
        <f t="shared" si="63"/>
        <v>19481</v>
      </c>
      <c r="E98">
        <v>31904</v>
      </c>
      <c r="F98" s="3">
        <f t="shared" si="32"/>
        <v>0.610613089267803</v>
      </c>
      <c r="H98" s="1">
        <v>51076.426523</v>
      </c>
      <c r="I98">
        <v>31145</v>
      </c>
      <c r="J98" s="2">
        <f t="shared" si="33"/>
        <v>19931.426523</v>
      </c>
      <c r="K98">
        <v>32760</v>
      </c>
      <c r="L98" s="3">
        <f t="shared" si="34"/>
        <v>0.608407403021978</v>
      </c>
      <c r="N98" s="4">
        <v>253.6300023375</v>
      </c>
      <c r="O98">
        <v>201.27</v>
      </c>
      <c r="P98" s="5">
        <f t="shared" si="35"/>
        <v>52.3600023375</v>
      </c>
      <c r="Q98">
        <v>79.69</v>
      </c>
      <c r="R98" s="3">
        <f t="shared" si="36"/>
        <v>0.657046082789559</v>
      </c>
      <c r="T98" s="4">
        <v>202.779168441667</v>
      </c>
      <c r="U98">
        <v>100.23</v>
      </c>
      <c r="V98" s="5">
        <f t="shared" si="37"/>
        <v>102.549168441667</v>
      </c>
      <c r="W98">
        <v>410.93</v>
      </c>
      <c r="X98" s="3">
        <f t="shared" si="38"/>
        <v>0.249553861829672</v>
      </c>
      <c r="Z98" s="4">
        <v>21.59</v>
      </c>
      <c r="AA98">
        <v>13.25</v>
      </c>
      <c r="AB98" s="5">
        <f t="shared" si="39"/>
        <v>8.34</v>
      </c>
      <c r="AC98">
        <v>33.93</v>
      </c>
      <c r="AD98" s="3">
        <f t="shared" si="40"/>
        <v>0.24580017683466</v>
      </c>
      <c r="AF98" s="4">
        <v>3.86</v>
      </c>
      <c r="AG98">
        <v>2.09</v>
      </c>
      <c r="AH98" s="5">
        <f t="shared" si="41"/>
        <v>1.77</v>
      </c>
      <c r="AI98">
        <v>3.85</v>
      </c>
      <c r="AJ98" s="3">
        <f t="shared" si="42"/>
        <v>0.45974025974026</v>
      </c>
      <c r="AL98" s="4">
        <v>6.95805832083333</v>
      </c>
      <c r="AM98">
        <v>6.1</v>
      </c>
      <c r="AN98" s="5">
        <f t="shared" si="43"/>
        <v>0.85805832083333</v>
      </c>
      <c r="AO98">
        <v>1.89</v>
      </c>
      <c r="AP98" s="3">
        <f t="shared" si="44"/>
        <v>0.453999111552027</v>
      </c>
      <c r="AR98" s="4">
        <v>0.0879166666666667</v>
      </c>
      <c r="AS98">
        <v>0.02</v>
      </c>
      <c r="AT98" s="5">
        <f t="shared" si="45"/>
        <v>0.0679166666666667</v>
      </c>
      <c r="AU98">
        <v>2.84</v>
      </c>
      <c r="AV98" s="3">
        <f t="shared" si="46"/>
        <v>0.0239143192488263</v>
      </c>
      <c r="AX98" s="4">
        <v>7.59459999166667</v>
      </c>
      <c r="AY98">
        <v>3.44</v>
      </c>
      <c r="AZ98" s="5">
        <f t="shared" si="47"/>
        <v>4.15459999166667</v>
      </c>
      <c r="BA98">
        <v>29.17</v>
      </c>
      <c r="BB98" s="3">
        <f t="shared" si="48"/>
        <v>0.14242715089704</v>
      </c>
      <c r="BD98" s="4">
        <v>0.60775</v>
      </c>
      <c r="BE98">
        <v>0.17</v>
      </c>
      <c r="BF98" s="5">
        <f t="shared" si="49"/>
        <v>0.43775</v>
      </c>
      <c r="BG98">
        <v>4</v>
      </c>
      <c r="BH98" s="3">
        <f t="shared" si="50"/>
        <v>0.1094375</v>
      </c>
      <c r="BJ98" s="9">
        <v>9.2276667</v>
      </c>
      <c r="BK98">
        <v>4.8</v>
      </c>
      <c r="BL98" s="5">
        <f t="shared" si="51"/>
        <v>4.4276667</v>
      </c>
      <c r="BM98">
        <v>8.9</v>
      </c>
      <c r="BN98" s="3">
        <f t="shared" si="52"/>
        <v>0.497490640449438</v>
      </c>
      <c r="BP98" s="9">
        <v>0.261983333333333</v>
      </c>
      <c r="BQ98">
        <v>0.09</v>
      </c>
      <c r="BR98" s="5">
        <f t="shared" si="53"/>
        <v>0.171983333333333</v>
      </c>
      <c r="BS98">
        <v>0.43</v>
      </c>
      <c r="BT98" s="3">
        <f t="shared" si="54"/>
        <v>0.399961240310077</v>
      </c>
      <c r="BV98" s="4">
        <v>6.525750075</v>
      </c>
      <c r="BW98">
        <v>6.18</v>
      </c>
      <c r="BX98" s="5">
        <f t="shared" si="55"/>
        <v>0.345750075000001</v>
      </c>
      <c r="BY98">
        <v>1.68</v>
      </c>
      <c r="BZ98" s="3">
        <f t="shared" si="56"/>
        <v>0.205803616071429</v>
      </c>
      <c r="CB98" s="10">
        <v>124.1</v>
      </c>
      <c r="CC98">
        <v>54.3</v>
      </c>
      <c r="CD98" s="12">
        <f t="shared" si="57"/>
        <v>69.8</v>
      </c>
      <c r="CE98">
        <v>71.3</v>
      </c>
      <c r="CF98" s="3">
        <f t="shared" si="58"/>
        <v>0.978962131837307</v>
      </c>
      <c r="CH98" s="13">
        <v>32.4</v>
      </c>
      <c r="CI98">
        <v>22.6</v>
      </c>
      <c r="CJ98">
        <f t="shared" si="59"/>
        <v>9.8</v>
      </c>
      <c r="CK98">
        <v>25.1</v>
      </c>
      <c r="CL98">
        <f t="shared" si="60"/>
        <v>0.390438247011952</v>
      </c>
      <c r="CN98" s="10">
        <v>4.7</v>
      </c>
      <c r="CO98">
        <v>3</v>
      </c>
      <c r="CP98" s="12">
        <f t="shared" si="61"/>
        <v>1.7</v>
      </c>
      <c r="CQ98">
        <v>3.4</v>
      </c>
      <c r="CR98" s="3">
        <f t="shared" si="62"/>
        <v>0.5</v>
      </c>
    </row>
    <row r="99" spans="2:96">
      <c r="B99" s="1">
        <v>49235</v>
      </c>
      <c r="C99">
        <v>32416</v>
      </c>
      <c r="D99" s="2">
        <f t="shared" si="63"/>
        <v>16819</v>
      </c>
      <c r="E99">
        <v>31904</v>
      </c>
      <c r="F99" s="3">
        <f t="shared" si="32"/>
        <v>0.527175275827482</v>
      </c>
      <c r="H99" s="1">
        <v>48886.3920486</v>
      </c>
      <c r="I99">
        <v>31145</v>
      </c>
      <c r="J99" s="2">
        <f t="shared" si="33"/>
        <v>17741.3920486</v>
      </c>
      <c r="K99">
        <v>32760</v>
      </c>
      <c r="L99" s="3">
        <f t="shared" si="34"/>
        <v>0.541556533840049</v>
      </c>
      <c r="N99" s="4">
        <v>269.193332033333</v>
      </c>
      <c r="O99">
        <v>201.27</v>
      </c>
      <c r="P99" s="5">
        <f t="shared" si="35"/>
        <v>67.923332033333</v>
      </c>
      <c r="Q99">
        <v>79.69</v>
      </c>
      <c r="R99" s="3">
        <f t="shared" si="36"/>
        <v>0.852344485297189</v>
      </c>
      <c r="T99" s="4">
        <v>251.8458321875</v>
      </c>
      <c r="U99">
        <v>100.23</v>
      </c>
      <c r="V99" s="5">
        <f t="shared" si="37"/>
        <v>151.6158321875</v>
      </c>
      <c r="W99">
        <v>410.93</v>
      </c>
      <c r="X99" s="3">
        <f t="shared" si="38"/>
        <v>0.368957808355438</v>
      </c>
      <c r="Z99" s="4">
        <v>27.91</v>
      </c>
      <c r="AA99">
        <v>13.25</v>
      </c>
      <c r="AB99" s="5">
        <f t="shared" si="39"/>
        <v>14.66</v>
      </c>
      <c r="AC99">
        <v>33.93</v>
      </c>
      <c r="AD99" s="3">
        <f t="shared" si="40"/>
        <v>0.432066018272915</v>
      </c>
      <c r="AF99" s="4">
        <v>4.34768406464284</v>
      </c>
      <c r="AG99">
        <v>2.09</v>
      </c>
      <c r="AH99" s="5">
        <f t="shared" si="41"/>
        <v>2.25768406464284</v>
      </c>
      <c r="AI99">
        <v>3.85</v>
      </c>
      <c r="AJ99" s="3">
        <f t="shared" si="42"/>
        <v>0.586411445361777</v>
      </c>
      <c r="AL99" s="4">
        <v>6.93740840416667</v>
      </c>
      <c r="AM99">
        <v>6.1</v>
      </c>
      <c r="AN99" s="5">
        <f t="shared" si="43"/>
        <v>0.837408404166671</v>
      </c>
      <c r="AO99">
        <v>1.89</v>
      </c>
      <c r="AP99" s="3">
        <f t="shared" si="44"/>
        <v>0.443073229717815</v>
      </c>
      <c r="AR99" s="4">
        <v>0.0904166666666667</v>
      </c>
      <c r="AS99">
        <v>0.02</v>
      </c>
      <c r="AT99" s="5">
        <f t="shared" si="45"/>
        <v>0.0704166666666667</v>
      </c>
      <c r="AU99">
        <v>2.84</v>
      </c>
      <c r="AV99" s="3">
        <f t="shared" si="46"/>
        <v>0.0247946009389671</v>
      </c>
      <c r="AX99" s="4">
        <v>18.1783328333333</v>
      </c>
      <c r="AY99">
        <v>3.44</v>
      </c>
      <c r="AZ99" s="5">
        <f t="shared" si="47"/>
        <v>14.7383328333333</v>
      </c>
      <c r="BA99">
        <v>29.17</v>
      </c>
      <c r="BB99" s="3">
        <f t="shared" si="48"/>
        <v>0.505256524968574</v>
      </c>
      <c r="BD99" s="4">
        <v>1.69266665833333</v>
      </c>
      <c r="BE99">
        <v>0.17</v>
      </c>
      <c r="BF99" s="5">
        <f t="shared" si="49"/>
        <v>1.52266665833333</v>
      </c>
      <c r="BG99">
        <v>4</v>
      </c>
      <c r="BH99" s="3">
        <f t="shared" si="50"/>
        <v>0.380666664583333</v>
      </c>
      <c r="BJ99" s="9">
        <v>11.0701667125</v>
      </c>
      <c r="BK99">
        <v>4.8</v>
      </c>
      <c r="BL99" s="5">
        <f t="shared" si="51"/>
        <v>6.2701667125</v>
      </c>
      <c r="BM99">
        <v>8.9</v>
      </c>
      <c r="BN99" s="3">
        <f t="shared" si="52"/>
        <v>0.704513113764045</v>
      </c>
      <c r="BP99" s="9">
        <v>0.183175</v>
      </c>
      <c r="BQ99">
        <v>0.09</v>
      </c>
      <c r="BR99" s="5">
        <f t="shared" si="53"/>
        <v>0.093175</v>
      </c>
      <c r="BS99">
        <v>0.43</v>
      </c>
      <c r="BT99" s="3">
        <f t="shared" si="54"/>
        <v>0.216686046511628</v>
      </c>
      <c r="BV99" s="4">
        <v>6.51099169583333</v>
      </c>
      <c r="BW99">
        <v>6.18</v>
      </c>
      <c r="BX99" s="5">
        <f t="shared" si="55"/>
        <v>0.330991695833331</v>
      </c>
      <c r="BY99">
        <v>1.68</v>
      </c>
      <c r="BZ99" s="3">
        <f t="shared" si="56"/>
        <v>0.197018866567459</v>
      </c>
      <c r="CB99" s="10">
        <v>123.8</v>
      </c>
      <c r="CC99">
        <v>54.3</v>
      </c>
      <c r="CD99" s="12">
        <f t="shared" si="57"/>
        <v>69.5</v>
      </c>
      <c r="CE99">
        <v>71.3</v>
      </c>
      <c r="CF99" s="3">
        <f t="shared" si="58"/>
        <v>0.974754558204769</v>
      </c>
      <c r="CH99" s="13">
        <v>30.6</v>
      </c>
      <c r="CI99">
        <v>22.6</v>
      </c>
      <c r="CJ99">
        <f t="shared" si="59"/>
        <v>8</v>
      </c>
      <c r="CK99">
        <v>25.1</v>
      </c>
      <c r="CL99">
        <f t="shared" si="60"/>
        <v>0.318725099601594</v>
      </c>
      <c r="CN99" s="11">
        <v>4.1</v>
      </c>
      <c r="CO99">
        <v>3</v>
      </c>
      <c r="CP99" s="12">
        <f t="shared" si="61"/>
        <v>1.1</v>
      </c>
      <c r="CQ99">
        <v>3.4</v>
      </c>
      <c r="CR99" s="3">
        <f t="shared" si="62"/>
        <v>0.323529411764706</v>
      </c>
    </row>
    <row r="100" spans="2:96">
      <c r="B100" s="1">
        <v>48652</v>
      </c>
      <c r="C100">
        <v>32416</v>
      </c>
      <c r="D100" s="2">
        <f t="shared" si="63"/>
        <v>16236</v>
      </c>
      <c r="E100">
        <v>31904</v>
      </c>
      <c r="F100" s="3">
        <f t="shared" si="32"/>
        <v>0.508901705115346</v>
      </c>
      <c r="H100" s="1">
        <v>47956.3074643</v>
      </c>
      <c r="I100">
        <v>31145</v>
      </c>
      <c r="J100" s="2">
        <f t="shared" si="33"/>
        <v>16811.3074643</v>
      </c>
      <c r="K100">
        <v>32760</v>
      </c>
      <c r="L100" s="3">
        <f t="shared" si="34"/>
        <v>0.513165673513431</v>
      </c>
      <c r="N100" s="4">
        <v>270.9766655</v>
      </c>
      <c r="O100">
        <v>201.27</v>
      </c>
      <c r="P100" s="5">
        <f t="shared" si="35"/>
        <v>69.7066655</v>
      </c>
      <c r="Q100">
        <v>79.69</v>
      </c>
      <c r="R100" s="3">
        <f t="shared" si="36"/>
        <v>0.874722869870749</v>
      </c>
      <c r="T100" s="4">
        <v>200.129166283333</v>
      </c>
      <c r="U100">
        <v>100.23</v>
      </c>
      <c r="V100" s="5">
        <f t="shared" si="37"/>
        <v>99.899166283333</v>
      </c>
      <c r="W100">
        <v>410.93</v>
      </c>
      <c r="X100" s="3">
        <f t="shared" si="38"/>
        <v>0.243105069679344</v>
      </c>
      <c r="Z100" s="4">
        <v>28.63</v>
      </c>
      <c r="AA100">
        <v>13.25</v>
      </c>
      <c r="AB100" s="5">
        <f t="shared" si="39"/>
        <v>15.38</v>
      </c>
      <c r="AC100">
        <v>33.93</v>
      </c>
      <c r="AD100" s="3">
        <f t="shared" si="40"/>
        <v>0.453286177424108</v>
      </c>
      <c r="AF100" s="4">
        <v>4.7058184774792</v>
      </c>
      <c r="AG100">
        <v>2.09</v>
      </c>
      <c r="AH100" s="5">
        <f t="shared" si="41"/>
        <v>2.6158184774792</v>
      </c>
      <c r="AI100">
        <v>3.85</v>
      </c>
      <c r="AJ100" s="3">
        <f t="shared" si="42"/>
        <v>0.679433370773818</v>
      </c>
      <c r="AL100" s="4">
        <v>6.94850430434783</v>
      </c>
      <c r="AM100">
        <v>6.1</v>
      </c>
      <c r="AN100" s="5">
        <f t="shared" si="43"/>
        <v>0.848504304347831</v>
      </c>
      <c r="AO100">
        <v>1.89</v>
      </c>
      <c r="AP100" s="3">
        <f t="shared" si="44"/>
        <v>0.448944076374514</v>
      </c>
      <c r="AR100" s="4">
        <v>0.0916666666666667</v>
      </c>
      <c r="AS100">
        <v>0.02</v>
      </c>
      <c r="AT100" s="5">
        <f t="shared" si="45"/>
        <v>0.0716666666666667</v>
      </c>
      <c r="AU100">
        <v>2.84</v>
      </c>
      <c r="AV100" s="3">
        <f t="shared" si="46"/>
        <v>0.0252347417840376</v>
      </c>
      <c r="AX100" s="4">
        <v>6.3024000875</v>
      </c>
      <c r="AY100">
        <v>3.44</v>
      </c>
      <c r="AZ100" s="5">
        <f t="shared" si="47"/>
        <v>2.8624000875</v>
      </c>
      <c r="BA100">
        <v>29.17</v>
      </c>
      <c r="BB100" s="3">
        <f t="shared" si="48"/>
        <v>0.0981282169180665</v>
      </c>
      <c r="BD100" s="4">
        <v>1.72050001666667</v>
      </c>
      <c r="BE100">
        <v>0.17</v>
      </c>
      <c r="BF100" s="5">
        <f t="shared" si="49"/>
        <v>1.55050001666667</v>
      </c>
      <c r="BG100">
        <v>4</v>
      </c>
      <c r="BH100" s="3">
        <f t="shared" si="50"/>
        <v>0.387625004166668</v>
      </c>
      <c r="BJ100" s="9">
        <v>10.0095833541667</v>
      </c>
      <c r="BK100">
        <v>4.8</v>
      </c>
      <c r="BL100" s="5">
        <f t="shared" si="51"/>
        <v>5.2095833541667</v>
      </c>
      <c r="BM100">
        <v>8.9</v>
      </c>
      <c r="BN100" s="3">
        <f t="shared" si="52"/>
        <v>0.585346444288393</v>
      </c>
      <c r="BP100" s="9">
        <v>0.168708333333333</v>
      </c>
      <c r="BQ100">
        <v>0.09</v>
      </c>
      <c r="BR100" s="5">
        <f t="shared" si="53"/>
        <v>0.078708333333333</v>
      </c>
      <c r="BS100">
        <v>0.43</v>
      </c>
      <c r="BT100" s="3">
        <f t="shared" si="54"/>
        <v>0.183042635658914</v>
      </c>
      <c r="BV100" s="4">
        <v>6.54955</v>
      </c>
      <c r="BW100">
        <v>6.18</v>
      </c>
      <c r="BX100" s="5">
        <f t="shared" si="55"/>
        <v>0.36955</v>
      </c>
      <c r="BY100">
        <v>1.68</v>
      </c>
      <c r="BZ100" s="3">
        <f t="shared" si="56"/>
        <v>0.219970238095238</v>
      </c>
      <c r="CB100" s="10">
        <v>122.5</v>
      </c>
      <c r="CC100">
        <v>54.3</v>
      </c>
      <c r="CD100" s="12">
        <f t="shared" si="57"/>
        <v>68.2</v>
      </c>
      <c r="CE100">
        <v>71.3</v>
      </c>
      <c r="CF100" s="3">
        <f t="shared" si="58"/>
        <v>0.956521739130435</v>
      </c>
      <c r="CH100" s="13">
        <v>32.5</v>
      </c>
      <c r="CI100">
        <v>22.6</v>
      </c>
      <c r="CJ100">
        <f t="shared" si="59"/>
        <v>9.9</v>
      </c>
      <c r="CK100">
        <v>25.1</v>
      </c>
      <c r="CL100">
        <f t="shared" si="60"/>
        <v>0.394422310756972</v>
      </c>
      <c r="CN100" s="10">
        <v>3.9</v>
      </c>
      <c r="CO100">
        <v>3</v>
      </c>
      <c r="CP100" s="12">
        <f t="shared" si="61"/>
        <v>0.9</v>
      </c>
      <c r="CQ100">
        <v>3.4</v>
      </c>
      <c r="CR100" s="3">
        <f t="shared" si="62"/>
        <v>0.264705882352941</v>
      </c>
    </row>
    <row r="101" spans="2:96">
      <c r="B101" s="1">
        <v>48256</v>
      </c>
      <c r="C101">
        <v>32416</v>
      </c>
      <c r="D101" s="2">
        <f t="shared" si="63"/>
        <v>15840</v>
      </c>
      <c r="E101">
        <v>31904</v>
      </c>
      <c r="F101" s="3">
        <f t="shared" si="32"/>
        <v>0.496489468405216</v>
      </c>
      <c r="H101" s="1">
        <v>47765.2876298</v>
      </c>
      <c r="I101">
        <v>31145</v>
      </c>
      <c r="J101" s="2">
        <f t="shared" si="33"/>
        <v>16620.2876298</v>
      </c>
      <c r="K101">
        <v>32760</v>
      </c>
      <c r="L101" s="3">
        <f t="shared" si="34"/>
        <v>0.507334787234432</v>
      </c>
      <c r="N101" s="4">
        <v>252.95273105</v>
      </c>
      <c r="O101">
        <v>201.27</v>
      </c>
      <c r="P101" s="5">
        <f t="shared" si="35"/>
        <v>51.68273105</v>
      </c>
      <c r="Q101">
        <v>79.69</v>
      </c>
      <c r="R101" s="3">
        <f t="shared" si="36"/>
        <v>0.648547258752667</v>
      </c>
      <c r="T101" s="4">
        <v>193.309090354545</v>
      </c>
      <c r="U101">
        <v>100.23</v>
      </c>
      <c r="V101" s="5">
        <f t="shared" si="37"/>
        <v>93.079090354545</v>
      </c>
      <c r="W101">
        <v>410.93</v>
      </c>
      <c r="X101" s="3">
        <f t="shared" si="38"/>
        <v>0.226508384285754</v>
      </c>
      <c r="Z101" s="4">
        <v>27.3</v>
      </c>
      <c r="AA101">
        <v>13.25</v>
      </c>
      <c r="AB101" s="5">
        <f t="shared" si="39"/>
        <v>14.05</v>
      </c>
      <c r="AC101">
        <v>33.93</v>
      </c>
      <c r="AD101" s="3">
        <f t="shared" si="40"/>
        <v>0.414087827880931</v>
      </c>
      <c r="AF101" s="4">
        <v>4.28398035711634</v>
      </c>
      <c r="AG101">
        <v>2.09</v>
      </c>
      <c r="AH101" s="5">
        <f t="shared" si="41"/>
        <v>2.19398035711634</v>
      </c>
      <c r="AI101">
        <v>3.85</v>
      </c>
      <c r="AJ101" s="3">
        <f t="shared" si="42"/>
        <v>0.569865027822426</v>
      </c>
      <c r="AL101" s="4">
        <v>6.91109999</v>
      </c>
      <c r="AM101">
        <v>6.1</v>
      </c>
      <c r="AN101" s="5">
        <f t="shared" si="43"/>
        <v>0.811099990000001</v>
      </c>
      <c r="AO101">
        <v>1.89</v>
      </c>
      <c r="AP101" s="3">
        <f t="shared" si="44"/>
        <v>0.429153433862434</v>
      </c>
      <c r="AR101" s="4">
        <v>0.0886363636363636</v>
      </c>
      <c r="AS101">
        <v>0.02</v>
      </c>
      <c r="AT101" s="5">
        <f t="shared" si="45"/>
        <v>0.0686363636363636</v>
      </c>
      <c r="AU101">
        <v>2.84</v>
      </c>
      <c r="AV101" s="3">
        <f t="shared" si="46"/>
        <v>0.0241677336747759</v>
      </c>
      <c r="AX101" s="4">
        <v>8.90712715909091</v>
      </c>
      <c r="AY101">
        <v>3.44</v>
      </c>
      <c r="AZ101" s="5">
        <f t="shared" si="47"/>
        <v>5.46712715909091</v>
      </c>
      <c r="BA101">
        <v>29.17</v>
      </c>
      <c r="BB101" s="3">
        <f t="shared" si="48"/>
        <v>0.187422939975691</v>
      </c>
      <c r="BD101" s="4">
        <v>2.23545454090909</v>
      </c>
      <c r="BE101">
        <v>0.17</v>
      </c>
      <c r="BF101" s="5">
        <f t="shared" si="49"/>
        <v>2.06545454090909</v>
      </c>
      <c r="BG101">
        <v>4</v>
      </c>
      <c r="BH101" s="3">
        <f t="shared" si="50"/>
        <v>0.516363635227272</v>
      </c>
      <c r="BJ101" s="9">
        <v>9.19741668333334</v>
      </c>
      <c r="BK101">
        <v>4.8</v>
      </c>
      <c r="BL101" s="5">
        <f t="shared" si="51"/>
        <v>4.39741668333334</v>
      </c>
      <c r="BM101">
        <v>8.9</v>
      </c>
      <c r="BN101" s="3">
        <f t="shared" si="52"/>
        <v>0.494091762172285</v>
      </c>
      <c r="BP101" s="9">
        <v>0.165954545454545</v>
      </c>
      <c r="BQ101">
        <v>0.09</v>
      </c>
      <c r="BR101" s="5">
        <f t="shared" si="53"/>
        <v>0.075954545454545</v>
      </c>
      <c r="BS101">
        <v>0.43</v>
      </c>
      <c r="BT101" s="3">
        <f t="shared" si="54"/>
        <v>0.176638477801267</v>
      </c>
      <c r="BV101" s="4">
        <v>6.56110002272727</v>
      </c>
      <c r="BW101">
        <v>6.18</v>
      </c>
      <c r="BX101" s="5">
        <f t="shared" si="55"/>
        <v>0.381100022727271</v>
      </c>
      <c r="BY101">
        <v>1.68</v>
      </c>
      <c r="BZ101" s="3">
        <f t="shared" si="56"/>
        <v>0.226845251623375</v>
      </c>
      <c r="CB101" s="10">
        <v>122.36</v>
      </c>
      <c r="CC101">
        <v>54.3</v>
      </c>
      <c r="CD101" s="12">
        <f t="shared" si="57"/>
        <v>68.06</v>
      </c>
      <c r="CE101">
        <v>71.3</v>
      </c>
      <c r="CF101" s="3">
        <f t="shared" si="58"/>
        <v>0.954558204768584</v>
      </c>
      <c r="CH101" s="14">
        <v>31.59</v>
      </c>
      <c r="CI101">
        <v>22.6</v>
      </c>
      <c r="CJ101">
        <f t="shared" si="59"/>
        <v>8.99</v>
      </c>
      <c r="CK101">
        <v>25.1</v>
      </c>
      <c r="CL101">
        <f t="shared" si="60"/>
        <v>0.358167330677291</v>
      </c>
      <c r="CN101" s="10">
        <v>4.3</v>
      </c>
      <c r="CO101">
        <v>3</v>
      </c>
      <c r="CP101" s="12">
        <f t="shared" si="61"/>
        <v>1.3</v>
      </c>
      <c r="CQ101">
        <v>3.4</v>
      </c>
      <c r="CR101" s="3">
        <f t="shared" si="62"/>
        <v>0.382352941176471</v>
      </c>
    </row>
    <row r="102" spans="2:96">
      <c r="B102" s="1">
        <v>48576</v>
      </c>
      <c r="C102">
        <v>32416</v>
      </c>
      <c r="D102" s="2">
        <f t="shared" si="63"/>
        <v>16160</v>
      </c>
      <c r="E102">
        <v>31904</v>
      </c>
      <c r="F102" s="3">
        <f t="shared" si="32"/>
        <v>0.506519558676028</v>
      </c>
      <c r="H102" s="1">
        <v>47652.8271731</v>
      </c>
      <c r="I102">
        <v>31145</v>
      </c>
      <c r="J102" s="2">
        <f t="shared" si="33"/>
        <v>16507.8271731</v>
      </c>
      <c r="K102">
        <v>32760</v>
      </c>
      <c r="L102" s="3">
        <f t="shared" si="34"/>
        <v>0.503901928360806</v>
      </c>
      <c r="N102" s="4">
        <v>252.300950552381</v>
      </c>
      <c r="O102">
        <v>201.27</v>
      </c>
      <c r="P102" s="5">
        <f t="shared" si="35"/>
        <v>51.030950552381</v>
      </c>
      <c r="Q102">
        <v>79.69</v>
      </c>
      <c r="R102" s="3">
        <f t="shared" si="36"/>
        <v>0.640368309102535</v>
      </c>
      <c r="T102" s="4">
        <v>307.400000804762</v>
      </c>
      <c r="U102">
        <v>100.23</v>
      </c>
      <c r="V102" s="5">
        <f t="shared" si="37"/>
        <v>207.170000804762</v>
      </c>
      <c r="W102">
        <v>410.93</v>
      </c>
      <c r="X102" s="3">
        <f t="shared" si="38"/>
        <v>0.504149127113528</v>
      </c>
      <c r="Z102" s="4">
        <v>24.93</v>
      </c>
      <c r="AA102">
        <v>13.25</v>
      </c>
      <c r="AB102" s="5">
        <f t="shared" si="39"/>
        <v>11.68</v>
      </c>
      <c r="AC102">
        <v>33.93</v>
      </c>
      <c r="AD102" s="3">
        <f t="shared" si="40"/>
        <v>0.344238137341586</v>
      </c>
      <c r="AF102" s="4">
        <v>4.18713612539446</v>
      </c>
      <c r="AG102">
        <v>2.09</v>
      </c>
      <c r="AH102" s="5">
        <f t="shared" si="41"/>
        <v>2.09713612539446</v>
      </c>
      <c r="AI102">
        <v>3.85</v>
      </c>
      <c r="AJ102" s="3">
        <f t="shared" si="42"/>
        <v>0.544710681920639</v>
      </c>
      <c r="AL102" s="4">
        <v>6.87326316842105</v>
      </c>
      <c r="AM102">
        <v>6.1</v>
      </c>
      <c r="AN102" s="5">
        <f t="shared" si="43"/>
        <v>0.77326316842105</v>
      </c>
      <c r="AO102">
        <v>1.89</v>
      </c>
      <c r="AP102" s="3">
        <f t="shared" si="44"/>
        <v>0.409133951545529</v>
      </c>
      <c r="AR102" s="4">
        <v>0.0866666666666667</v>
      </c>
      <c r="AS102">
        <v>0.02</v>
      </c>
      <c r="AT102" s="5">
        <f t="shared" si="45"/>
        <v>0.0666666666666667</v>
      </c>
      <c r="AU102">
        <v>2.84</v>
      </c>
      <c r="AV102" s="3">
        <f t="shared" si="46"/>
        <v>0.0234741784037559</v>
      </c>
      <c r="AX102" s="4">
        <v>13.6230094857143</v>
      </c>
      <c r="AY102">
        <v>3.44</v>
      </c>
      <c r="AZ102" s="5">
        <f t="shared" si="47"/>
        <v>10.1830094857143</v>
      </c>
      <c r="BA102">
        <v>29.17</v>
      </c>
      <c r="BB102" s="3">
        <f t="shared" si="48"/>
        <v>0.349091857583624</v>
      </c>
      <c r="BD102" s="4">
        <v>1.77190478095238</v>
      </c>
      <c r="BE102">
        <v>0.17</v>
      </c>
      <c r="BF102" s="5">
        <f t="shared" si="49"/>
        <v>1.60190478095238</v>
      </c>
      <c r="BG102">
        <v>4</v>
      </c>
      <c r="BH102" s="3">
        <f t="shared" si="50"/>
        <v>0.400476195238095</v>
      </c>
      <c r="BJ102" s="9">
        <v>9.56574992916667</v>
      </c>
      <c r="BK102">
        <v>4.8</v>
      </c>
      <c r="BL102" s="5">
        <f t="shared" si="51"/>
        <v>4.76574992916667</v>
      </c>
      <c r="BM102">
        <v>8.9</v>
      </c>
      <c r="BN102" s="3">
        <f t="shared" si="52"/>
        <v>0.535477520131086</v>
      </c>
      <c r="BP102" s="9">
        <v>0.267085714285714</v>
      </c>
      <c r="BQ102">
        <v>0.09</v>
      </c>
      <c r="BR102" s="5">
        <f t="shared" si="53"/>
        <v>0.177085714285714</v>
      </c>
      <c r="BS102">
        <v>0.43</v>
      </c>
      <c r="BT102" s="3">
        <f t="shared" si="54"/>
        <v>0.411827242524916</v>
      </c>
      <c r="BV102" s="4">
        <v>6.40253336666667</v>
      </c>
      <c r="BW102">
        <v>6.18</v>
      </c>
      <c r="BX102" s="5">
        <f t="shared" si="55"/>
        <v>0.222533366666671</v>
      </c>
      <c r="BY102">
        <v>1.68</v>
      </c>
      <c r="BZ102" s="3">
        <f t="shared" si="56"/>
        <v>0.13246033730159</v>
      </c>
      <c r="CB102" s="10">
        <v>122.6</v>
      </c>
      <c r="CC102">
        <v>54.3</v>
      </c>
      <c r="CD102" s="12">
        <f t="shared" si="57"/>
        <v>68.3</v>
      </c>
      <c r="CE102">
        <v>71.3</v>
      </c>
      <c r="CF102" s="3">
        <f t="shared" si="58"/>
        <v>0.957924263674614</v>
      </c>
      <c r="CH102" s="13">
        <v>33.8</v>
      </c>
      <c r="CI102">
        <v>22.6</v>
      </c>
      <c r="CJ102">
        <f t="shared" si="59"/>
        <v>11.2</v>
      </c>
      <c r="CK102">
        <v>25.1</v>
      </c>
      <c r="CL102">
        <f t="shared" si="60"/>
        <v>0.446215139442231</v>
      </c>
      <c r="CN102" s="10">
        <v>4.5</v>
      </c>
      <c r="CO102">
        <v>3</v>
      </c>
      <c r="CP102" s="12">
        <f t="shared" si="61"/>
        <v>1.5</v>
      </c>
      <c r="CQ102">
        <v>3.4</v>
      </c>
      <c r="CR102" s="3">
        <f t="shared" si="62"/>
        <v>0.441176470588235</v>
      </c>
    </row>
    <row r="103" spans="2:96">
      <c r="B103" s="1">
        <v>45268</v>
      </c>
      <c r="C103">
        <v>32416</v>
      </c>
      <c r="D103" s="2">
        <f t="shared" si="63"/>
        <v>12852</v>
      </c>
      <c r="E103">
        <v>31904</v>
      </c>
      <c r="F103" s="3">
        <f t="shared" si="32"/>
        <v>0.402833500501505</v>
      </c>
      <c r="H103" s="1">
        <v>44809.2939762</v>
      </c>
      <c r="I103">
        <v>31145</v>
      </c>
      <c r="J103" s="2">
        <f t="shared" si="33"/>
        <v>13664.2939762</v>
      </c>
      <c r="K103">
        <v>32760</v>
      </c>
      <c r="L103" s="3">
        <f t="shared" si="34"/>
        <v>0.417102990726496</v>
      </c>
      <c r="N103" s="4">
        <v>256.917895673684</v>
      </c>
      <c r="O103">
        <v>201.27</v>
      </c>
      <c r="P103" s="5">
        <f t="shared" si="35"/>
        <v>55.647895673684</v>
      </c>
      <c r="Q103">
        <v>79.69</v>
      </c>
      <c r="R103" s="3">
        <f t="shared" si="36"/>
        <v>0.698304626348149</v>
      </c>
      <c r="T103" s="4">
        <v>207.384212294737</v>
      </c>
      <c r="U103">
        <v>100.23</v>
      </c>
      <c r="V103" s="5">
        <f t="shared" si="37"/>
        <v>107.154212294737</v>
      </c>
      <c r="W103">
        <v>410.93</v>
      </c>
      <c r="X103" s="3">
        <f t="shared" si="38"/>
        <v>0.260760256721916</v>
      </c>
      <c r="Z103" s="4">
        <v>26.69</v>
      </c>
      <c r="AA103">
        <v>13.25</v>
      </c>
      <c r="AB103" s="5">
        <f t="shared" si="39"/>
        <v>13.44</v>
      </c>
      <c r="AC103">
        <v>33.93</v>
      </c>
      <c r="AD103" s="3">
        <f t="shared" si="40"/>
        <v>0.396109637488948</v>
      </c>
      <c r="AF103" s="4">
        <v>3.96880559383775</v>
      </c>
      <c r="AG103">
        <v>2.09</v>
      </c>
      <c r="AH103" s="5">
        <f t="shared" si="41"/>
        <v>1.87880559383775</v>
      </c>
      <c r="AI103">
        <v>3.85</v>
      </c>
      <c r="AJ103" s="3">
        <f t="shared" si="42"/>
        <v>0.48800145294487</v>
      </c>
      <c r="AL103" s="4">
        <v>6.31592502916667</v>
      </c>
      <c r="AM103">
        <v>6.1</v>
      </c>
      <c r="AN103" s="5">
        <f t="shared" si="43"/>
        <v>0.21592502916667</v>
      </c>
      <c r="AO103">
        <v>1.89</v>
      </c>
      <c r="AP103" s="3">
        <f t="shared" si="44"/>
        <v>0.114246047178132</v>
      </c>
      <c r="AR103" s="4">
        <v>0.0873684210526316</v>
      </c>
      <c r="AS103">
        <v>0.02</v>
      </c>
      <c r="AT103" s="5">
        <f t="shared" si="45"/>
        <v>0.0673684210526316</v>
      </c>
      <c r="AU103">
        <v>2.84</v>
      </c>
      <c r="AV103" s="3">
        <f t="shared" si="46"/>
        <v>0.0237212750185323</v>
      </c>
      <c r="AX103" s="4">
        <v>7.5208421631579</v>
      </c>
      <c r="AY103">
        <v>3.44</v>
      </c>
      <c r="AZ103" s="5">
        <f t="shared" si="47"/>
        <v>4.0808421631579</v>
      </c>
      <c r="BA103">
        <v>29.17</v>
      </c>
      <c r="BB103" s="3">
        <f t="shared" si="48"/>
        <v>0.139898600039695</v>
      </c>
      <c r="BD103" s="4">
        <v>2.6891579</v>
      </c>
      <c r="BE103">
        <v>0.17</v>
      </c>
      <c r="BF103" s="5">
        <f t="shared" si="49"/>
        <v>2.5191579</v>
      </c>
      <c r="BG103">
        <v>4</v>
      </c>
      <c r="BH103" s="3">
        <f t="shared" si="50"/>
        <v>0.629789475</v>
      </c>
      <c r="BJ103" s="9">
        <v>9.92275000416667</v>
      </c>
      <c r="BK103">
        <v>4.8</v>
      </c>
      <c r="BL103" s="5">
        <f t="shared" si="51"/>
        <v>5.12275000416667</v>
      </c>
      <c r="BM103">
        <v>8.9</v>
      </c>
      <c r="BN103" s="3">
        <f t="shared" si="52"/>
        <v>0.575589888108615</v>
      </c>
      <c r="BP103" s="9">
        <v>0.198357894736842</v>
      </c>
      <c r="BQ103">
        <v>0.09</v>
      </c>
      <c r="BR103" s="5">
        <f t="shared" si="53"/>
        <v>0.108357894736842</v>
      </c>
      <c r="BS103">
        <v>0.43</v>
      </c>
      <c r="BT103" s="3">
        <f t="shared" si="54"/>
        <v>0.251995104039167</v>
      </c>
      <c r="BV103" s="4">
        <v>6.55907367894737</v>
      </c>
      <c r="BW103">
        <v>6.18</v>
      </c>
      <c r="BX103" s="5">
        <f t="shared" si="55"/>
        <v>0.37907367894737</v>
      </c>
      <c r="BY103">
        <v>1.68</v>
      </c>
      <c r="BZ103" s="3">
        <f t="shared" si="56"/>
        <v>0.22563909461153</v>
      </c>
      <c r="CB103" s="10">
        <v>120.5</v>
      </c>
      <c r="CC103">
        <v>54.3</v>
      </c>
      <c r="CD103" s="12">
        <f t="shared" si="57"/>
        <v>66.2</v>
      </c>
      <c r="CE103">
        <v>71.3</v>
      </c>
      <c r="CF103" s="3">
        <f t="shared" si="58"/>
        <v>0.928471248246844</v>
      </c>
      <c r="CH103" s="13">
        <v>29.7</v>
      </c>
      <c r="CI103">
        <v>22.6</v>
      </c>
      <c r="CJ103">
        <f t="shared" si="59"/>
        <v>7.1</v>
      </c>
      <c r="CK103">
        <v>25.1</v>
      </c>
      <c r="CL103">
        <f t="shared" si="60"/>
        <v>0.282868525896414</v>
      </c>
      <c r="CN103" s="10">
        <v>4.1</v>
      </c>
      <c r="CO103">
        <v>3</v>
      </c>
      <c r="CP103" s="12">
        <f t="shared" si="61"/>
        <v>1.1</v>
      </c>
      <c r="CQ103">
        <v>3.4</v>
      </c>
      <c r="CR103" s="3">
        <f t="shared" si="62"/>
        <v>0.323529411764706</v>
      </c>
    </row>
    <row r="104" spans="2:96">
      <c r="B104" s="1">
        <v>46587</v>
      </c>
      <c r="C104">
        <v>32416</v>
      </c>
      <c r="D104" s="2">
        <f t="shared" si="63"/>
        <v>14171</v>
      </c>
      <c r="E104">
        <v>31904</v>
      </c>
      <c r="F104" s="3">
        <f t="shared" si="32"/>
        <v>0.44417627883651</v>
      </c>
      <c r="H104" s="1">
        <v>45977.2254542</v>
      </c>
      <c r="I104">
        <v>31145</v>
      </c>
      <c r="J104" s="2">
        <f t="shared" si="33"/>
        <v>14832.2254542</v>
      </c>
      <c r="K104">
        <v>32760</v>
      </c>
      <c r="L104" s="3">
        <f t="shared" si="34"/>
        <v>0.45275413474359</v>
      </c>
      <c r="N104" s="4">
        <v>250.422859552381</v>
      </c>
      <c r="O104">
        <v>201.27</v>
      </c>
      <c r="P104" s="5">
        <f t="shared" si="35"/>
        <v>49.152859552381</v>
      </c>
      <c r="Q104">
        <v>79.69</v>
      </c>
      <c r="R104" s="3">
        <f t="shared" si="36"/>
        <v>0.616800847689559</v>
      </c>
      <c r="T104" s="4">
        <v>169.714284990476</v>
      </c>
      <c r="U104">
        <v>100.23</v>
      </c>
      <c r="V104" s="5">
        <f t="shared" si="37"/>
        <v>69.484284990476</v>
      </c>
      <c r="W104">
        <v>410.93</v>
      </c>
      <c r="X104" s="3">
        <f t="shared" si="38"/>
        <v>0.169090319495963</v>
      </c>
      <c r="Z104" s="4">
        <v>26.43</v>
      </c>
      <c r="AA104">
        <v>13.25</v>
      </c>
      <c r="AB104" s="5">
        <f t="shared" si="39"/>
        <v>13.18</v>
      </c>
      <c r="AC104">
        <v>33.93</v>
      </c>
      <c r="AD104" s="3">
        <f t="shared" si="40"/>
        <v>0.388446802239906</v>
      </c>
      <c r="AF104" s="4">
        <v>3.97183385827587</v>
      </c>
      <c r="AG104">
        <v>2.09</v>
      </c>
      <c r="AH104" s="5">
        <f t="shared" si="41"/>
        <v>1.88183385827587</v>
      </c>
      <c r="AI104">
        <v>3.85</v>
      </c>
      <c r="AJ104" s="3">
        <f t="shared" si="42"/>
        <v>0.48878801513659</v>
      </c>
      <c r="AL104" s="4">
        <v>6.32642500833333</v>
      </c>
      <c r="AM104">
        <v>6.1</v>
      </c>
      <c r="AN104" s="5">
        <f t="shared" si="43"/>
        <v>0.22642500833333</v>
      </c>
      <c r="AO104">
        <v>1.89</v>
      </c>
      <c r="AP104" s="3">
        <f t="shared" si="44"/>
        <v>0.119801591710757</v>
      </c>
      <c r="AR104" s="4">
        <v>0.0957142857142857</v>
      </c>
      <c r="AS104">
        <v>0.02</v>
      </c>
      <c r="AT104" s="5">
        <f t="shared" si="45"/>
        <v>0.0757142857142857</v>
      </c>
      <c r="AU104">
        <v>2.84</v>
      </c>
      <c r="AV104" s="3">
        <f t="shared" si="46"/>
        <v>0.0266599597585513</v>
      </c>
      <c r="AX104" s="4">
        <v>8.03276188571429</v>
      </c>
      <c r="AY104">
        <v>3.44</v>
      </c>
      <c r="AZ104" s="5">
        <f t="shared" si="47"/>
        <v>4.59276188571429</v>
      </c>
      <c r="BA104">
        <v>29.17</v>
      </c>
      <c r="BB104" s="3">
        <f t="shared" si="48"/>
        <v>0.157448127724179</v>
      </c>
      <c r="BD104" s="4">
        <v>2.25380954761905</v>
      </c>
      <c r="BE104">
        <v>0.17</v>
      </c>
      <c r="BF104" s="5">
        <f t="shared" si="49"/>
        <v>2.08380954761905</v>
      </c>
      <c r="BG104">
        <v>4</v>
      </c>
      <c r="BH104" s="3">
        <f t="shared" si="50"/>
        <v>0.520952386904763</v>
      </c>
      <c r="BJ104" s="9">
        <v>9.20291660833333</v>
      </c>
      <c r="BK104">
        <v>4.8</v>
      </c>
      <c r="BL104" s="5">
        <f t="shared" si="51"/>
        <v>4.40291660833333</v>
      </c>
      <c r="BM104">
        <v>8.9</v>
      </c>
      <c r="BN104" s="3">
        <f t="shared" si="52"/>
        <v>0.494709731273408</v>
      </c>
      <c r="BP104" s="9">
        <v>0.130057142857143</v>
      </c>
      <c r="BQ104">
        <v>0.09</v>
      </c>
      <c r="BR104" s="5">
        <f t="shared" si="53"/>
        <v>0.040057142857143</v>
      </c>
      <c r="BS104">
        <v>0.43</v>
      </c>
      <c r="BT104" s="3">
        <f t="shared" si="54"/>
        <v>0.0931561461794024</v>
      </c>
      <c r="BV104" s="4">
        <v>6.4814666047619</v>
      </c>
      <c r="BW104">
        <v>6.18</v>
      </c>
      <c r="BX104" s="5">
        <f t="shared" si="55"/>
        <v>0.301466604761901</v>
      </c>
      <c r="BY104">
        <v>1.68</v>
      </c>
      <c r="BZ104" s="3">
        <f t="shared" si="56"/>
        <v>0.179444407596369</v>
      </c>
      <c r="CB104" s="10">
        <v>121.4</v>
      </c>
      <c r="CC104">
        <v>54.3</v>
      </c>
      <c r="CD104" s="12">
        <f t="shared" si="57"/>
        <v>67.1</v>
      </c>
      <c r="CE104">
        <v>71.3</v>
      </c>
      <c r="CF104" s="3">
        <f t="shared" si="58"/>
        <v>0.94109396914446</v>
      </c>
      <c r="CH104" s="13">
        <v>28.4</v>
      </c>
      <c r="CI104">
        <v>22.6</v>
      </c>
      <c r="CJ104">
        <f t="shared" si="59"/>
        <v>5.8</v>
      </c>
      <c r="CK104">
        <v>25.1</v>
      </c>
      <c r="CL104">
        <f t="shared" si="60"/>
        <v>0.231075697211155</v>
      </c>
      <c r="CN104" s="10">
        <v>4.6</v>
      </c>
      <c r="CO104">
        <v>3</v>
      </c>
      <c r="CP104" s="12">
        <f t="shared" si="61"/>
        <v>1.6</v>
      </c>
      <c r="CQ104">
        <v>3.4</v>
      </c>
      <c r="CR104" s="3">
        <f t="shared" si="62"/>
        <v>0.470588235294118</v>
      </c>
    </row>
    <row r="105" spans="2:96">
      <c r="B105" s="1">
        <v>45398</v>
      </c>
      <c r="C105">
        <v>32416</v>
      </c>
      <c r="D105" s="2">
        <f t="shared" si="63"/>
        <v>12982</v>
      </c>
      <c r="E105">
        <v>31904</v>
      </c>
      <c r="F105" s="3">
        <f t="shared" si="32"/>
        <v>0.406908224674022</v>
      </c>
      <c r="H105" s="1">
        <v>44737.5865199</v>
      </c>
      <c r="I105">
        <v>31145</v>
      </c>
      <c r="J105" s="2">
        <f t="shared" si="33"/>
        <v>13592.5865199</v>
      </c>
      <c r="K105">
        <v>32760</v>
      </c>
      <c r="L105" s="3">
        <f t="shared" si="34"/>
        <v>0.414914118434066</v>
      </c>
      <c r="N105" s="4">
        <v>259.9833348625</v>
      </c>
      <c r="O105">
        <v>201.27</v>
      </c>
      <c r="P105" s="5">
        <f t="shared" si="35"/>
        <v>58.7133348625</v>
      </c>
      <c r="Q105">
        <v>79.69</v>
      </c>
      <c r="R105" s="3">
        <f t="shared" si="36"/>
        <v>0.73677167602585</v>
      </c>
      <c r="T105" s="4">
        <v>150.358334554167</v>
      </c>
      <c r="U105">
        <v>100.23</v>
      </c>
      <c r="V105" s="5">
        <f t="shared" si="37"/>
        <v>50.128334554167</v>
      </c>
      <c r="W105">
        <v>410.93</v>
      </c>
      <c r="X105" s="3">
        <f t="shared" si="38"/>
        <v>0.121987527204553</v>
      </c>
      <c r="Z105" s="4">
        <v>27.91</v>
      </c>
      <c r="AA105">
        <v>13.25</v>
      </c>
      <c r="AB105" s="5">
        <f t="shared" si="39"/>
        <v>14.66</v>
      </c>
      <c r="AC105">
        <v>33.93</v>
      </c>
      <c r="AD105" s="3">
        <f t="shared" si="40"/>
        <v>0.432066018272915</v>
      </c>
      <c r="AF105" s="4">
        <v>3.58879218718159</v>
      </c>
      <c r="AG105">
        <v>2.09</v>
      </c>
      <c r="AH105" s="5">
        <f t="shared" si="41"/>
        <v>1.49879218718159</v>
      </c>
      <c r="AI105">
        <v>3.85</v>
      </c>
      <c r="AJ105" s="3">
        <f t="shared" si="42"/>
        <v>0.389296671995218</v>
      </c>
      <c r="AL105" s="4">
        <v>6.2786499875</v>
      </c>
      <c r="AM105">
        <v>6.1</v>
      </c>
      <c r="AN105" s="5">
        <f t="shared" si="43"/>
        <v>0.1786499875</v>
      </c>
      <c r="AO105">
        <v>1.89</v>
      </c>
      <c r="AP105" s="3">
        <f t="shared" si="44"/>
        <v>0.0945238029100529</v>
      </c>
      <c r="AR105" s="4">
        <v>0.09125</v>
      </c>
      <c r="AS105">
        <v>0.02</v>
      </c>
      <c r="AT105" s="5">
        <f t="shared" si="45"/>
        <v>0.07125</v>
      </c>
      <c r="AU105">
        <v>2.84</v>
      </c>
      <c r="AV105" s="3">
        <f t="shared" si="46"/>
        <v>0.0250880281690141</v>
      </c>
      <c r="AX105" s="4">
        <v>9.00380000833333</v>
      </c>
      <c r="AY105">
        <v>3.44</v>
      </c>
      <c r="AZ105" s="5">
        <f t="shared" si="47"/>
        <v>5.56380000833333</v>
      </c>
      <c r="BA105">
        <v>29.17</v>
      </c>
      <c r="BB105" s="3">
        <f t="shared" si="48"/>
        <v>0.190737058907553</v>
      </c>
      <c r="BD105" s="4">
        <v>1.18125</v>
      </c>
      <c r="BE105">
        <v>0.17</v>
      </c>
      <c r="BF105" s="5">
        <f t="shared" si="49"/>
        <v>1.01125</v>
      </c>
      <c r="BG105">
        <v>4</v>
      </c>
      <c r="BH105" s="3">
        <f t="shared" si="50"/>
        <v>0.2528125</v>
      </c>
      <c r="BJ105" s="9">
        <v>9.77924997083334</v>
      </c>
      <c r="BK105">
        <v>4.8</v>
      </c>
      <c r="BL105" s="5">
        <f t="shared" si="51"/>
        <v>4.97924997083334</v>
      </c>
      <c r="BM105">
        <v>8.9</v>
      </c>
      <c r="BN105" s="3">
        <f t="shared" si="52"/>
        <v>0.559466288857679</v>
      </c>
      <c r="BP105" s="9">
        <v>0.125058333333333</v>
      </c>
      <c r="BQ105">
        <v>0.09</v>
      </c>
      <c r="BR105" s="5">
        <f t="shared" si="53"/>
        <v>0.035058333333333</v>
      </c>
      <c r="BS105">
        <v>0.43</v>
      </c>
      <c r="BT105" s="3">
        <f t="shared" si="54"/>
        <v>0.0815310077519372</v>
      </c>
      <c r="BV105" s="4">
        <v>6.47569998333333</v>
      </c>
      <c r="BW105">
        <v>6.18</v>
      </c>
      <c r="BX105" s="5">
        <f t="shared" si="55"/>
        <v>0.29569998333333</v>
      </c>
      <c r="BY105">
        <v>1.68</v>
      </c>
      <c r="BZ105" s="3">
        <f t="shared" si="56"/>
        <v>0.176011894841268</v>
      </c>
      <c r="CB105" s="10">
        <v>122.2</v>
      </c>
      <c r="CC105">
        <v>54.3</v>
      </c>
      <c r="CD105" s="12">
        <f t="shared" si="57"/>
        <v>67.9</v>
      </c>
      <c r="CE105">
        <v>71.3</v>
      </c>
      <c r="CF105" s="3">
        <f t="shared" si="58"/>
        <v>0.952314165497896</v>
      </c>
      <c r="CH105" s="13">
        <v>32.4</v>
      </c>
      <c r="CI105">
        <v>22.6</v>
      </c>
      <c r="CJ105">
        <f t="shared" si="59"/>
        <v>9.8</v>
      </c>
      <c r="CK105">
        <v>25.1</v>
      </c>
      <c r="CL105">
        <f t="shared" si="60"/>
        <v>0.390438247011952</v>
      </c>
      <c r="CN105" s="10">
        <v>4.2</v>
      </c>
      <c r="CO105">
        <v>3</v>
      </c>
      <c r="CP105" s="12">
        <f t="shared" si="61"/>
        <v>1.2</v>
      </c>
      <c r="CQ105">
        <v>3.4</v>
      </c>
      <c r="CR105" s="3">
        <f t="shared" si="62"/>
        <v>0.352941176470588</v>
      </c>
    </row>
    <row r="106" spans="2:96">
      <c r="B106" s="1">
        <v>51365</v>
      </c>
      <c r="C106">
        <v>32416</v>
      </c>
      <c r="D106" s="2">
        <f t="shared" si="63"/>
        <v>18949</v>
      </c>
      <c r="E106">
        <v>31904</v>
      </c>
      <c r="F106" s="3">
        <f t="shared" si="32"/>
        <v>0.593938064192578</v>
      </c>
      <c r="H106" s="1">
        <v>51124.5310298</v>
      </c>
      <c r="I106">
        <v>31145</v>
      </c>
      <c r="J106" s="2">
        <f t="shared" si="33"/>
        <v>19979.5310298</v>
      </c>
      <c r="K106">
        <v>32760</v>
      </c>
      <c r="L106" s="3">
        <f t="shared" si="34"/>
        <v>0.609875794560439</v>
      </c>
      <c r="N106" s="4">
        <v>255.930004125</v>
      </c>
      <c r="O106">
        <v>201.27</v>
      </c>
      <c r="P106" s="5">
        <f t="shared" si="35"/>
        <v>54.660004125</v>
      </c>
      <c r="Q106">
        <v>79.69</v>
      </c>
      <c r="R106" s="3">
        <f t="shared" si="36"/>
        <v>0.685907944848789</v>
      </c>
      <c r="T106" s="4">
        <v>150.416666666667</v>
      </c>
      <c r="U106">
        <v>100.23</v>
      </c>
      <c r="V106" s="5">
        <f t="shared" si="37"/>
        <v>50.186666666667</v>
      </c>
      <c r="W106">
        <v>410.93</v>
      </c>
      <c r="X106" s="3">
        <f t="shared" si="38"/>
        <v>0.122129478662222</v>
      </c>
      <c r="Z106" s="4">
        <v>28.63</v>
      </c>
      <c r="AA106">
        <v>13.25</v>
      </c>
      <c r="AB106" s="5">
        <f t="shared" si="39"/>
        <v>15.38</v>
      </c>
      <c r="AC106">
        <v>33.93</v>
      </c>
      <c r="AD106" s="3">
        <f t="shared" si="40"/>
        <v>0.453286177424108</v>
      </c>
      <c r="AF106" s="4">
        <v>3.38014836053572</v>
      </c>
      <c r="AG106">
        <v>2.09</v>
      </c>
      <c r="AH106" s="5">
        <f t="shared" si="41"/>
        <v>1.29014836053572</v>
      </c>
      <c r="AI106">
        <v>3.85</v>
      </c>
      <c r="AJ106" s="3">
        <f t="shared" si="42"/>
        <v>0.335103470269018</v>
      </c>
      <c r="AL106" s="4">
        <v>6.22924164583333</v>
      </c>
      <c r="AM106">
        <v>6.1</v>
      </c>
      <c r="AN106" s="5">
        <f t="shared" si="43"/>
        <v>0.12924164583333</v>
      </c>
      <c r="AO106">
        <v>1.89</v>
      </c>
      <c r="AP106" s="3">
        <f t="shared" si="44"/>
        <v>0.0683818231922383</v>
      </c>
      <c r="AR106" s="4">
        <v>0.0977083333333333</v>
      </c>
      <c r="AS106">
        <v>0.02</v>
      </c>
      <c r="AT106" s="5">
        <f t="shared" si="45"/>
        <v>0.0777083333333333</v>
      </c>
      <c r="AU106">
        <v>2.84</v>
      </c>
      <c r="AV106" s="3">
        <f t="shared" si="46"/>
        <v>0.0273620892018779</v>
      </c>
      <c r="AX106" s="4">
        <v>9.93113335833333</v>
      </c>
      <c r="AY106">
        <v>3.44</v>
      </c>
      <c r="AZ106" s="5">
        <f t="shared" si="47"/>
        <v>6.49113335833333</v>
      </c>
      <c r="BA106">
        <v>29.17</v>
      </c>
      <c r="BB106" s="3">
        <f t="shared" si="48"/>
        <v>0.222527711975774</v>
      </c>
      <c r="BD106" s="4">
        <v>0.742833333333333</v>
      </c>
      <c r="BE106">
        <v>0.17</v>
      </c>
      <c r="BF106" s="5">
        <f t="shared" si="49"/>
        <v>0.572833333333333</v>
      </c>
      <c r="BG106">
        <v>4</v>
      </c>
      <c r="BH106" s="3">
        <f t="shared" si="50"/>
        <v>0.143208333333333</v>
      </c>
      <c r="BJ106" s="9">
        <v>10.0030000166667</v>
      </c>
      <c r="BK106">
        <v>4.8</v>
      </c>
      <c r="BL106" s="5">
        <f t="shared" si="51"/>
        <v>5.2030000166667</v>
      </c>
      <c r="BM106">
        <v>8.9</v>
      </c>
      <c r="BN106" s="3">
        <f t="shared" si="52"/>
        <v>0.584606743445697</v>
      </c>
      <c r="BP106" s="9">
        <v>0.171533333333333</v>
      </c>
      <c r="BQ106">
        <v>0.09</v>
      </c>
      <c r="BR106" s="5">
        <f t="shared" si="53"/>
        <v>0.081533333333333</v>
      </c>
      <c r="BS106">
        <v>0.43</v>
      </c>
      <c r="BT106" s="3">
        <f t="shared" si="54"/>
        <v>0.189612403100774</v>
      </c>
      <c r="BV106" s="4">
        <v>6.47208328333333</v>
      </c>
      <c r="BW106">
        <v>6.18</v>
      </c>
      <c r="BX106" s="5">
        <f t="shared" si="55"/>
        <v>0.29208328333333</v>
      </c>
      <c r="BY106">
        <v>1.68</v>
      </c>
      <c r="BZ106" s="3">
        <f t="shared" si="56"/>
        <v>0.17385909722222</v>
      </c>
      <c r="CB106" s="10">
        <v>120.6</v>
      </c>
      <c r="CC106">
        <v>54.3</v>
      </c>
      <c r="CD106" s="12">
        <f t="shared" si="57"/>
        <v>66.3</v>
      </c>
      <c r="CE106">
        <v>71.3</v>
      </c>
      <c r="CF106" s="3">
        <f t="shared" si="58"/>
        <v>0.929873772791024</v>
      </c>
      <c r="CH106" s="13">
        <v>30.8</v>
      </c>
      <c r="CI106">
        <v>22.6</v>
      </c>
      <c r="CJ106">
        <f t="shared" si="59"/>
        <v>8.2</v>
      </c>
      <c r="CK106">
        <v>25.1</v>
      </c>
      <c r="CL106">
        <f t="shared" si="60"/>
        <v>0.326693227091633</v>
      </c>
      <c r="CN106" s="11">
        <v>4.8</v>
      </c>
      <c r="CO106">
        <v>3</v>
      </c>
      <c r="CP106" s="12">
        <f t="shared" si="61"/>
        <v>1.8</v>
      </c>
      <c r="CQ106">
        <v>3.4</v>
      </c>
      <c r="CR106" s="3">
        <f t="shared" si="62"/>
        <v>0.529411764705882</v>
      </c>
    </row>
    <row r="107" spans="2:96">
      <c r="B107" s="1">
        <v>51246</v>
      </c>
      <c r="C107">
        <v>32416</v>
      </c>
      <c r="D107" s="2">
        <f t="shared" si="63"/>
        <v>18830</v>
      </c>
      <c r="E107">
        <v>31904</v>
      </c>
      <c r="F107" s="3">
        <f t="shared" si="32"/>
        <v>0.590208124373119</v>
      </c>
      <c r="H107" s="1">
        <v>51122.407514</v>
      </c>
      <c r="I107">
        <v>31145</v>
      </c>
      <c r="J107" s="2">
        <f t="shared" si="33"/>
        <v>19977.407514</v>
      </c>
      <c r="K107">
        <v>32760</v>
      </c>
      <c r="L107" s="3">
        <f t="shared" si="34"/>
        <v>0.609810974175824</v>
      </c>
      <c r="N107" s="4">
        <v>257.750000004167</v>
      </c>
      <c r="O107">
        <v>201.27</v>
      </c>
      <c r="P107" s="5">
        <f t="shared" si="35"/>
        <v>56.480000004167</v>
      </c>
      <c r="Q107">
        <v>79.69</v>
      </c>
      <c r="R107" s="3">
        <f t="shared" si="36"/>
        <v>0.708746392322337</v>
      </c>
      <c r="T107" s="4">
        <v>166.216666533333</v>
      </c>
      <c r="U107">
        <v>100.23</v>
      </c>
      <c r="V107" s="5">
        <f t="shared" si="37"/>
        <v>65.986666533333</v>
      </c>
      <c r="W107">
        <v>410.93</v>
      </c>
      <c r="X107" s="3">
        <f t="shared" si="38"/>
        <v>0.160578849276843</v>
      </c>
      <c r="Z107" s="4">
        <v>27.3</v>
      </c>
      <c r="AA107">
        <v>13.25</v>
      </c>
      <c r="AB107" s="5">
        <f t="shared" si="39"/>
        <v>14.05</v>
      </c>
      <c r="AC107">
        <v>33.93</v>
      </c>
      <c r="AD107" s="3">
        <f t="shared" si="40"/>
        <v>0.414087827880931</v>
      </c>
      <c r="AF107" s="4">
        <v>3.50268362274257</v>
      </c>
      <c r="AG107">
        <v>2.09</v>
      </c>
      <c r="AH107" s="5">
        <f t="shared" si="41"/>
        <v>1.41268362274257</v>
      </c>
      <c r="AI107">
        <v>3.85</v>
      </c>
      <c r="AJ107" s="3">
        <f t="shared" si="42"/>
        <v>0.366930811101966</v>
      </c>
      <c r="AL107" s="4">
        <v>6.25794164583333</v>
      </c>
      <c r="AM107">
        <v>6.1</v>
      </c>
      <c r="AN107" s="5">
        <f t="shared" si="43"/>
        <v>0.15794164583333</v>
      </c>
      <c r="AO107">
        <v>1.89</v>
      </c>
      <c r="AP107" s="3">
        <f t="shared" si="44"/>
        <v>0.0835670083774233</v>
      </c>
      <c r="AR107" s="4">
        <v>0.0914583333333333</v>
      </c>
      <c r="AS107">
        <v>0.02</v>
      </c>
      <c r="AT107" s="5">
        <f t="shared" si="45"/>
        <v>0.0714583333333333</v>
      </c>
      <c r="AU107">
        <v>2.84</v>
      </c>
      <c r="AV107" s="3">
        <f t="shared" si="46"/>
        <v>0.0251613849765258</v>
      </c>
      <c r="AX107" s="4">
        <v>10.3532000416667</v>
      </c>
      <c r="AY107">
        <v>3.44</v>
      </c>
      <c r="AZ107" s="5">
        <f t="shared" si="47"/>
        <v>6.9132000416667</v>
      </c>
      <c r="BA107">
        <v>29.17</v>
      </c>
      <c r="BB107" s="3">
        <f t="shared" si="48"/>
        <v>0.236996916066736</v>
      </c>
      <c r="BD107" s="4">
        <v>1.13691665833333</v>
      </c>
      <c r="BE107">
        <v>0.17</v>
      </c>
      <c r="BF107" s="5">
        <f t="shared" si="49"/>
        <v>0.96691665833333</v>
      </c>
      <c r="BG107">
        <v>4</v>
      </c>
      <c r="BH107" s="3">
        <f t="shared" si="50"/>
        <v>0.241729164583333</v>
      </c>
      <c r="BJ107" s="9">
        <v>9.80375007916667</v>
      </c>
      <c r="BK107">
        <v>4.8</v>
      </c>
      <c r="BL107" s="5">
        <f t="shared" si="51"/>
        <v>5.00375007916667</v>
      </c>
      <c r="BM107">
        <v>8.9</v>
      </c>
      <c r="BN107" s="3">
        <f t="shared" si="52"/>
        <v>0.562219110018727</v>
      </c>
      <c r="BP107" s="9">
        <v>0.274416666666666</v>
      </c>
      <c r="BQ107">
        <v>0.09</v>
      </c>
      <c r="BR107" s="5">
        <f t="shared" si="53"/>
        <v>0.184416666666666</v>
      </c>
      <c r="BS107">
        <v>0.43</v>
      </c>
      <c r="BT107" s="3">
        <f t="shared" si="54"/>
        <v>0.428875968992246</v>
      </c>
      <c r="BV107" s="4">
        <v>6.47360005416667</v>
      </c>
      <c r="BW107">
        <v>6.18</v>
      </c>
      <c r="BX107" s="5">
        <f t="shared" si="55"/>
        <v>0.29360005416667</v>
      </c>
      <c r="BY107">
        <v>1.68</v>
      </c>
      <c r="BZ107" s="3">
        <f t="shared" si="56"/>
        <v>0.17476193700397</v>
      </c>
      <c r="CB107" s="10">
        <v>119.47</v>
      </c>
      <c r="CC107">
        <v>54.3</v>
      </c>
      <c r="CD107" s="12">
        <f t="shared" si="57"/>
        <v>65.17</v>
      </c>
      <c r="CE107">
        <v>71.3</v>
      </c>
      <c r="CF107" s="3">
        <f t="shared" si="58"/>
        <v>0.914025245441795</v>
      </c>
      <c r="CH107" s="14">
        <v>32.54</v>
      </c>
      <c r="CI107">
        <v>22.6</v>
      </c>
      <c r="CJ107">
        <f t="shared" si="59"/>
        <v>9.94</v>
      </c>
      <c r="CK107">
        <v>25.1</v>
      </c>
      <c r="CL107">
        <f t="shared" si="60"/>
        <v>0.39601593625498</v>
      </c>
      <c r="CN107" s="10">
        <v>4.7</v>
      </c>
      <c r="CO107">
        <v>3</v>
      </c>
      <c r="CP107" s="12">
        <f t="shared" si="61"/>
        <v>1.7</v>
      </c>
      <c r="CQ107">
        <v>3.4</v>
      </c>
      <c r="CR107" s="3">
        <f t="shared" si="62"/>
        <v>0.5</v>
      </c>
    </row>
    <row r="108" spans="2:96">
      <c r="B108" s="1">
        <v>50247</v>
      </c>
      <c r="C108">
        <v>32416</v>
      </c>
      <c r="D108" s="2">
        <f t="shared" si="63"/>
        <v>17831</v>
      </c>
      <c r="E108">
        <v>31904</v>
      </c>
      <c r="F108" s="3">
        <f t="shared" si="32"/>
        <v>0.558895436308927</v>
      </c>
      <c r="H108" s="1">
        <v>49767</v>
      </c>
      <c r="I108">
        <v>31145</v>
      </c>
      <c r="J108" s="2">
        <f t="shared" si="33"/>
        <v>18622</v>
      </c>
      <c r="K108">
        <v>32760</v>
      </c>
      <c r="L108" s="3">
        <f t="shared" si="34"/>
        <v>0.568437118437118</v>
      </c>
      <c r="N108" s="4">
        <v>280.899996429167</v>
      </c>
      <c r="O108">
        <v>201.27</v>
      </c>
      <c r="P108" s="5">
        <f t="shared" si="35"/>
        <v>79.629996429167</v>
      </c>
      <c r="Q108">
        <v>79.69</v>
      </c>
      <c r="R108" s="3">
        <f t="shared" si="36"/>
        <v>0.999247037635425</v>
      </c>
      <c r="T108" s="4">
        <v>164.524998341667</v>
      </c>
      <c r="U108">
        <v>100.23</v>
      </c>
      <c r="V108" s="5">
        <f t="shared" si="37"/>
        <v>64.294998341667</v>
      </c>
      <c r="W108">
        <v>410.93</v>
      </c>
      <c r="X108" s="3">
        <f t="shared" si="38"/>
        <v>0.156462167137145</v>
      </c>
      <c r="Z108" s="4">
        <v>24.93</v>
      </c>
      <c r="AA108">
        <v>13.25</v>
      </c>
      <c r="AB108" s="5">
        <f t="shared" si="39"/>
        <v>11.68</v>
      </c>
      <c r="AC108">
        <v>33.93</v>
      </c>
      <c r="AD108" s="3">
        <f t="shared" si="40"/>
        <v>0.344238137341586</v>
      </c>
      <c r="AF108" s="4">
        <v>4.12285556000486</v>
      </c>
      <c r="AG108">
        <v>2.09</v>
      </c>
      <c r="AH108" s="5">
        <f t="shared" si="41"/>
        <v>2.03285556000486</v>
      </c>
      <c r="AI108">
        <v>3.85</v>
      </c>
      <c r="AJ108" s="3">
        <f t="shared" si="42"/>
        <v>0.528014431170094</v>
      </c>
      <c r="AL108" s="4">
        <v>6.35430834583333</v>
      </c>
      <c r="AM108">
        <v>6.1</v>
      </c>
      <c r="AN108" s="5">
        <f t="shared" si="43"/>
        <v>0.25430834583333</v>
      </c>
      <c r="AO108">
        <v>1.89</v>
      </c>
      <c r="AP108" s="3">
        <f t="shared" si="44"/>
        <v>0.134554680335095</v>
      </c>
      <c r="AR108" s="4">
        <v>0.0854166666666667</v>
      </c>
      <c r="AS108">
        <v>0.02</v>
      </c>
      <c r="AT108" s="5">
        <f t="shared" si="45"/>
        <v>0.0654166666666667</v>
      </c>
      <c r="AU108">
        <v>2.84</v>
      </c>
      <c r="AV108" s="3">
        <f t="shared" si="46"/>
        <v>0.0230340375586855</v>
      </c>
      <c r="AX108" s="4">
        <v>5.91586673333333</v>
      </c>
      <c r="AY108">
        <v>3.44</v>
      </c>
      <c r="AZ108" s="5">
        <f t="shared" si="47"/>
        <v>2.47586673333333</v>
      </c>
      <c r="BA108">
        <v>29.17</v>
      </c>
      <c r="BB108" s="3">
        <f t="shared" si="48"/>
        <v>0.0848771591818077</v>
      </c>
      <c r="BD108" s="4">
        <v>0.887000008333333</v>
      </c>
      <c r="BE108">
        <v>0.17</v>
      </c>
      <c r="BF108" s="5">
        <f t="shared" si="49"/>
        <v>0.717000008333333</v>
      </c>
      <c r="BG108">
        <v>4</v>
      </c>
      <c r="BH108" s="3">
        <f t="shared" si="50"/>
        <v>0.179250002083333</v>
      </c>
      <c r="BJ108" s="9">
        <v>9.77733329166667</v>
      </c>
      <c r="BK108">
        <v>4.8</v>
      </c>
      <c r="BL108" s="5">
        <f t="shared" si="51"/>
        <v>4.97733329166667</v>
      </c>
      <c r="BM108">
        <v>8.9</v>
      </c>
      <c r="BN108" s="3">
        <f t="shared" si="52"/>
        <v>0.55925093164794</v>
      </c>
      <c r="BP108" s="9">
        <v>0.150808333333333</v>
      </c>
      <c r="BQ108">
        <v>0.09</v>
      </c>
      <c r="BR108" s="5">
        <f t="shared" si="53"/>
        <v>0.060808333333333</v>
      </c>
      <c r="BS108">
        <v>0.43</v>
      </c>
      <c r="BT108" s="3">
        <f t="shared" si="54"/>
        <v>0.14141472868217</v>
      </c>
      <c r="BV108" s="4">
        <v>6.42092506666667</v>
      </c>
      <c r="BW108">
        <v>6.18</v>
      </c>
      <c r="BX108" s="5">
        <f t="shared" si="55"/>
        <v>0.24092506666667</v>
      </c>
      <c r="BY108">
        <v>1.68</v>
      </c>
      <c r="BZ108" s="3">
        <f t="shared" si="56"/>
        <v>0.14340777777778</v>
      </c>
      <c r="CB108" s="10">
        <v>118.3</v>
      </c>
      <c r="CC108">
        <v>54.3</v>
      </c>
      <c r="CD108" s="12">
        <f t="shared" si="57"/>
        <v>64</v>
      </c>
      <c r="CE108">
        <v>71.3</v>
      </c>
      <c r="CF108" s="3">
        <f t="shared" si="58"/>
        <v>0.897615708274895</v>
      </c>
      <c r="CH108" s="13">
        <v>29.4</v>
      </c>
      <c r="CI108">
        <v>22.6</v>
      </c>
      <c r="CJ108">
        <f t="shared" si="59"/>
        <v>6.8</v>
      </c>
      <c r="CK108">
        <v>25.1</v>
      </c>
      <c r="CL108">
        <f t="shared" si="60"/>
        <v>0.270916334661354</v>
      </c>
      <c r="CN108" s="10">
        <v>4.4</v>
      </c>
      <c r="CO108">
        <v>3</v>
      </c>
      <c r="CP108" s="12">
        <f t="shared" si="61"/>
        <v>1.4</v>
      </c>
      <c r="CQ108">
        <v>3.4</v>
      </c>
      <c r="CR108" s="3">
        <f t="shared" si="62"/>
        <v>0.411764705882353</v>
      </c>
    </row>
    <row r="109" spans="2:96">
      <c r="B109" s="1">
        <v>47659</v>
      </c>
      <c r="C109">
        <v>32416</v>
      </c>
      <c r="D109" s="2">
        <f t="shared" si="63"/>
        <v>15243</v>
      </c>
      <c r="E109">
        <v>31904</v>
      </c>
      <c r="F109" s="3">
        <f t="shared" si="32"/>
        <v>0.477777081243731</v>
      </c>
      <c r="H109" s="1">
        <v>47076.4606723</v>
      </c>
      <c r="I109">
        <v>31145</v>
      </c>
      <c r="J109" s="2">
        <f t="shared" si="33"/>
        <v>15931.4606723</v>
      </c>
      <c r="K109">
        <v>32760</v>
      </c>
      <c r="L109" s="3">
        <f t="shared" si="34"/>
        <v>0.486308323330281</v>
      </c>
      <c r="N109" s="4">
        <v>269.306671779167</v>
      </c>
      <c r="O109">
        <v>201.27</v>
      </c>
      <c r="P109" s="5">
        <f t="shared" si="35"/>
        <v>68.036671779167</v>
      </c>
      <c r="Q109">
        <v>79.69</v>
      </c>
      <c r="R109" s="3">
        <f t="shared" si="36"/>
        <v>0.853766743370147</v>
      </c>
      <c r="T109" s="4">
        <v>152.791666666667</v>
      </c>
      <c r="U109">
        <v>100.23</v>
      </c>
      <c r="V109" s="5">
        <f t="shared" si="37"/>
        <v>52.561666666667</v>
      </c>
      <c r="W109">
        <v>410.93</v>
      </c>
      <c r="X109" s="3">
        <f t="shared" si="38"/>
        <v>0.127909051825535</v>
      </c>
      <c r="Z109" s="4">
        <v>26.69</v>
      </c>
      <c r="AA109">
        <v>13.25</v>
      </c>
      <c r="AB109" s="5">
        <f t="shared" si="39"/>
        <v>13.44</v>
      </c>
      <c r="AC109">
        <v>33.93</v>
      </c>
      <c r="AD109" s="3">
        <f t="shared" si="40"/>
        <v>0.396109637488948</v>
      </c>
      <c r="AF109" s="4">
        <v>3.50520624973322</v>
      </c>
      <c r="AG109">
        <v>2.09</v>
      </c>
      <c r="AH109" s="5">
        <f t="shared" si="41"/>
        <v>1.41520624973322</v>
      </c>
      <c r="AI109">
        <v>3.85</v>
      </c>
      <c r="AJ109" s="3">
        <f t="shared" si="42"/>
        <v>0.367586038891746</v>
      </c>
      <c r="AL109" s="4">
        <v>6.32164177916667</v>
      </c>
      <c r="AM109">
        <v>6.1</v>
      </c>
      <c r="AN109" s="5">
        <f t="shared" si="43"/>
        <v>0.221641779166671</v>
      </c>
      <c r="AO109">
        <v>1.89</v>
      </c>
      <c r="AP109" s="3">
        <f t="shared" si="44"/>
        <v>0.117270782627868</v>
      </c>
      <c r="AR109" s="4">
        <v>0.0883333333333333</v>
      </c>
      <c r="AS109">
        <v>0.02</v>
      </c>
      <c r="AT109" s="5">
        <f t="shared" si="45"/>
        <v>0.0683333333333333</v>
      </c>
      <c r="AU109">
        <v>2.84</v>
      </c>
      <c r="AV109" s="3">
        <f t="shared" si="46"/>
        <v>0.0240610328638498</v>
      </c>
      <c r="AX109" s="4">
        <v>4.3133999875</v>
      </c>
      <c r="AY109">
        <v>3.44</v>
      </c>
      <c r="AZ109" s="5">
        <f t="shared" si="47"/>
        <v>0.8733999875</v>
      </c>
      <c r="BA109">
        <v>29.17</v>
      </c>
      <c r="BB109" s="3">
        <f t="shared" si="48"/>
        <v>0.0299417205176551</v>
      </c>
      <c r="BD109" s="4">
        <v>0.477416670833333</v>
      </c>
      <c r="BE109">
        <v>0.17</v>
      </c>
      <c r="BF109" s="5">
        <f t="shared" si="49"/>
        <v>0.307416670833333</v>
      </c>
      <c r="BG109">
        <v>4</v>
      </c>
      <c r="BH109" s="3">
        <f t="shared" si="50"/>
        <v>0.0768541677083333</v>
      </c>
      <c r="BJ109" s="9">
        <v>9.9470001</v>
      </c>
      <c r="BK109">
        <v>4.8</v>
      </c>
      <c r="BL109" s="5">
        <f t="shared" si="51"/>
        <v>5.1470001</v>
      </c>
      <c r="BM109">
        <v>8.9</v>
      </c>
      <c r="BN109" s="3">
        <f t="shared" si="52"/>
        <v>0.578314617977528</v>
      </c>
      <c r="BP109" s="9">
        <v>0.148808333333333</v>
      </c>
      <c r="BQ109">
        <v>0.09</v>
      </c>
      <c r="BR109" s="5">
        <f t="shared" si="53"/>
        <v>0.058808333333333</v>
      </c>
      <c r="BS109">
        <v>0.43</v>
      </c>
      <c r="BT109" s="3">
        <f t="shared" si="54"/>
        <v>0.136763565891472</v>
      </c>
      <c r="BV109" s="4">
        <v>6.37419992916667</v>
      </c>
      <c r="BW109">
        <v>6.18</v>
      </c>
      <c r="BX109" s="5">
        <f t="shared" si="55"/>
        <v>0.19419992916667</v>
      </c>
      <c r="BY109">
        <v>1.68</v>
      </c>
      <c r="BZ109" s="3">
        <f t="shared" si="56"/>
        <v>0.115595195932542</v>
      </c>
      <c r="CB109" s="10">
        <v>118.2</v>
      </c>
      <c r="CC109">
        <v>54.3</v>
      </c>
      <c r="CD109" s="12">
        <f t="shared" si="57"/>
        <v>63.9</v>
      </c>
      <c r="CE109">
        <v>71.3</v>
      </c>
      <c r="CF109" s="3">
        <f t="shared" si="58"/>
        <v>0.896213183730715</v>
      </c>
      <c r="CH109" s="13">
        <v>33.9</v>
      </c>
      <c r="CI109">
        <v>22.6</v>
      </c>
      <c r="CJ109">
        <f t="shared" si="59"/>
        <v>11.3</v>
      </c>
      <c r="CK109">
        <v>25.1</v>
      </c>
      <c r="CL109">
        <f t="shared" si="60"/>
        <v>0.450199203187251</v>
      </c>
      <c r="CN109" s="10">
        <v>4.1</v>
      </c>
      <c r="CO109">
        <v>3</v>
      </c>
      <c r="CP109" s="12">
        <f t="shared" si="61"/>
        <v>1.1</v>
      </c>
      <c r="CQ109">
        <v>3.4</v>
      </c>
      <c r="CR109" s="3">
        <f t="shared" si="62"/>
        <v>0.323529411764706</v>
      </c>
    </row>
    <row r="110" spans="2:96">
      <c r="B110" s="1">
        <v>48578</v>
      </c>
      <c r="C110">
        <v>32416</v>
      </c>
      <c r="D110" s="2">
        <f t="shared" si="63"/>
        <v>16162</v>
      </c>
      <c r="E110">
        <v>31904</v>
      </c>
      <c r="F110" s="3">
        <f t="shared" si="32"/>
        <v>0.506582246740221</v>
      </c>
      <c r="H110" s="1">
        <v>48220.6312881</v>
      </c>
      <c r="I110">
        <v>31145</v>
      </c>
      <c r="J110" s="2">
        <f t="shared" si="33"/>
        <v>17075.6312881</v>
      </c>
      <c r="K110">
        <v>32760</v>
      </c>
      <c r="L110" s="3">
        <f t="shared" si="34"/>
        <v>0.521234166303419</v>
      </c>
      <c r="N110" s="4">
        <v>255.413332625</v>
      </c>
      <c r="O110">
        <v>201.27</v>
      </c>
      <c r="P110" s="5">
        <f t="shared" si="35"/>
        <v>54.143332625</v>
      </c>
      <c r="Q110">
        <v>79.69</v>
      </c>
      <c r="R110" s="3">
        <f t="shared" si="36"/>
        <v>0.679424427468942</v>
      </c>
      <c r="T110" s="4">
        <v>259.612500195833</v>
      </c>
      <c r="U110">
        <v>100.23</v>
      </c>
      <c r="V110" s="5">
        <f t="shared" si="37"/>
        <v>159.382500195833</v>
      </c>
      <c r="W110">
        <v>410.93</v>
      </c>
      <c r="X110" s="3">
        <f t="shared" si="38"/>
        <v>0.387858029824625</v>
      </c>
      <c r="Z110" s="4">
        <v>28.02</v>
      </c>
      <c r="AA110">
        <v>13.25</v>
      </c>
      <c r="AB110" s="5">
        <f t="shared" si="39"/>
        <v>14.77</v>
      </c>
      <c r="AC110">
        <v>33.93</v>
      </c>
      <c r="AD110" s="3">
        <f t="shared" si="40"/>
        <v>0.435307987032125</v>
      </c>
      <c r="AF110" s="4">
        <v>3.76</v>
      </c>
      <c r="AG110">
        <v>2.09</v>
      </c>
      <c r="AH110" s="5">
        <f t="shared" si="41"/>
        <v>1.67</v>
      </c>
      <c r="AI110">
        <v>3.85</v>
      </c>
      <c r="AJ110" s="3">
        <f t="shared" si="42"/>
        <v>0.433766233766234</v>
      </c>
      <c r="AL110" s="4">
        <v>6.35495005</v>
      </c>
      <c r="AM110">
        <v>6.1</v>
      </c>
      <c r="AN110" s="5">
        <f t="shared" si="43"/>
        <v>0.254950050000001</v>
      </c>
      <c r="AO110">
        <v>1.89</v>
      </c>
      <c r="AP110" s="3">
        <f t="shared" si="44"/>
        <v>0.134894206349207</v>
      </c>
      <c r="AR110" s="4">
        <v>0.0872916666666667</v>
      </c>
      <c r="AS110">
        <v>0.02</v>
      </c>
      <c r="AT110" s="5">
        <f t="shared" si="45"/>
        <v>0.0672916666666667</v>
      </c>
      <c r="AU110">
        <v>2.84</v>
      </c>
      <c r="AV110" s="3">
        <f t="shared" si="46"/>
        <v>0.0236942488262911</v>
      </c>
      <c r="AX110" s="4">
        <v>4.79006670416667</v>
      </c>
      <c r="AY110">
        <v>3.44</v>
      </c>
      <c r="AZ110" s="5">
        <f t="shared" si="47"/>
        <v>1.35006670416667</v>
      </c>
      <c r="BA110">
        <v>29.17</v>
      </c>
      <c r="BB110" s="3">
        <f t="shared" si="48"/>
        <v>0.0462827118329335</v>
      </c>
      <c r="BD110" s="4">
        <v>0.426416666666667</v>
      </c>
      <c r="BE110">
        <v>0.17</v>
      </c>
      <c r="BF110" s="5">
        <f t="shared" si="49"/>
        <v>0.256416666666667</v>
      </c>
      <c r="BG110">
        <v>4</v>
      </c>
      <c r="BH110" s="3">
        <f t="shared" si="50"/>
        <v>0.0641041666666667</v>
      </c>
      <c r="BJ110" s="9">
        <v>11.4311667291667</v>
      </c>
      <c r="BK110">
        <v>4.8</v>
      </c>
      <c r="BL110" s="5">
        <f t="shared" si="51"/>
        <v>6.6311667291667</v>
      </c>
      <c r="BM110">
        <v>8.9</v>
      </c>
      <c r="BN110" s="3">
        <f t="shared" si="52"/>
        <v>0.745074913389517</v>
      </c>
      <c r="BP110" s="9">
        <v>0.158066666666666</v>
      </c>
      <c r="BQ110">
        <v>0.09</v>
      </c>
      <c r="BR110" s="5">
        <f t="shared" si="53"/>
        <v>0.068066666666666</v>
      </c>
      <c r="BS110">
        <v>0.43</v>
      </c>
      <c r="BT110" s="3">
        <f t="shared" si="54"/>
        <v>0.158294573643409</v>
      </c>
      <c r="BV110" s="4">
        <v>6.53426671666667</v>
      </c>
      <c r="BW110">
        <v>6.18</v>
      </c>
      <c r="BX110" s="5">
        <f t="shared" si="55"/>
        <v>0.35426671666667</v>
      </c>
      <c r="BY110">
        <v>1.68</v>
      </c>
      <c r="BZ110" s="3">
        <f t="shared" si="56"/>
        <v>0.210873045634923</v>
      </c>
      <c r="CB110" s="10">
        <v>117.9</v>
      </c>
      <c r="CC110">
        <v>54.3</v>
      </c>
      <c r="CD110" s="12">
        <f t="shared" si="57"/>
        <v>63.6</v>
      </c>
      <c r="CE110">
        <v>71.3</v>
      </c>
      <c r="CF110" s="3">
        <f t="shared" si="58"/>
        <v>0.892005610098177</v>
      </c>
      <c r="CH110" s="13">
        <v>31.2</v>
      </c>
      <c r="CI110">
        <v>22.6</v>
      </c>
      <c r="CJ110">
        <f t="shared" si="59"/>
        <v>8.6</v>
      </c>
      <c r="CK110">
        <v>25.1</v>
      </c>
      <c r="CL110">
        <f t="shared" si="60"/>
        <v>0.342629482071713</v>
      </c>
      <c r="CN110" s="11">
        <v>4.6</v>
      </c>
      <c r="CO110">
        <v>3</v>
      </c>
      <c r="CP110" s="12">
        <f t="shared" si="61"/>
        <v>1.6</v>
      </c>
      <c r="CQ110">
        <v>3.4</v>
      </c>
      <c r="CR110" s="3">
        <f t="shared" si="62"/>
        <v>0.470588235294118</v>
      </c>
    </row>
    <row r="111" spans="2:96">
      <c r="B111" s="1">
        <v>44897</v>
      </c>
      <c r="C111">
        <v>32416</v>
      </c>
      <c r="D111" s="2">
        <f t="shared" si="63"/>
        <v>12481</v>
      </c>
      <c r="E111">
        <v>31904</v>
      </c>
      <c r="F111" s="3">
        <f t="shared" si="32"/>
        <v>0.391204864593781</v>
      </c>
      <c r="H111" s="1">
        <v>44174.0342176</v>
      </c>
      <c r="I111">
        <v>31145</v>
      </c>
      <c r="J111" s="2">
        <f t="shared" si="33"/>
        <v>13029.0342176</v>
      </c>
      <c r="K111">
        <v>32760</v>
      </c>
      <c r="L111" s="3">
        <f t="shared" si="34"/>
        <v>0.397711667203907</v>
      </c>
      <c r="N111" s="4">
        <v>253.3699989375</v>
      </c>
      <c r="O111">
        <v>201.27</v>
      </c>
      <c r="P111" s="5">
        <f t="shared" si="35"/>
        <v>52.0999989375</v>
      </c>
      <c r="Q111">
        <v>79.69</v>
      </c>
      <c r="R111" s="3">
        <f t="shared" si="36"/>
        <v>0.653783397383611</v>
      </c>
      <c r="T111" s="4">
        <v>342.879166283333</v>
      </c>
      <c r="U111">
        <v>100.23</v>
      </c>
      <c r="V111" s="5">
        <f t="shared" si="37"/>
        <v>242.649166283333</v>
      </c>
      <c r="W111">
        <v>410.93</v>
      </c>
      <c r="X111" s="3">
        <f t="shared" si="38"/>
        <v>0.590487835600548</v>
      </c>
      <c r="Z111" s="4">
        <v>27.15</v>
      </c>
      <c r="AA111">
        <v>13.25</v>
      </c>
      <c r="AB111" s="5">
        <f t="shared" si="39"/>
        <v>13.9</v>
      </c>
      <c r="AC111">
        <v>33.93</v>
      </c>
      <c r="AD111" s="3">
        <f t="shared" si="40"/>
        <v>0.409666961391099</v>
      </c>
      <c r="AF111" s="4">
        <v>4.33</v>
      </c>
      <c r="AG111">
        <v>2.09</v>
      </c>
      <c r="AH111" s="5">
        <f t="shared" si="41"/>
        <v>2.24</v>
      </c>
      <c r="AI111">
        <v>3.85</v>
      </c>
      <c r="AJ111" s="3">
        <f t="shared" si="42"/>
        <v>0.581818181818182</v>
      </c>
      <c r="AL111" s="4">
        <v>6.40785829583333</v>
      </c>
      <c r="AM111">
        <v>6.1</v>
      </c>
      <c r="AN111" s="5">
        <f t="shared" si="43"/>
        <v>0.307858295833331</v>
      </c>
      <c r="AO111">
        <v>1.89</v>
      </c>
      <c r="AP111" s="3">
        <f t="shared" si="44"/>
        <v>0.162887987213402</v>
      </c>
      <c r="AR111" s="4">
        <v>0.0854166666666667</v>
      </c>
      <c r="AS111">
        <v>0.02</v>
      </c>
      <c r="AT111" s="5">
        <f t="shared" si="45"/>
        <v>0.0654166666666667</v>
      </c>
      <c r="AU111">
        <v>2.84</v>
      </c>
      <c r="AV111" s="3">
        <f t="shared" si="46"/>
        <v>0.0230340375586855</v>
      </c>
      <c r="AX111" s="4">
        <v>18.6316000583333</v>
      </c>
      <c r="AY111">
        <v>3.44</v>
      </c>
      <c r="AZ111" s="5">
        <f t="shared" si="47"/>
        <v>15.1916000583333</v>
      </c>
      <c r="BA111">
        <v>29.17</v>
      </c>
      <c r="BB111" s="3">
        <f t="shared" si="48"/>
        <v>0.520795339675465</v>
      </c>
      <c r="BD111" s="4">
        <v>0.271916666666667</v>
      </c>
      <c r="BE111">
        <v>0.17</v>
      </c>
      <c r="BF111" s="5">
        <f t="shared" si="49"/>
        <v>0.101916666666667</v>
      </c>
      <c r="BG111">
        <v>4</v>
      </c>
      <c r="BH111" s="3">
        <f t="shared" si="50"/>
        <v>0.0254791666666667</v>
      </c>
      <c r="BJ111" s="9">
        <v>11.9751666791667</v>
      </c>
      <c r="BK111">
        <v>4.8</v>
      </c>
      <c r="BL111" s="5">
        <f t="shared" si="51"/>
        <v>7.1751666791667</v>
      </c>
      <c r="BM111">
        <v>8.9</v>
      </c>
      <c r="BN111" s="3">
        <f t="shared" si="52"/>
        <v>0.806198503277157</v>
      </c>
      <c r="BP111" s="9">
        <v>0.25705</v>
      </c>
      <c r="BQ111">
        <v>0.09</v>
      </c>
      <c r="BR111" s="5">
        <f t="shared" si="53"/>
        <v>0.16705</v>
      </c>
      <c r="BS111">
        <v>0.43</v>
      </c>
      <c r="BT111" s="3">
        <f t="shared" si="54"/>
        <v>0.388488372093023</v>
      </c>
      <c r="BV111" s="4">
        <v>6.44869169166667</v>
      </c>
      <c r="BW111">
        <v>6.18</v>
      </c>
      <c r="BX111" s="5">
        <f t="shared" si="55"/>
        <v>0.26869169166667</v>
      </c>
      <c r="BY111">
        <v>1.68</v>
      </c>
      <c r="BZ111" s="3">
        <f t="shared" si="56"/>
        <v>0.15993553075397</v>
      </c>
      <c r="CB111" s="10">
        <v>116.3</v>
      </c>
      <c r="CC111">
        <v>54.3</v>
      </c>
      <c r="CD111" s="12">
        <f t="shared" si="57"/>
        <v>62</v>
      </c>
      <c r="CE111">
        <v>71.3</v>
      </c>
      <c r="CF111" s="3">
        <f t="shared" si="58"/>
        <v>0.869565217391304</v>
      </c>
      <c r="CH111" s="13">
        <v>32.6</v>
      </c>
      <c r="CI111">
        <v>22.6</v>
      </c>
      <c r="CJ111">
        <f t="shared" si="59"/>
        <v>10</v>
      </c>
      <c r="CK111">
        <v>25.1</v>
      </c>
      <c r="CL111">
        <f t="shared" si="60"/>
        <v>0.398406374501992</v>
      </c>
      <c r="CN111" s="10">
        <v>4.3</v>
      </c>
      <c r="CO111">
        <v>3</v>
      </c>
      <c r="CP111" s="12">
        <f t="shared" si="61"/>
        <v>1.3</v>
      </c>
      <c r="CQ111">
        <v>3.4</v>
      </c>
      <c r="CR111" s="3">
        <f t="shared" si="62"/>
        <v>0.382352941176471</v>
      </c>
    </row>
    <row r="112" spans="2:96">
      <c r="B112" s="1">
        <v>46502</v>
      </c>
      <c r="C112">
        <v>32416</v>
      </c>
      <c r="D112" s="2">
        <f t="shared" si="63"/>
        <v>14086</v>
      </c>
      <c r="E112">
        <v>31904</v>
      </c>
      <c r="F112" s="3">
        <f t="shared" si="32"/>
        <v>0.441512036108325</v>
      </c>
      <c r="H112" s="1">
        <v>46047.7174375</v>
      </c>
      <c r="I112">
        <v>31145</v>
      </c>
      <c r="J112" s="2">
        <f t="shared" si="33"/>
        <v>14902.7174375</v>
      </c>
      <c r="K112">
        <v>32760</v>
      </c>
      <c r="L112" s="3">
        <f t="shared" si="34"/>
        <v>0.454905904685592</v>
      </c>
      <c r="N112" s="4">
        <v>270.783331558333</v>
      </c>
      <c r="O112">
        <v>201.27</v>
      </c>
      <c r="P112" s="5">
        <f t="shared" si="35"/>
        <v>69.513331558333</v>
      </c>
      <c r="Q112">
        <v>79.69</v>
      </c>
      <c r="R112" s="3">
        <f t="shared" si="36"/>
        <v>0.872296794558075</v>
      </c>
      <c r="T112" s="4">
        <v>185.354166354167</v>
      </c>
      <c r="U112">
        <v>100.23</v>
      </c>
      <c r="V112" s="5">
        <f t="shared" si="37"/>
        <v>85.124166354167</v>
      </c>
      <c r="W112">
        <v>410.93</v>
      </c>
      <c r="X112" s="3">
        <f t="shared" si="38"/>
        <v>0.207150041014691</v>
      </c>
      <c r="Z112" s="4">
        <v>24.59</v>
      </c>
      <c r="AA112">
        <v>13.25</v>
      </c>
      <c r="AB112" s="5">
        <f t="shared" si="39"/>
        <v>11.34</v>
      </c>
      <c r="AC112">
        <v>33.93</v>
      </c>
      <c r="AD112" s="3">
        <f t="shared" si="40"/>
        <v>0.3342175066313</v>
      </c>
      <c r="AF112" s="4">
        <v>4.74</v>
      </c>
      <c r="AG112">
        <v>2.09</v>
      </c>
      <c r="AH112" s="5">
        <f t="shared" si="41"/>
        <v>2.65</v>
      </c>
      <c r="AI112">
        <v>3.85</v>
      </c>
      <c r="AJ112" s="3">
        <f t="shared" si="42"/>
        <v>0.688311688311688</v>
      </c>
      <c r="AL112" s="4">
        <v>6.35640842083333</v>
      </c>
      <c r="AM112">
        <v>6.1</v>
      </c>
      <c r="AN112" s="5">
        <f t="shared" si="43"/>
        <v>0.25640842083333</v>
      </c>
      <c r="AO112">
        <v>1.89</v>
      </c>
      <c r="AP112" s="3">
        <f t="shared" si="44"/>
        <v>0.135665831128746</v>
      </c>
      <c r="AR112" s="4">
        <v>0.0864583333333333</v>
      </c>
      <c r="AS112">
        <v>0.02</v>
      </c>
      <c r="AT112" s="5">
        <f t="shared" si="45"/>
        <v>0.0664583333333333</v>
      </c>
      <c r="AU112">
        <v>2.84</v>
      </c>
      <c r="AV112" s="3">
        <f t="shared" si="46"/>
        <v>0.0234008215962441</v>
      </c>
      <c r="AX112" s="4">
        <v>9.49173345416667</v>
      </c>
      <c r="AY112">
        <v>3.44</v>
      </c>
      <c r="AZ112" s="5">
        <f t="shared" si="47"/>
        <v>6.05173345416667</v>
      </c>
      <c r="BA112">
        <v>29.17</v>
      </c>
      <c r="BB112" s="3">
        <f t="shared" si="48"/>
        <v>0.207464293937836</v>
      </c>
      <c r="BD112" s="4">
        <v>0.20325</v>
      </c>
      <c r="BE112">
        <v>0.17</v>
      </c>
      <c r="BF112" s="5">
        <f t="shared" si="49"/>
        <v>0.03325</v>
      </c>
      <c r="BG112">
        <v>4</v>
      </c>
      <c r="BH112" s="3">
        <f t="shared" si="50"/>
        <v>0.00831249999999999</v>
      </c>
      <c r="BJ112" s="9">
        <v>12.5336666916667</v>
      </c>
      <c r="BK112">
        <v>4.8</v>
      </c>
      <c r="BL112" s="5">
        <f t="shared" si="51"/>
        <v>7.7336666916667</v>
      </c>
      <c r="BM112">
        <v>8.9</v>
      </c>
      <c r="BN112" s="3">
        <f t="shared" si="52"/>
        <v>0.868951313670416</v>
      </c>
      <c r="BP112" s="9">
        <v>0.137641666666666</v>
      </c>
      <c r="BQ112">
        <v>0.09</v>
      </c>
      <c r="BR112" s="5">
        <f t="shared" si="53"/>
        <v>0.047641666666666</v>
      </c>
      <c r="BS112">
        <v>0.43</v>
      </c>
      <c r="BT112" s="3">
        <f t="shared" si="54"/>
        <v>0.110794573643409</v>
      </c>
      <c r="BV112" s="4">
        <v>6.49489164166667</v>
      </c>
      <c r="BW112">
        <v>6.18</v>
      </c>
      <c r="BX112" s="5">
        <f t="shared" si="55"/>
        <v>0.31489164166667</v>
      </c>
      <c r="BY112">
        <v>1.68</v>
      </c>
      <c r="BZ112" s="3">
        <f t="shared" si="56"/>
        <v>0.187435500992066</v>
      </c>
      <c r="CB112" s="10">
        <v>116.7</v>
      </c>
      <c r="CC112">
        <v>54.3</v>
      </c>
      <c r="CD112" s="12">
        <f t="shared" si="57"/>
        <v>62.4</v>
      </c>
      <c r="CE112">
        <v>71.3</v>
      </c>
      <c r="CF112" s="3">
        <f t="shared" si="58"/>
        <v>0.875175315568023</v>
      </c>
      <c r="CH112" s="13">
        <v>29.5</v>
      </c>
      <c r="CI112">
        <v>22.6</v>
      </c>
      <c r="CJ112">
        <f t="shared" si="59"/>
        <v>6.9</v>
      </c>
      <c r="CK112">
        <v>25.1</v>
      </c>
      <c r="CL112">
        <f t="shared" si="60"/>
        <v>0.274900398406374</v>
      </c>
      <c r="CN112" s="10">
        <v>4.5</v>
      </c>
      <c r="CO112">
        <v>3</v>
      </c>
      <c r="CP112" s="12">
        <f t="shared" si="61"/>
        <v>1.5</v>
      </c>
      <c r="CQ112">
        <v>3.4</v>
      </c>
      <c r="CR112" s="3">
        <f t="shared" si="62"/>
        <v>0.441176470588235</v>
      </c>
    </row>
    <row r="113" spans="2:96">
      <c r="B113" s="1">
        <v>45687</v>
      </c>
      <c r="C113">
        <v>32416</v>
      </c>
      <c r="D113" s="2">
        <f t="shared" si="63"/>
        <v>13271</v>
      </c>
      <c r="E113">
        <v>31904</v>
      </c>
      <c r="F113" s="3">
        <f t="shared" si="32"/>
        <v>0.41596664994985</v>
      </c>
      <c r="H113" s="1">
        <v>45116.6354174</v>
      </c>
      <c r="I113">
        <v>31145</v>
      </c>
      <c r="J113" s="2">
        <f t="shared" si="33"/>
        <v>13971.6354174</v>
      </c>
      <c r="K113">
        <v>32760</v>
      </c>
      <c r="L113" s="3">
        <f t="shared" si="34"/>
        <v>0.426484597600733</v>
      </c>
      <c r="N113" s="4">
        <v>274.459997816667</v>
      </c>
      <c r="O113">
        <v>201.27</v>
      </c>
      <c r="P113" s="5">
        <f t="shared" si="35"/>
        <v>73.189997816667</v>
      </c>
      <c r="Q113">
        <v>79.69</v>
      </c>
      <c r="R113" s="3">
        <f t="shared" si="36"/>
        <v>0.918433904086673</v>
      </c>
      <c r="T113" s="4">
        <v>194.712500891667</v>
      </c>
      <c r="U113">
        <v>100.23</v>
      </c>
      <c r="V113" s="5">
        <f t="shared" si="37"/>
        <v>94.482500891667</v>
      </c>
      <c r="W113">
        <v>410.93</v>
      </c>
      <c r="X113" s="3">
        <f t="shared" si="38"/>
        <v>0.229923590128895</v>
      </c>
      <c r="Z113" s="4">
        <v>26.38</v>
      </c>
      <c r="AA113">
        <v>13.25</v>
      </c>
      <c r="AB113" s="5">
        <f t="shared" si="39"/>
        <v>13.13</v>
      </c>
      <c r="AC113">
        <v>33.93</v>
      </c>
      <c r="AD113" s="3">
        <f t="shared" si="40"/>
        <v>0.386973180076628</v>
      </c>
      <c r="AF113" s="4">
        <v>4.12</v>
      </c>
      <c r="AG113">
        <v>2.09</v>
      </c>
      <c r="AH113" s="5">
        <f t="shared" si="41"/>
        <v>2.03</v>
      </c>
      <c r="AI113">
        <v>3.85</v>
      </c>
      <c r="AJ113" s="3">
        <f t="shared" si="42"/>
        <v>0.527272727272727</v>
      </c>
      <c r="AL113" s="4">
        <v>6.33890835833333</v>
      </c>
      <c r="AM113">
        <v>6.1</v>
      </c>
      <c r="AN113" s="5">
        <f t="shared" si="43"/>
        <v>0.23890835833333</v>
      </c>
      <c r="AO113">
        <v>1.89</v>
      </c>
      <c r="AP113" s="3">
        <f t="shared" si="44"/>
        <v>0.126406538800704</v>
      </c>
      <c r="AR113" s="4">
        <v>0.0977083333333333</v>
      </c>
      <c r="AS113">
        <v>0.02</v>
      </c>
      <c r="AT113" s="5">
        <f t="shared" si="45"/>
        <v>0.0777083333333333</v>
      </c>
      <c r="AU113">
        <v>2.84</v>
      </c>
      <c r="AV113" s="3">
        <f t="shared" si="46"/>
        <v>0.0273620892018779</v>
      </c>
      <c r="AX113" s="4">
        <v>14.7047333875</v>
      </c>
      <c r="AY113">
        <v>3.44</v>
      </c>
      <c r="AZ113" s="5">
        <f t="shared" si="47"/>
        <v>11.2647333875</v>
      </c>
      <c r="BA113">
        <v>29.17</v>
      </c>
      <c r="BB113" s="3">
        <f t="shared" si="48"/>
        <v>0.386175296109016</v>
      </c>
      <c r="BD113" s="4">
        <v>0.773000004166667</v>
      </c>
      <c r="BE113">
        <v>0.17</v>
      </c>
      <c r="BF113" s="5">
        <f t="shared" si="49"/>
        <v>0.603000004166667</v>
      </c>
      <c r="BG113">
        <v>4</v>
      </c>
      <c r="BH113" s="3">
        <f t="shared" si="50"/>
        <v>0.150750001041667</v>
      </c>
      <c r="BJ113" s="9">
        <v>13.2576667083333</v>
      </c>
      <c r="BK113">
        <v>4.8</v>
      </c>
      <c r="BL113" s="5">
        <f t="shared" si="51"/>
        <v>8.4576667083333</v>
      </c>
      <c r="BM113">
        <v>8.9</v>
      </c>
      <c r="BN113" s="3">
        <f t="shared" si="52"/>
        <v>0.950299630149809</v>
      </c>
      <c r="BP113" s="9">
        <v>0.274383333333333</v>
      </c>
      <c r="BQ113">
        <v>0.09</v>
      </c>
      <c r="BR113" s="5">
        <f t="shared" si="53"/>
        <v>0.184383333333333</v>
      </c>
      <c r="BS113">
        <v>0.43</v>
      </c>
      <c r="BT113" s="3">
        <f t="shared" si="54"/>
        <v>0.428798449612402</v>
      </c>
      <c r="BV113" s="4">
        <v>6.4833416625</v>
      </c>
      <c r="BW113">
        <v>6.18</v>
      </c>
      <c r="BX113" s="5">
        <f t="shared" si="55"/>
        <v>0.3033416625</v>
      </c>
      <c r="BY113">
        <v>1.68</v>
      </c>
      <c r="BZ113" s="3">
        <f t="shared" si="56"/>
        <v>0.180560513392857</v>
      </c>
      <c r="CB113" s="10">
        <v>116.58</v>
      </c>
      <c r="CC113">
        <v>54.3</v>
      </c>
      <c r="CD113" s="12">
        <f t="shared" si="57"/>
        <v>62.28</v>
      </c>
      <c r="CE113">
        <v>71.3</v>
      </c>
      <c r="CF113" s="3">
        <f t="shared" si="58"/>
        <v>0.873492286115007</v>
      </c>
      <c r="CH113" s="14">
        <v>30.25</v>
      </c>
      <c r="CI113">
        <v>22.6</v>
      </c>
      <c r="CJ113">
        <f t="shared" si="59"/>
        <v>7.65</v>
      </c>
      <c r="CK113">
        <v>25.1</v>
      </c>
      <c r="CL113">
        <f t="shared" si="60"/>
        <v>0.304780876494024</v>
      </c>
      <c r="CN113" s="10">
        <v>4.9</v>
      </c>
      <c r="CO113">
        <v>3</v>
      </c>
      <c r="CP113" s="12">
        <f t="shared" si="61"/>
        <v>1.9</v>
      </c>
      <c r="CQ113">
        <v>3.4</v>
      </c>
      <c r="CR113" s="3">
        <f t="shared" si="62"/>
        <v>0.558823529411765</v>
      </c>
    </row>
    <row r="114" spans="2:96">
      <c r="B114" s="1">
        <v>46328</v>
      </c>
      <c r="C114">
        <v>32416</v>
      </c>
      <c r="D114" s="2">
        <f t="shared" si="63"/>
        <v>13912</v>
      </c>
      <c r="E114">
        <v>31904</v>
      </c>
      <c r="F114" s="3">
        <f t="shared" si="32"/>
        <v>0.436058174523571</v>
      </c>
      <c r="H114" s="1">
        <v>46130.8224287</v>
      </c>
      <c r="I114">
        <v>31145</v>
      </c>
      <c r="J114" s="2">
        <f t="shared" si="33"/>
        <v>14985.8224287</v>
      </c>
      <c r="K114">
        <v>32760</v>
      </c>
      <c r="L114" s="3">
        <f t="shared" si="34"/>
        <v>0.457442687078755</v>
      </c>
      <c r="N114" s="4">
        <v>267.390003195833</v>
      </c>
      <c r="O114">
        <v>201.27</v>
      </c>
      <c r="P114" s="5">
        <f t="shared" si="35"/>
        <v>66.120003195833</v>
      </c>
      <c r="Q114">
        <v>79.69</v>
      </c>
      <c r="R114" s="3">
        <f t="shared" si="36"/>
        <v>0.829715186294805</v>
      </c>
      <c r="T114" s="4">
        <v>154.0000019125</v>
      </c>
      <c r="U114">
        <v>100.23</v>
      </c>
      <c r="V114" s="5">
        <f t="shared" si="37"/>
        <v>53.7700019125</v>
      </c>
      <c r="W114">
        <v>410.93</v>
      </c>
      <c r="X114" s="3">
        <f t="shared" si="38"/>
        <v>0.130849541071472</v>
      </c>
      <c r="Z114" s="4">
        <v>23.777</v>
      </c>
      <c r="AA114">
        <v>13.25</v>
      </c>
      <c r="AB114" s="5">
        <f t="shared" si="39"/>
        <v>10.527</v>
      </c>
      <c r="AC114">
        <v>33.93</v>
      </c>
      <c r="AD114" s="3">
        <f t="shared" si="40"/>
        <v>0.31025641025641</v>
      </c>
      <c r="AF114" s="4">
        <v>4.29</v>
      </c>
      <c r="AG114">
        <v>2.09</v>
      </c>
      <c r="AH114" s="5">
        <f t="shared" si="41"/>
        <v>2.2</v>
      </c>
      <c r="AI114">
        <v>3.85</v>
      </c>
      <c r="AJ114" s="3">
        <f t="shared" si="42"/>
        <v>0.571428571428572</v>
      </c>
      <c r="AL114" s="4">
        <v>6.94850430434783</v>
      </c>
      <c r="AM114">
        <v>6.1</v>
      </c>
      <c r="AN114" s="5">
        <f t="shared" si="43"/>
        <v>0.848504304347831</v>
      </c>
      <c r="AO114">
        <v>1.89</v>
      </c>
      <c r="AP114" s="3">
        <f t="shared" si="44"/>
        <v>0.448944076374514</v>
      </c>
      <c r="AR114" s="4">
        <v>0.09125</v>
      </c>
      <c r="AS114">
        <v>0.02</v>
      </c>
      <c r="AT114" s="5">
        <f t="shared" si="45"/>
        <v>0.07125</v>
      </c>
      <c r="AU114">
        <v>2.84</v>
      </c>
      <c r="AV114" s="3">
        <f t="shared" si="46"/>
        <v>0.0250880281690141</v>
      </c>
      <c r="AX114" s="4">
        <v>5.43573344166667</v>
      </c>
      <c r="AY114">
        <v>3.44</v>
      </c>
      <c r="AZ114" s="5">
        <f t="shared" si="47"/>
        <v>1.99573344166667</v>
      </c>
      <c r="BA114">
        <v>29.17</v>
      </c>
      <c r="BB114" s="3">
        <f t="shared" si="48"/>
        <v>0.0684173274482918</v>
      </c>
      <c r="BD114" s="4">
        <v>0.765999995833333</v>
      </c>
      <c r="BE114">
        <v>0.17</v>
      </c>
      <c r="BF114" s="5">
        <f t="shared" si="49"/>
        <v>0.595999995833333</v>
      </c>
      <c r="BG114">
        <v>4</v>
      </c>
      <c r="BH114" s="3">
        <f t="shared" si="50"/>
        <v>0.148999998958333</v>
      </c>
      <c r="BJ114" s="9">
        <v>12.7588334166667</v>
      </c>
      <c r="BK114">
        <v>4.8</v>
      </c>
      <c r="BL114" s="5">
        <f t="shared" si="51"/>
        <v>7.9588334166667</v>
      </c>
      <c r="BM114">
        <v>8.9</v>
      </c>
      <c r="BN114" s="3">
        <f t="shared" si="52"/>
        <v>0.894250945692888</v>
      </c>
      <c r="BP114" s="9">
        <v>0.150191666666666</v>
      </c>
      <c r="BQ114">
        <v>0.09</v>
      </c>
      <c r="BR114" s="5">
        <f t="shared" si="53"/>
        <v>0.060191666666666</v>
      </c>
      <c r="BS114">
        <v>0.43</v>
      </c>
      <c r="BT114" s="3">
        <f t="shared" si="54"/>
        <v>0.139980620155037</v>
      </c>
      <c r="BV114" s="4">
        <v>6.50066665416667</v>
      </c>
      <c r="BW114">
        <v>6.18</v>
      </c>
      <c r="BX114" s="5">
        <f t="shared" si="55"/>
        <v>0.32066665416667</v>
      </c>
      <c r="BY114">
        <v>1.68</v>
      </c>
      <c r="BZ114" s="3">
        <f t="shared" si="56"/>
        <v>0.190873008432542</v>
      </c>
      <c r="CB114" s="10">
        <v>117.9</v>
      </c>
      <c r="CC114">
        <v>54.3</v>
      </c>
      <c r="CD114" s="12">
        <f t="shared" si="57"/>
        <v>63.6</v>
      </c>
      <c r="CE114">
        <v>71.3</v>
      </c>
      <c r="CF114" s="3">
        <f t="shared" si="58"/>
        <v>0.892005610098177</v>
      </c>
      <c r="CH114" s="13">
        <v>31.5</v>
      </c>
      <c r="CI114">
        <v>22.6</v>
      </c>
      <c r="CJ114">
        <f t="shared" si="59"/>
        <v>8.9</v>
      </c>
      <c r="CK114">
        <v>25.1</v>
      </c>
      <c r="CL114">
        <f t="shared" si="60"/>
        <v>0.354581673306773</v>
      </c>
      <c r="CN114" s="10">
        <v>4.7</v>
      </c>
      <c r="CO114">
        <v>3</v>
      </c>
      <c r="CP114" s="12">
        <f t="shared" si="61"/>
        <v>1.7</v>
      </c>
      <c r="CQ114">
        <v>3.4</v>
      </c>
      <c r="CR114" s="3">
        <f t="shared" si="62"/>
        <v>0.5</v>
      </c>
    </row>
    <row r="115" spans="2:96">
      <c r="B115" s="1">
        <v>45223</v>
      </c>
      <c r="C115">
        <v>32416</v>
      </c>
      <c r="D115" s="2">
        <f t="shared" si="63"/>
        <v>12807</v>
      </c>
      <c r="E115">
        <v>31904</v>
      </c>
      <c r="F115" s="3">
        <f t="shared" si="32"/>
        <v>0.401423019057172</v>
      </c>
      <c r="H115" s="1">
        <v>44808.8597143</v>
      </c>
      <c r="I115">
        <v>31145</v>
      </c>
      <c r="J115" s="2">
        <f t="shared" si="33"/>
        <v>13663.8597143</v>
      </c>
      <c r="K115">
        <v>32760</v>
      </c>
      <c r="L115" s="3">
        <f t="shared" si="34"/>
        <v>0.417089734868742</v>
      </c>
      <c r="N115" s="4">
        <v>255.693330120833</v>
      </c>
      <c r="O115">
        <v>201.27</v>
      </c>
      <c r="P115" s="5">
        <f t="shared" si="35"/>
        <v>54.423330120833</v>
      </c>
      <c r="Q115">
        <v>79.69</v>
      </c>
      <c r="R115" s="3">
        <f t="shared" si="36"/>
        <v>0.682938011304216</v>
      </c>
      <c r="T115" s="4">
        <v>142.770833970833</v>
      </c>
      <c r="U115">
        <v>100.23</v>
      </c>
      <c r="V115" s="5">
        <f t="shared" si="37"/>
        <v>42.540833970833</v>
      </c>
      <c r="W115">
        <v>410.93</v>
      </c>
      <c r="X115" s="3">
        <f t="shared" si="38"/>
        <v>0.10352331046853</v>
      </c>
      <c r="Z115" s="4">
        <v>23.49</v>
      </c>
      <c r="AA115">
        <v>13.25</v>
      </c>
      <c r="AB115" s="5">
        <f t="shared" si="39"/>
        <v>10.24</v>
      </c>
      <c r="AC115">
        <v>33.93</v>
      </c>
      <c r="AD115" s="3">
        <f t="shared" si="40"/>
        <v>0.301797819039198</v>
      </c>
      <c r="AF115" s="4">
        <v>4.39</v>
      </c>
      <c r="AG115">
        <v>2.09</v>
      </c>
      <c r="AH115" s="5">
        <f t="shared" si="41"/>
        <v>2.3</v>
      </c>
      <c r="AI115">
        <v>3.85</v>
      </c>
      <c r="AJ115" s="3">
        <f t="shared" si="42"/>
        <v>0.597402597402597</v>
      </c>
      <c r="AL115" s="4">
        <v>6.90516845263158</v>
      </c>
      <c r="AM115">
        <v>6.1</v>
      </c>
      <c r="AN115" s="5">
        <f t="shared" si="43"/>
        <v>0.80516845263158</v>
      </c>
      <c r="AO115">
        <v>1.89</v>
      </c>
      <c r="AP115" s="3">
        <f t="shared" si="44"/>
        <v>0.426015054302423</v>
      </c>
      <c r="AR115" s="4">
        <v>0.089375</v>
      </c>
      <c r="AS115">
        <v>0.02</v>
      </c>
      <c r="AT115" s="5">
        <f t="shared" si="45"/>
        <v>0.069375</v>
      </c>
      <c r="AU115">
        <v>2.84</v>
      </c>
      <c r="AV115" s="3">
        <f t="shared" si="46"/>
        <v>0.0244278169014084</v>
      </c>
      <c r="AX115" s="4">
        <v>7.01913340416667</v>
      </c>
      <c r="AY115">
        <v>3.44</v>
      </c>
      <c r="AZ115" s="5">
        <f t="shared" si="47"/>
        <v>3.57913340416667</v>
      </c>
      <c r="BA115">
        <v>29.17</v>
      </c>
      <c r="BB115" s="3">
        <f t="shared" si="48"/>
        <v>0.122699122528854</v>
      </c>
      <c r="BD115" s="4">
        <v>0.853583333333333</v>
      </c>
      <c r="BE115">
        <v>0.17</v>
      </c>
      <c r="BF115" s="5">
        <f t="shared" si="49"/>
        <v>0.683583333333333</v>
      </c>
      <c r="BG115">
        <v>4</v>
      </c>
      <c r="BH115" s="3">
        <f t="shared" si="50"/>
        <v>0.170895833333333</v>
      </c>
      <c r="BJ115" s="9">
        <v>12.4358334166667</v>
      </c>
      <c r="BK115">
        <v>4.8</v>
      </c>
      <c r="BL115" s="5">
        <f t="shared" si="51"/>
        <v>7.6358334166667</v>
      </c>
      <c r="BM115">
        <v>8.9</v>
      </c>
      <c r="BN115" s="3">
        <f t="shared" si="52"/>
        <v>0.857958810861427</v>
      </c>
      <c r="BP115" s="9">
        <v>0.151783333333333</v>
      </c>
      <c r="BQ115">
        <v>0.09</v>
      </c>
      <c r="BR115" s="5">
        <f t="shared" si="53"/>
        <v>0.061783333333333</v>
      </c>
      <c r="BS115">
        <v>0.43</v>
      </c>
      <c r="BT115" s="3">
        <f t="shared" si="54"/>
        <v>0.143682170542635</v>
      </c>
      <c r="BV115" s="4">
        <v>6.494016725</v>
      </c>
      <c r="BW115">
        <v>6.18</v>
      </c>
      <c r="BX115" s="5">
        <f t="shared" si="55"/>
        <v>0.314016725</v>
      </c>
      <c r="BY115">
        <v>1.68</v>
      </c>
      <c r="BZ115" s="3">
        <f t="shared" si="56"/>
        <v>0.186914717261905</v>
      </c>
      <c r="CB115" s="10">
        <v>117.2</v>
      </c>
      <c r="CC115">
        <v>54.3</v>
      </c>
      <c r="CD115" s="12">
        <f t="shared" si="57"/>
        <v>62.9</v>
      </c>
      <c r="CE115">
        <v>71.3</v>
      </c>
      <c r="CF115" s="3">
        <f t="shared" si="58"/>
        <v>0.88218793828892</v>
      </c>
      <c r="CH115" s="13">
        <v>33.4</v>
      </c>
      <c r="CI115">
        <v>22.6</v>
      </c>
      <c r="CJ115">
        <f t="shared" si="59"/>
        <v>10.8</v>
      </c>
      <c r="CK115">
        <v>25.1</v>
      </c>
      <c r="CL115">
        <f t="shared" si="60"/>
        <v>0.430278884462151</v>
      </c>
      <c r="CN115" s="10">
        <v>4.8</v>
      </c>
      <c r="CO115">
        <v>3</v>
      </c>
      <c r="CP115" s="12">
        <f t="shared" si="61"/>
        <v>1.8</v>
      </c>
      <c r="CQ115">
        <v>3.4</v>
      </c>
      <c r="CR115" s="3">
        <f t="shared" si="62"/>
        <v>0.529411764705882</v>
      </c>
    </row>
    <row r="116" spans="2:96">
      <c r="B116" s="1">
        <v>46657</v>
      </c>
      <c r="C116">
        <v>32416</v>
      </c>
      <c r="D116" s="2">
        <f t="shared" si="63"/>
        <v>14241</v>
      </c>
      <c r="E116">
        <v>31904</v>
      </c>
      <c r="F116" s="3">
        <f t="shared" si="32"/>
        <v>0.44637036108325</v>
      </c>
      <c r="H116" s="1">
        <v>46234.0470671</v>
      </c>
      <c r="I116">
        <v>31145</v>
      </c>
      <c r="J116" s="2">
        <f t="shared" si="33"/>
        <v>15089.0470671</v>
      </c>
      <c r="K116">
        <v>32760</v>
      </c>
      <c r="L116" s="3">
        <f t="shared" si="34"/>
        <v>0.46059362231685</v>
      </c>
      <c r="N116" s="4">
        <v>275.606671645833</v>
      </c>
      <c r="O116">
        <v>201.27</v>
      </c>
      <c r="P116" s="5">
        <f t="shared" si="35"/>
        <v>74.336671645833</v>
      </c>
      <c r="Q116">
        <v>79.69</v>
      </c>
      <c r="R116" s="3">
        <f t="shared" si="36"/>
        <v>0.932823085027393</v>
      </c>
      <c r="T116" s="4">
        <v>188.399999620833</v>
      </c>
      <c r="U116">
        <v>100.23</v>
      </c>
      <c r="V116" s="5">
        <f t="shared" si="37"/>
        <v>88.169999620833</v>
      </c>
      <c r="W116">
        <v>410.93</v>
      </c>
      <c r="X116" s="3">
        <f t="shared" si="38"/>
        <v>0.214562089944353</v>
      </c>
      <c r="Z116" s="4">
        <v>22.8292858</v>
      </c>
      <c r="AA116">
        <v>13.25</v>
      </c>
      <c r="AB116" s="5">
        <f t="shared" si="39"/>
        <v>9.5792858</v>
      </c>
      <c r="AC116">
        <v>33.93</v>
      </c>
      <c r="AD116" s="3">
        <f t="shared" si="40"/>
        <v>0.282324957264957</v>
      </c>
      <c r="AF116" s="4">
        <v>3.69</v>
      </c>
      <c r="AG116">
        <v>2.09</v>
      </c>
      <c r="AH116" s="5">
        <f t="shared" si="41"/>
        <v>1.6</v>
      </c>
      <c r="AI116">
        <v>3.85</v>
      </c>
      <c r="AJ116" s="3">
        <f t="shared" si="42"/>
        <v>0.415584415584416</v>
      </c>
      <c r="AL116" s="4">
        <v>6.89556002</v>
      </c>
      <c r="AM116">
        <v>6.1</v>
      </c>
      <c r="AN116" s="5">
        <f t="shared" si="43"/>
        <v>0.79556002</v>
      </c>
      <c r="AO116">
        <v>1.89</v>
      </c>
      <c r="AP116" s="3">
        <f t="shared" si="44"/>
        <v>0.420931227513227</v>
      </c>
      <c r="AR116" s="4">
        <v>0.09375</v>
      </c>
      <c r="AS116">
        <v>0.02</v>
      </c>
      <c r="AT116" s="5">
        <f t="shared" si="45"/>
        <v>0.07375</v>
      </c>
      <c r="AU116">
        <v>2.84</v>
      </c>
      <c r="AV116" s="3">
        <f t="shared" si="46"/>
        <v>0.0259683098591549</v>
      </c>
      <c r="AX116" s="4">
        <v>8.81313333333333</v>
      </c>
      <c r="AY116">
        <v>3.44</v>
      </c>
      <c r="AZ116" s="5">
        <f t="shared" si="47"/>
        <v>5.37313333333333</v>
      </c>
      <c r="BA116">
        <v>29.17</v>
      </c>
      <c r="BB116" s="3">
        <f t="shared" si="48"/>
        <v>0.184200662781396</v>
      </c>
      <c r="BD116" s="4">
        <v>1.69266666666667</v>
      </c>
      <c r="BE116">
        <v>0.17</v>
      </c>
      <c r="BF116" s="5">
        <f t="shared" si="49"/>
        <v>1.52266666666667</v>
      </c>
      <c r="BG116">
        <v>4</v>
      </c>
      <c r="BH116" s="3">
        <f t="shared" si="50"/>
        <v>0.380666666666668</v>
      </c>
      <c r="BJ116" s="4">
        <v>11.0081666708333</v>
      </c>
      <c r="BK116">
        <v>4.8</v>
      </c>
      <c r="BL116" s="5">
        <f t="shared" si="51"/>
        <v>6.2081666708333</v>
      </c>
      <c r="BM116">
        <v>8.9</v>
      </c>
      <c r="BN116" s="3">
        <f t="shared" si="52"/>
        <v>0.697546816947562</v>
      </c>
      <c r="BP116" s="9">
        <v>0.253641666666666</v>
      </c>
      <c r="BQ116">
        <v>0.09</v>
      </c>
      <c r="BR116" s="5">
        <f t="shared" si="53"/>
        <v>0.163641666666666</v>
      </c>
      <c r="BS116">
        <v>0.43</v>
      </c>
      <c r="BT116" s="3">
        <f t="shared" si="54"/>
        <v>0.380562015503874</v>
      </c>
      <c r="BV116" s="4">
        <v>6.46817507083333</v>
      </c>
      <c r="BW116">
        <v>6.18</v>
      </c>
      <c r="BX116" s="5">
        <f t="shared" si="55"/>
        <v>0.28817507083333</v>
      </c>
      <c r="BY116">
        <v>1.68</v>
      </c>
      <c r="BZ116" s="3">
        <f t="shared" si="56"/>
        <v>0.171532780257935</v>
      </c>
      <c r="CB116" s="10">
        <v>116.3</v>
      </c>
      <c r="CC116">
        <v>54.3</v>
      </c>
      <c r="CD116" s="12">
        <f t="shared" si="57"/>
        <v>62</v>
      </c>
      <c r="CE116">
        <v>71.3</v>
      </c>
      <c r="CF116" s="3">
        <f t="shared" si="58"/>
        <v>0.869565217391304</v>
      </c>
      <c r="CH116" s="13">
        <v>30.8</v>
      </c>
      <c r="CI116">
        <v>22.6</v>
      </c>
      <c r="CJ116">
        <f t="shared" si="59"/>
        <v>8.2</v>
      </c>
      <c r="CK116">
        <v>25.1</v>
      </c>
      <c r="CL116">
        <f t="shared" si="60"/>
        <v>0.326693227091633</v>
      </c>
      <c r="CN116" s="10">
        <v>5.2</v>
      </c>
      <c r="CO116">
        <v>3</v>
      </c>
      <c r="CP116" s="12">
        <f t="shared" si="61"/>
        <v>2.2</v>
      </c>
      <c r="CQ116">
        <v>3.4</v>
      </c>
      <c r="CR116" s="3">
        <f t="shared" si="62"/>
        <v>0.647058823529412</v>
      </c>
    </row>
    <row r="117" spans="2:96">
      <c r="B117" s="1">
        <v>47903</v>
      </c>
      <c r="C117">
        <v>32416</v>
      </c>
      <c r="D117" s="2">
        <f t="shared" si="63"/>
        <v>15487</v>
      </c>
      <c r="E117">
        <v>31904</v>
      </c>
      <c r="F117" s="3">
        <f t="shared" si="32"/>
        <v>0.485425025075226</v>
      </c>
      <c r="H117" s="1">
        <v>47097.7839598</v>
      </c>
      <c r="I117">
        <v>31145</v>
      </c>
      <c r="J117" s="2">
        <f t="shared" si="33"/>
        <v>15952.7839598</v>
      </c>
      <c r="K117">
        <v>32760</v>
      </c>
      <c r="L117" s="3">
        <f t="shared" si="34"/>
        <v>0.486959217332112</v>
      </c>
      <c r="N117" s="4">
        <v>262.2033322625</v>
      </c>
      <c r="O117">
        <v>201.27</v>
      </c>
      <c r="P117" s="5">
        <f t="shared" si="35"/>
        <v>60.9333322625</v>
      </c>
      <c r="Q117">
        <v>79.69</v>
      </c>
      <c r="R117" s="3">
        <f t="shared" si="36"/>
        <v>0.764629592953946</v>
      </c>
      <c r="T117" s="4">
        <v>293.779168129167</v>
      </c>
      <c r="U117">
        <v>100.23</v>
      </c>
      <c r="V117" s="5">
        <f t="shared" si="37"/>
        <v>193.549168129167</v>
      </c>
      <c r="W117">
        <v>410.93</v>
      </c>
      <c r="X117" s="3">
        <f t="shared" si="38"/>
        <v>0.471002769642438</v>
      </c>
      <c r="Z117" s="4">
        <v>22.58</v>
      </c>
      <c r="AA117">
        <v>13.25</v>
      </c>
      <c r="AB117" s="5">
        <f t="shared" si="39"/>
        <v>9.33</v>
      </c>
      <c r="AC117">
        <v>33.93</v>
      </c>
      <c r="AD117" s="3">
        <f t="shared" si="40"/>
        <v>0.274977895667551</v>
      </c>
      <c r="AF117" s="4">
        <v>4.57</v>
      </c>
      <c r="AG117">
        <v>2.09</v>
      </c>
      <c r="AH117" s="5">
        <f t="shared" si="41"/>
        <v>2.48</v>
      </c>
      <c r="AI117">
        <v>3.85</v>
      </c>
      <c r="AJ117" s="3">
        <f t="shared" si="42"/>
        <v>0.644155844155844</v>
      </c>
      <c r="AL117" s="4">
        <v>6.90199995</v>
      </c>
      <c r="AM117">
        <v>6.1</v>
      </c>
      <c r="AN117" s="5">
        <f t="shared" si="43"/>
        <v>0.801999950000001</v>
      </c>
      <c r="AO117">
        <v>1.89</v>
      </c>
      <c r="AP117" s="3">
        <f t="shared" si="44"/>
        <v>0.424338597883598</v>
      </c>
      <c r="AR117" s="4">
        <v>0.09125</v>
      </c>
      <c r="AS117">
        <v>0.02</v>
      </c>
      <c r="AT117" s="5">
        <f t="shared" si="45"/>
        <v>0.07125</v>
      </c>
      <c r="AU117">
        <v>2.84</v>
      </c>
      <c r="AV117" s="3">
        <f t="shared" si="46"/>
        <v>0.0250880281690141</v>
      </c>
      <c r="AX117" s="4">
        <v>7.16820002916667</v>
      </c>
      <c r="AY117">
        <v>3.44</v>
      </c>
      <c r="AZ117" s="5">
        <f t="shared" si="47"/>
        <v>3.72820002916667</v>
      </c>
      <c r="BA117">
        <v>29.17</v>
      </c>
      <c r="BB117" s="3">
        <f t="shared" si="48"/>
        <v>0.12780939421209</v>
      </c>
      <c r="BD117" s="4">
        <v>1.47975</v>
      </c>
      <c r="BE117">
        <v>0.17</v>
      </c>
      <c r="BF117" s="5">
        <f t="shared" si="49"/>
        <v>1.30975</v>
      </c>
      <c r="BG117">
        <v>4</v>
      </c>
      <c r="BH117" s="3">
        <f t="shared" si="50"/>
        <v>0.3274375</v>
      </c>
      <c r="BJ117" s="4">
        <v>11.5183333458333</v>
      </c>
      <c r="BK117">
        <v>4.8</v>
      </c>
      <c r="BL117" s="5">
        <f t="shared" si="51"/>
        <v>6.7183333458333</v>
      </c>
      <c r="BM117">
        <v>8.9</v>
      </c>
      <c r="BN117" s="3">
        <f t="shared" si="52"/>
        <v>0.754868915262168</v>
      </c>
      <c r="BP117" s="9">
        <v>0.247583333333333</v>
      </c>
      <c r="BQ117">
        <v>0.09</v>
      </c>
      <c r="BR117" s="5">
        <f t="shared" si="53"/>
        <v>0.157583333333333</v>
      </c>
      <c r="BS117">
        <v>0.43</v>
      </c>
      <c r="BT117" s="3">
        <f t="shared" si="54"/>
        <v>0.366472868217053</v>
      </c>
      <c r="BV117" s="4">
        <v>6.4844500375</v>
      </c>
      <c r="BW117">
        <v>6.18</v>
      </c>
      <c r="BX117" s="5">
        <f t="shared" si="55"/>
        <v>0.304450037500001</v>
      </c>
      <c r="BY117">
        <v>1.68</v>
      </c>
      <c r="BZ117" s="3">
        <f t="shared" si="56"/>
        <v>0.181220260416667</v>
      </c>
      <c r="CB117" s="10">
        <v>117.8</v>
      </c>
      <c r="CC117">
        <v>54.3</v>
      </c>
      <c r="CD117" s="12">
        <f t="shared" si="57"/>
        <v>63.5</v>
      </c>
      <c r="CE117">
        <v>71.3</v>
      </c>
      <c r="CF117" s="3">
        <f t="shared" si="58"/>
        <v>0.890603085553997</v>
      </c>
      <c r="CH117" s="13">
        <v>28.7</v>
      </c>
      <c r="CI117">
        <v>22.6</v>
      </c>
      <c r="CJ117">
        <f t="shared" si="59"/>
        <v>6.1</v>
      </c>
      <c r="CK117">
        <v>25.1</v>
      </c>
      <c r="CL117">
        <f t="shared" si="60"/>
        <v>0.243027888446215</v>
      </c>
      <c r="CN117" s="10">
        <v>4.6</v>
      </c>
      <c r="CO117">
        <v>3</v>
      </c>
      <c r="CP117" s="12">
        <f t="shared" si="61"/>
        <v>1.6</v>
      </c>
      <c r="CQ117">
        <v>3.4</v>
      </c>
      <c r="CR117" s="3">
        <f t="shared" si="62"/>
        <v>0.470588235294118</v>
      </c>
    </row>
    <row r="118" spans="2:96">
      <c r="B118" s="1">
        <v>47253</v>
      </c>
      <c r="C118">
        <v>32416</v>
      </c>
      <c r="D118" s="2">
        <f t="shared" si="63"/>
        <v>14837</v>
      </c>
      <c r="E118">
        <v>31904</v>
      </c>
      <c r="F118" s="3">
        <f t="shared" si="32"/>
        <v>0.465051404212638</v>
      </c>
      <c r="H118" s="1">
        <v>46989.1964721</v>
      </c>
      <c r="I118">
        <v>31145</v>
      </c>
      <c r="J118" s="2">
        <f t="shared" si="33"/>
        <v>15844.1964721</v>
      </c>
      <c r="K118">
        <v>32760</v>
      </c>
      <c r="L118" s="3">
        <f t="shared" si="34"/>
        <v>0.483644580955433</v>
      </c>
      <c r="N118" s="4">
        <v>243.813333516667</v>
      </c>
      <c r="O118">
        <v>201.27</v>
      </c>
      <c r="P118" s="5">
        <f t="shared" si="35"/>
        <v>42.543333516667</v>
      </c>
      <c r="Q118">
        <v>79.69</v>
      </c>
      <c r="R118" s="3">
        <f t="shared" si="36"/>
        <v>0.533860377922788</v>
      </c>
      <c r="T118" s="4">
        <v>511.162502291667</v>
      </c>
      <c r="U118">
        <v>100.23</v>
      </c>
      <c r="V118" s="5">
        <f t="shared" si="37"/>
        <v>410.932502291667</v>
      </c>
      <c r="W118">
        <v>410.93</v>
      </c>
      <c r="X118" s="3">
        <f t="shared" si="38"/>
        <v>1.00000608933801</v>
      </c>
      <c r="Z118" s="4">
        <v>23.41</v>
      </c>
      <c r="AA118">
        <v>13.25</v>
      </c>
      <c r="AB118" s="5">
        <f t="shared" si="39"/>
        <v>10.16</v>
      </c>
      <c r="AC118">
        <v>33.93</v>
      </c>
      <c r="AD118" s="3">
        <f t="shared" si="40"/>
        <v>0.299440023577955</v>
      </c>
      <c r="AF118" s="4">
        <v>4.16</v>
      </c>
      <c r="AG118">
        <v>2.09</v>
      </c>
      <c r="AH118" s="5">
        <f t="shared" si="41"/>
        <v>2.07</v>
      </c>
      <c r="AI118">
        <v>3.85</v>
      </c>
      <c r="AJ118" s="3">
        <f t="shared" si="42"/>
        <v>0.537662337662338</v>
      </c>
      <c r="AL118" s="4">
        <v>6.871689985</v>
      </c>
      <c r="AM118">
        <v>6.1</v>
      </c>
      <c r="AN118" s="5">
        <f t="shared" si="43"/>
        <v>0.771689985</v>
      </c>
      <c r="AO118">
        <v>1.89</v>
      </c>
      <c r="AP118" s="3">
        <f t="shared" si="44"/>
        <v>0.408301579365079</v>
      </c>
      <c r="AR118" s="4">
        <v>0.0983333333333334</v>
      </c>
      <c r="AS118">
        <v>0.02</v>
      </c>
      <c r="AT118" s="5">
        <f t="shared" si="45"/>
        <v>0.0783333333333334</v>
      </c>
      <c r="AU118">
        <v>2.84</v>
      </c>
      <c r="AV118" s="3">
        <f t="shared" si="46"/>
        <v>0.0275821596244132</v>
      </c>
      <c r="AX118" s="4">
        <v>8.28013334166666</v>
      </c>
      <c r="AY118">
        <v>3.44</v>
      </c>
      <c r="AZ118" s="5">
        <f t="shared" si="47"/>
        <v>4.84013334166666</v>
      </c>
      <c r="BA118">
        <v>29.17</v>
      </c>
      <c r="BB118" s="3">
        <f t="shared" si="48"/>
        <v>0.165928465603931</v>
      </c>
      <c r="BD118" s="4">
        <v>1.03266667916667</v>
      </c>
      <c r="BE118">
        <v>0.17</v>
      </c>
      <c r="BF118" s="5">
        <f t="shared" si="49"/>
        <v>0.86266667916667</v>
      </c>
      <c r="BG118">
        <v>4</v>
      </c>
      <c r="BH118" s="3">
        <f t="shared" si="50"/>
        <v>0.215666669791668</v>
      </c>
      <c r="BJ118" s="4">
        <v>11.2415000208333</v>
      </c>
      <c r="BK118">
        <v>4.8</v>
      </c>
      <c r="BL118" s="5">
        <f t="shared" si="51"/>
        <v>6.4415000208333</v>
      </c>
      <c r="BM118">
        <v>8.9</v>
      </c>
      <c r="BN118" s="3">
        <f t="shared" si="52"/>
        <v>0.72376404728464</v>
      </c>
      <c r="BP118" s="9">
        <v>0.25785</v>
      </c>
      <c r="BQ118">
        <v>0.09</v>
      </c>
      <c r="BR118" s="5">
        <f t="shared" si="53"/>
        <v>0.16785</v>
      </c>
      <c r="BS118">
        <v>0.43</v>
      </c>
      <c r="BT118" s="3">
        <f t="shared" si="54"/>
        <v>0.390348837209302</v>
      </c>
      <c r="BV118" s="4">
        <v>6.4862583375</v>
      </c>
      <c r="BW118">
        <v>6.18</v>
      </c>
      <c r="BX118" s="5">
        <f t="shared" si="55"/>
        <v>0.3062583375</v>
      </c>
      <c r="BY118">
        <v>1.68</v>
      </c>
      <c r="BZ118" s="3">
        <f t="shared" si="56"/>
        <v>0.182296629464286</v>
      </c>
      <c r="CB118" s="10">
        <v>118.2</v>
      </c>
      <c r="CC118">
        <v>54.3</v>
      </c>
      <c r="CD118" s="12">
        <f t="shared" si="57"/>
        <v>63.9</v>
      </c>
      <c r="CE118">
        <v>71.3</v>
      </c>
      <c r="CF118" s="3">
        <f t="shared" si="58"/>
        <v>0.896213183730715</v>
      </c>
      <c r="CH118" s="13">
        <v>29.3</v>
      </c>
      <c r="CI118">
        <v>22.6</v>
      </c>
      <c r="CJ118">
        <f t="shared" si="59"/>
        <v>6.7</v>
      </c>
      <c r="CK118">
        <v>25.1</v>
      </c>
      <c r="CL118">
        <f t="shared" si="60"/>
        <v>0.266932270916335</v>
      </c>
      <c r="CN118" s="11">
        <v>4.3</v>
      </c>
      <c r="CO118">
        <v>3</v>
      </c>
      <c r="CP118" s="12">
        <f t="shared" si="61"/>
        <v>1.3</v>
      </c>
      <c r="CQ118">
        <v>3.4</v>
      </c>
      <c r="CR118" s="3">
        <f t="shared" si="62"/>
        <v>0.382352941176471</v>
      </c>
    </row>
    <row r="119" spans="2:96">
      <c r="B119" s="1">
        <v>48106</v>
      </c>
      <c r="C119">
        <v>32416</v>
      </c>
      <c r="D119" s="2">
        <f t="shared" si="63"/>
        <v>15690</v>
      </c>
      <c r="E119">
        <v>31904</v>
      </c>
      <c r="F119" s="3">
        <f t="shared" si="32"/>
        <v>0.491787863590772</v>
      </c>
      <c r="H119" s="1">
        <v>47915.8588601</v>
      </c>
      <c r="I119">
        <v>31145</v>
      </c>
      <c r="J119" s="2">
        <f t="shared" si="33"/>
        <v>16770.8588601</v>
      </c>
      <c r="K119">
        <v>32760</v>
      </c>
      <c r="L119" s="3">
        <f t="shared" si="34"/>
        <v>0.511930978635531</v>
      </c>
      <c r="N119" s="4">
        <v>262.513334275</v>
      </c>
      <c r="O119">
        <v>201.27</v>
      </c>
      <c r="P119" s="5">
        <f t="shared" si="35"/>
        <v>61.243334275</v>
      </c>
      <c r="Q119">
        <v>79.69</v>
      </c>
      <c r="R119" s="3">
        <f t="shared" si="36"/>
        <v>0.768519692244949</v>
      </c>
      <c r="T119" s="4">
        <v>185.100003245833</v>
      </c>
      <c r="U119">
        <v>100.23</v>
      </c>
      <c r="V119" s="5">
        <f t="shared" si="37"/>
        <v>84.870003245833</v>
      </c>
      <c r="W119">
        <v>410.93</v>
      </c>
      <c r="X119" s="3">
        <f t="shared" si="38"/>
        <v>0.206531533949415</v>
      </c>
      <c r="Z119" s="4">
        <v>24.62</v>
      </c>
      <c r="AA119">
        <v>13.25</v>
      </c>
      <c r="AB119" s="5">
        <f t="shared" si="39"/>
        <v>11.37</v>
      </c>
      <c r="AC119">
        <v>33.93</v>
      </c>
      <c r="AD119" s="3">
        <f t="shared" si="40"/>
        <v>0.335101679929266</v>
      </c>
      <c r="AF119" s="4">
        <v>3.76</v>
      </c>
      <c r="AG119">
        <v>2.09</v>
      </c>
      <c r="AH119" s="5">
        <f t="shared" si="41"/>
        <v>1.67</v>
      </c>
      <c r="AI119">
        <v>3.85</v>
      </c>
      <c r="AJ119" s="3">
        <f t="shared" si="42"/>
        <v>0.433766233766234</v>
      </c>
      <c r="AL119" s="4">
        <v>6.83433327142857</v>
      </c>
      <c r="AM119">
        <v>6.1</v>
      </c>
      <c r="AN119" s="5">
        <f t="shared" si="43"/>
        <v>0.734333271428571</v>
      </c>
      <c r="AO119">
        <v>1.89</v>
      </c>
      <c r="AP119" s="3">
        <f t="shared" si="44"/>
        <v>0.388536122448979</v>
      </c>
      <c r="AR119" s="4">
        <v>0.0895833333333333</v>
      </c>
      <c r="AS119">
        <v>0.02</v>
      </c>
      <c r="AT119" s="5">
        <f t="shared" si="45"/>
        <v>0.0695833333333333</v>
      </c>
      <c r="AU119">
        <v>2.84</v>
      </c>
      <c r="AV119" s="3">
        <f t="shared" si="46"/>
        <v>0.0245011737089202</v>
      </c>
      <c r="AX119" s="4">
        <v>4.2804666375</v>
      </c>
      <c r="AY119">
        <v>3.44</v>
      </c>
      <c r="AZ119" s="5">
        <f t="shared" si="47"/>
        <v>0.8404666375</v>
      </c>
      <c r="BA119">
        <v>29.17</v>
      </c>
      <c r="BB119" s="3">
        <f t="shared" si="48"/>
        <v>0.0288127061193007</v>
      </c>
      <c r="BD119" s="4">
        <v>2.03966665833333</v>
      </c>
      <c r="BE119">
        <v>0.17</v>
      </c>
      <c r="BF119" s="5">
        <f t="shared" si="49"/>
        <v>1.86966665833333</v>
      </c>
      <c r="BG119">
        <v>4</v>
      </c>
      <c r="BH119" s="3">
        <f t="shared" si="50"/>
        <v>0.467416664583333</v>
      </c>
      <c r="BJ119" s="9">
        <v>8.9633333375</v>
      </c>
      <c r="BK119">
        <v>4.8</v>
      </c>
      <c r="BL119" s="5">
        <f t="shared" si="51"/>
        <v>4.1633333375</v>
      </c>
      <c r="BM119">
        <v>8.9</v>
      </c>
      <c r="BN119" s="3">
        <f t="shared" si="52"/>
        <v>0.467790262640449</v>
      </c>
      <c r="BP119" s="9">
        <v>0.265941666666666</v>
      </c>
      <c r="BQ119">
        <v>0.09</v>
      </c>
      <c r="BR119" s="5">
        <f t="shared" si="53"/>
        <v>0.175941666666666</v>
      </c>
      <c r="BS119">
        <v>0.43</v>
      </c>
      <c r="BT119" s="3">
        <f t="shared" si="54"/>
        <v>0.409166666666665</v>
      </c>
      <c r="BV119" s="4">
        <v>6.44670830416667</v>
      </c>
      <c r="BW119">
        <v>6.18</v>
      </c>
      <c r="BX119" s="5">
        <f t="shared" si="55"/>
        <v>0.26670830416667</v>
      </c>
      <c r="BY119">
        <v>1.68</v>
      </c>
      <c r="BZ119" s="3">
        <f t="shared" si="56"/>
        <v>0.158754942956351</v>
      </c>
      <c r="CB119" s="10">
        <v>118.67</v>
      </c>
      <c r="CC119">
        <v>54.3</v>
      </c>
      <c r="CD119" s="12">
        <f t="shared" si="57"/>
        <v>64.37</v>
      </c>
      <c r="CE119">
        <v>71.3</v>
      </c>
      <c r="CF119" s="3">
        <f t="shared" si="58"/>
        <v>0.902805049088359</v>
      </c>
      <c r="CH119" s="14">
        <v>29.46</v>
      </c>
      <c r="CI119">
        <v>22.6</v>
      </c>
      <c r="CJ119">
        <f t="shared" si="59"/>
        <v>6.86</v>
      </c>
      <c r="CK119">
        <v>25.1</v>
      </c>
      <c r="CL119">
        <f t="shared" si="60"/>
        <v>0.273306772908366</v>
      </c>
      <c r="CN119" s="10">
        <v>5.1</v>
      </c>
      <c r="CO119">
        <v>3</v>
      </c>
      <c r="CP119" s="12">
        <f t="shared" si="61"/>
        <v>2.1</v>
      </c>
      <c r="CQ119">
        <v>3.4</v>
      </c>
      <c r="CR119" s="3">
        <f t="shared" si="62"/>
        <v>0.617647058823529</v>
      </c>
    </row>
    <row r="120" spans="2:96">
      <c r="B120" s="1">
        <v>47356</v>
      </c>
      <c r="C120">
        <v>32416</v>
      </c>
      <c r="D120" s="2">
        <f t="shared" si="63"/>
        <v>14940</v>
      </c>
      <c r="E120">
        <v>31904</v>
      </c>
      <c r="F120" s="3">
        <f t="shared" si="32"/>
        <v>0.468279839518556</v>
      </c>
      <c r="H120" s="1">
        <v>47079.861876</v>
      </c>
      <c r="I120">
        <v>31145</v>
      </c>
      <c r="J120" s="2">
        <f t="shared" si="33"/>
        <v>15934.861876</v>
      </c>
      <c r="K120">
        <v>32760</v>
      </c>
      <c r="L120" s="3">
        <f t="shared" si="34"/>
        <v>0.486412145177045</v>
      </c>
      <c r="N120" s="4">
        <v>266.926664983333</v>
      </c>
      <c r="O120">
        <v>201.27</v>
      </c>
      <c r="P120" s="5">
        <f t="shared" si="35"/>
        <v>65.656664983333</v>
      </c>
      <c r="Q120">
        <v>79.69</v>
      </c>
      <c r="R120" s="3">
        <f t="shared" si="36"/>
        <v>0.823900928389171</v>
      </c>
      <c r="T120" s="4">
        <v>227.625001908333</v>
      </c>
      <c r="U120">
        <v>100.23</v>
      </c>
      <c r="V120" s="5">
        <f t="shared" si="37"/>
        <v>127.395001908333</v>
      </c>
      <c r="W120">
        <v>410.93</v>
      </c>
      <c r="X120" s="3">
        <f t="shared" si="38"/>
        <v>0.310016309124019</v>
      </c>
      <c r="Z120" s="4">
        <v>23.64</v>
      </c>
      <c r="AA120">
        <v>13.25</v>
      </c>
      <c r="AB120" s="5">
        <f t="shared" si="39"/>
        <v>10.39</v>
      </c>
      <c r="AC120">
        <v>33.93</v>
      </c>
      <c r="AD120" s="3">
        <f t="shared" si="40"/>
        <v>0.30621868552903</v>
      </c>
      <c r="AF120" s="4">
        <v>4.33</v>
      </c>
      <c r="AG120">
        <v>2.09</v>
      </c>
      <c r="AH120" s="5">
        <f t="shared" si="41"/>
        <v>2.24</v>
      </c>
      <c r="AI120">
        <v>3.85</v>
      </c>
      <c r="AJ120" s="3">
        <f t="shared" si="42"/>
        <v>0.581818181818182</v>
      </c>
      <c r="AL120" s="4">
        <v>6.91109999</v>
      </c>
      <c r="AM120">
        <v>6.1</v>
      </c>
      <c r="AN120" s="5">
        <f t="shared" si="43"/>
        <v>0.811099990000001</v>
      </c>
      <c r="AO120">
        <v>1.89</v>
      </c>
      <c r="AP120" s="3">
        <f t="shared" si="44"/>
        <v>0.429153433862434</v>
      </c>
      <c r="AR120" s="4">
        <v>0.0975</v>
      </c>
      <c r="AS120">
        <v>0.02</v>
      </c>
      <c r="AT120" s="5">
        <f t="shared" si="45"/>
        <v>0.0775</v>
      </c>
      <c r="AU120">
        <v>2.84</v>
      </c>
      <c r="AV120" s="3">
        <f t="shared" si="46"/>
        <v>0.0272887323943662</v>
      </c>
      <c r="AX120" s="4">
        <v>4.6999332625</v>
      </c>
      <c r="AY120">
        <v>3.44</v>
      </c>
      <c r="AZ120" s="5">
        <f t="shared" si="47"/>
        <v>1.2599332625</v>
      </c>
      <c r="BA120">
        <v>29.17</v>
      </c>
      <c r="BB120" s="3">
        <f t="shared" si="48"/>
        <v>0.0431927755399383</v>
      </c>
      <c r="BD120" s="4">
        <v>1.36241665833333</v>
      </c>
      <c r="BE120">
        <v>0.17</v>
      </c>
      <c r="BF120" s="5">
        <f t="shared" si="49"/>
        <v>1.19241665833333</v>
      </c>
      <c r="BG120">
        <v>4</v>
      </c>
      <c r="BH120" s="3">
        <f t="shared" si="50"/>
        <v>0.298104164583332</v>
      </c>
      <c r="BJ120" s="9">
        <v>11.6534166625</v>
      </c>
      <c r="BK120">
        <v>4.8</v>
      </c>
      <c r="BL120" s="5">
        <f t="shared" si="51"/>
        <v>6.8534166625</v>
      </c>
      <c r="BM120">
        <v>8.9</v>
      </c>
      <c r="BN120" s="3">
        <f t="shared" si="52"/>
        <v>0.770046816011236</v>
      </c>
      <c r="BP120" s="9">
        <v>0.18</v>
      </c>
      <c r="BQ120">
        <v>0.09</v>
      </c>
      <c r="BR120" s="5">
        <f t="shared" si="53"/>
        <v>0.09</v>
      </c>
      <c r="BS120">
        <v>0.43</v>
      </c>
      <c r="BT120" s="3">
        <f t="shared" si="54"/>
        <v>0.209302325581395</v>
      </c>
      <c r="BV120" s="4">
        <v>6.3821332625</v>
      </c>
      <c r="BW120">
        <v>6.18</v>
      </c>
      <c r="BX120" s="5">
        <f t="shared" si="55"/>
        <v>0.2021332625</v>
      </c>
      <c r="BY120">
        <v>1.68</v>
      </c>
      <c r="BZ120" s="3">
        <f t="shared" si="56"/>
        <v>0.120317418154762</v>
      </c>
      <c r="CB120" s="10">
        <v>115.3</v>
      </c>
      <c r="CC120">
        <v>54.3</v>
      </c>
      <c r="CD120" s="12">
        <f t="shared" si="57"/>
        <v>61</v>
      </c>
      <c r="CE120">
        <v>71.3</v>
      </c>
      <c r="CF120" s="3">
        <f t="shared" si="58"/>
        <v>0.855539971949509</v>
      </c>
      <c r="CH120" s="13">
        <v>33.1</v>
      </c>
      <c r="CI120">
        <v>22.6</v>
      </c>
      <c r="CJ120">
        <f t="shared" si="59"/>
        <v>10.5</v>
      </c>
      <c r="CK120">
        <v>25.1</v>
      </c>
      <c r="CL120">
        <f t="shared" si="60"/>
        <v>0.418326693227092</v>
      </c>
      <c r="CN120" s="10">
        <v>4.6</v>
      </c>
      <c r="CO120">
        <v>3</v>
      </c>
      <c r="CP120" s="12">
        <f t="shared" si="61"/>
        <v>1.6</v>
      </c>
      <c r="CQ120">
        <v>3.4</v>
      </c>
      <c r="CR120" s="3">
        <f t="shared" si="62"/>
        <v>0.470588235294118</v>
      </c>
    </row>
    <row r="121" spans="2:96">
      <c r="B121" s="1">
        <v>50249</v>
      </c>
      <c r="C121">
        <v>32416</v>
      </c>
      <c r="D121" s="2">
        <f t="shared" si="63"/>
        <v>17833</v>
      </c>
      <c r="E121">
        <v>31904</v>
      </c>
      <c r="F121" s="3">
        <f t="shared" si="32"/>
        <v>0.558958124373119</v>
      </c>
      <c r="H121" s="1">
        <v>49794.9983538</v>
      </c>
      <c r="I121">
        <v>31145</v>
      </c>
      <c r="J121" s="2">
        <f t="shared" si="33"/>
        <v>18649.9983538</v>
      </c>
      <c r="K121">
        <v>32760</v>
      </c>
      <c r="L121" s="3">
        <f t="shared" si="34"/>
        <v>0.569291769041514</v>
      </c>
      <c r="N121" s="4">
        <v>261.113337204167</v>
      </c>
      <c r="O121">
        <v>201.27</v>
      </c>
      <c r="P121" s="5">
        <f t="shared" si="35"/>
        <v>59.843337204167</v>
      </c>
      <c r="Q121">
        <v>79.69</v>
      </c>
      <c r="R121" s="3">
        <f t="shared" si="36"/>
        <v>0.750951652706325</v>
      </c>
      <c r="T121" s="4">
        <v>145.704166408333</v>
      </c>
      <c r="U121">
        <v>100.23</v>
      </c>
      <c r="V121" s="5">
        <f t="shared" si="37"/>
        <v>45.474166408333</v>
      </c>
      <c r="W121">
        <v>410.93</v>
      </c>
      <c r="X121" s="3">
        <f t="shared" si="38"/>
        <v>0.110661588125308</v>
      </c>
      <c r="Z121" s="4">
        <v>28.63</v>
      </c>
      <c r="AA121">
        <v>13.25</v>
      </c>
      <c r="AB121" s="5">
        <f t="shared" si="39"/>
        <v>15.38</v>
      </c>
      <c r="AC121">
        <v>33.93</v>
      </c>
      <c r="AD121" s="3">
        <f t="shared" si="40"/>
        <v>0.453286177424108</v>
      </c>
      <c r="AF121" s="4">
        <v>4.57</v>
      </c>
      <c r="AG121">
        <v>2.09</v>
      </c>
      <c r="AH121" s="5">
        <f t="shared" si="41"/>
        <v>2.48</v>
      </c>
      <c r="AI121">
        <v>3.85</v>
      </c>
      <c r="AJ121" s="3">
        <f t="shared" si="42"/>
        <v>0.644155844155844</v>
      </c>
      <c r="AL121" s="4">
        <v>6.95805832083333</v>
      </c>
      <c r="AM121">
        <v>6.1</v>
      </c>
      <c r="AN121" s="5">
        <f t="shared" si="43"/>
        <v>0.85805832083333</v>
      </c>
      <c r="AO121">
        <v>1.89</v>
      </c>
      <c r="AP121" s="3">
        <f t="shared" si="44"/>
        <v>0.453999111552027</v>
      </c>
      <c r="AR121" s="4">
        <v>0.0841666666666667</v>
      </c>
      <c r="AS121">
        <v>0.02</v>
      </c>
      <c r="AT121" s="5">
        <f t="shared" si="45"/>
        <v>0.0641666666666667</v>
      </c>
      <c r="AU121">
        <v>2.84</v>
      </c>
      <c r="AV121" s="3">
        <f t="shared" si="46"/>
        <v>0.022593896713615</v>
      </c>
      <c r="AX121" s="4">
        <v>5.72780002916667</v>
      </c>
      <c r="AY121">
        <v>3.44</v>
      </c>
      <c r="AZ121" s="5">
        <f t="shared" si="47"/>
        <v>2.28780002916667</v>
      </c>
      <c r="BA121">
        <v>29.17</v>
      </c>
      <c r="BB121" s="3">
        <f t="shared" si="48"/>
        <v>0.0784298947263171</v>
      </c>
      <c r="BD121" s="4">
        <v>0.6994166625</v>
      </c>
      <c r="BE121">
        <v>0.17</v>
      </c>
      <c r="BF121" s="5">
        <f t="shared" si="49"/>
        <v>0.5294166625</v>
      </c>
      <c r="BG121">
        <v>4</v>
      </c>
      <c r="BH121" s="3">
        <f t="shared" si="50"/>
        <v>0.132354165625</v>
      </c>
      <c r="BJ121" s="9">
        <v>12.3827500541666</v>
      </c>
      <c r="BK121">
        <v>4.8</v>
      </c>
      <c r="BL121" s="5">
        <f t="shared" si="51"/>
        <v>7.5827500541666</v>
      </c>
      <c r="BM121">
        <v>8.9</v>
      </c>
      <c r="BN121" s="3">
        <f t="shared" si="52"/>
        <v>0.851994388108607</v>
      </c>
      <c r="BP121" s="9">
        <v>0.129666666666667</v>
      </c>
      <c r="BQ121">
        <v>0.09</v>
      </c>
      <c r="BR121" s="5">
        <f t="shared" si="53"/>
        <v>0.039666666666667</v>
      </c>
      <c r="BS121">
        <v>0.43</v>
      </c>
      <c r="BT121" s="3">
        <f t="shared" si="54"/>
        <v>0.0922480620155047</v>
      </c>
      <c r="BV121" s="4">
        <v>6.35996667083333</v>
      </c>
      <c r="BW121">
        <v>6.18</v>
      </c>
      <c r="BX121" s="5">
        <f t="shared" si="55"/>
        <v>0.179966670833331</v>
      </c>
      <c r="BY121">
        <v>1.68</v>
      </c>
      <c r="BZ121" s="3">
        <f t="shared" si="56"/>
        <v>0.107123018353173</v>
      </c>
      <c r="CB121" s="1">
        <v>113.9</v>
      </c>
      <c r="CC121">
        <v>54.3</v>
      </c>
      <c r="CD121" s="12">
        <f t="shared" si="57"/>
        <v>59.6</v>
      </c>
      <c r="CE121">
        <v>71.3</v>
      </c>
      <c r="CF121" s="3">
        <f t="shared" si="58"/>
        <v>0.835904628330996</v>
      </c>
      <c r="CH121" s="13">
        <v>31.9</v>
      </c>
      <c r="CI121">
        <v>22.6</v>
      </c>
      <c r="CJ121">
        <f t="shared" si="59"/>
        <v>9.3</v>
      </c>
      <c r="CK121">
        <v>25.1</v>
      </c>
      <c r="CL121">
        <f t="shared" si="60"/>
        <v>0.370517928286852</v>
      </c>
      <c r="CN121" s="13">
        <v>4.4</v>
      </c>
      <c r="CO121">
        <v>3</v>
      </c>
      <c r="CP121" s="12">
        <f t="shared" si="61"/>
        <v>1.4</v>
      </c>
      <c r="CQ121">
        <v>3.4</v>
      </c>
      <c r="CR121" s="3">
        <f t="shared" si="62"/>
        <v>0.411764705882353</v>
      </c>
    </row>
    <row r="122" spans="2:96">
      <c r="B122" s="1">
        <v>49873</v>
      </c>
      <c r="C122">
        <v>32416</v>
      </c>
      <c r="D122" s="2">
        <f t="shared" si="63"/>
        <v>17457</v>
      </c>
      <c r="E122">
        <v>31904</v>
      </c>
      <c r="F122" s="3">
        <f t="shared" si="32"/>
        <v>0.547172768304915</v>
      </c>
      <c r="H122" s="1">
        <v>49408</v>
      </c>
      <c r="I122">
        <v>31145</v>
      </c>
      <c r="J122" s="2">
        <f t="shared" si="33"/>
        <v>18263</v>
      </c>
      <c r="K122">
        <v>32760</v>
      </c>
      <c r="L122" s="3">
        <f t="shared" si="34"/>
        <v>0.557478632478632</v>
      </c>
      <c r="N122" s="4">
        <v>258.176667533333</v>
      </c>
      <c r="O122">
        <v>201.27</v>
      </c>
      <c r="P122" s="5">
        <f t="shared" si="35"/>
        <v>56.906667533333</v>
      </c>
      <c r="Q122">
        <v>79.69</v>
      </c>
      <c r="R122" s="3">
        <f t="shared" si="36"/>
        <v>0.714100483540381</v>
      </c>
      <c r="T122" s="4">
        <v>231.216666858333</v>
      </c>
      <c r="U122">
        <v>100.23</v>
      </c>
      <c r="V122" s="5">
        <f t="shared" si="37"/>
        <v>130.986666858333</v>
      </c>
      <c r="W122">
        <v>410.93</v>
      </c>
      <c r="X122" s="3">
        <f t="shared" si="38"/>
        <v>0.318756641905758</v>
      </c>
      <c r="Z122" s="4">
        <v>27.2935416916666</v>
      </c>
      <c r="AA122">
        <v>13.25</v>
      </c>
      <c r="AB122" s="5">
        <f t="shared" si="39"/>
        <v>14.0435416916666</v>
      </c>
      <c r="AC122">
        <v>33.93</v>
      </c>
      <c r="AD122" s="3">
        <f t="shared" si="40"/>
        <v>0.413897485754984</v>
      </c>
      <c r="AF122" s="4">
        <v>3.56</v>
      </c>
      <c r="AG122">
        <v>2.09</v>
      </c>
      <c r="AH122" s="5">
        <f t="shared" si="41"/>
        <v>1.47</v>
      </c>
      <c r="AI122">
        <v>3.85</v>
      </c>
      <c r="AJ122" s="3">
        <f t="shared" si="42"/>
        <v>0.381818181818182</v>
      </c>
      <c r="AL122" s="4">
        <v>6.81873687894737</v>
      </c>
      <c r="AM122">
        <v>6.1</v>
      </c>
      <c r="AN122" s="5">
        <f t="shared" si="43"/>
        <v>0.718736878947371</v>
      </c>
      <c r="AO122">
        <v>1.89</v>
      </c>
      <c r="AP122" s="3">
        <f t="shared" si="44"/>
        <v>0.380284062935117</v>
      </c>
      <c r="AR122" s="4">
        <v>0.189791666666666</v>
      </c>
      <c r="AS122">
        <v>0.02</v>
      </c>
      <c r="AT122" s="5">
        <f t="shared" si="45"/>
        <v>0.169791666666666</v>
      </c>
      <c r="AU122">
        <v>2.84</v>
      </c>
      <c r="AV122" s="3">
        <f t="shared" si="46"/>
        <v>0.0597857981220655</v>
      </c>
      <c r="AX122" s="4">
        <v>11.9955999541666</v>
      </c>
      <c r="AY122">
        <v>3.44</v>
      </c>
      <c r="AZ122" s="5">
        <f t="shared" si="47"/>
        <v>8.5555999541666</v>
      </c>
      <c r="BA122">
        <v>29.17</v>
      </c>
      <c r="BB122" s="3">
        <f t="shared" si="48"/>
        <v>0.293301335418807</v>
      </c>
      <c r="BD122" s="4">
        <v>1.645</v>
      </c>
      <c r="BE122">
        <v>0.17</v>
      </c>
      <c r="BF122" s="5">
        <f t="shared" si="49"/>
        <v>1.475</v>
      </c>
      <c r="BG122">
        <v>4</v>
      </c>
      <c r="BH122" s="3">
        <f t="shared" si="50"/>
        <v>0.36875</v>
      </c>
      <c r="BJ122" s="9">
        <v>9.68224998333333</v>
      </c>
      <c r="BK122">
        <v>4.8</v>
      </c>
      <c r="BL122" s="5">
        <f t="shared" si="51"/>
        <v>4.88224998333333</v>
      </c>
      <c r="BM122">
        <v>8.9</v>
      </c>
      <c r="BN122" s="3">
        <f t="shared" si="52"/>
        <v>0.548567413857677</v>
      </c>
      <c r="BP122" s="9">
        <v>0.139791666666667</v>
      </c>
      <c r="BQ122">
        <v>0.09</v>
      </c>
      <c r="BR122" s="5">
        <f t="shared" si="53"/>
        <v>0.049791666666667</v>
      </c>
      <c r="BS122">
        <v>0.43</v>
      </c>
      <c r="BT122" s="3">
        <f t="shared" si="54"/>
        <v>0.115794573643412</v>
      </c>
      <c r="BV122" s="4">
        <v>6.3681332875</v>
      </c>
      <c r="BW122">
        <v>6.18</v>
      </c>
      <c r="BX122" s="5">
        <f t="shared" si="55"/>
        <v>0.1881332875</v>
      </c>
      <c r="BY122">
        <v>1.68</v>
      </c>
      <c r="BZ122" s="3">
        <f t="shared" si="56"/>
        <v>0.111984099702381</v>
      </c>
      <c r="CB122" s="10">
        <v>112.5</v>
      </c>
      <c r="CC122">
        <v>54.3</v>
      </c>
      <c r="CD122" s="12">
        <f t="shared" si="57"/>
        <v>58.2</v>
      </c>
      <c r="CE122">
        <v>71.3</v>
      </c>
      <c r="CF122" s="3">
        <f t="shared" si="58"/>
        <v>0.816269284712483</v>
      </c>
      <c r="CH122" s="13">
        <v>30.6</v>
      </c>
      <c r="CI122">
        <v>22.6</v>
      </c>
      <c r="CJ122">
        <f t="shared" si="59"/>
        <v>8</v>
      </c>
      <c r="CK122">
        <v>25.1</v>
      </c>
      <c r="CL122">
        <f t="shared" si="60"/>
        <v>0.318725099601594</v>
      </c>
      <c r="CN122" s="11">
        <v>4.8</v>
      </c>
      <c r="CO122">
        <v>3</v>
      </c>
      <c r="CP122" s="12">
        <f t="shared" si="61"/>
        <v>1.8</v>
      </c>
      <c r="CQ122">
        <v>3.4</v>
      </c>
      <c r="CR122" s="3">
        <f t="shared" si="62"/>
        <v>0.529411764705882</v>
      </c>
    </row>
    <row r="123" spans="2:96">
      <c r="B123" s="1">
        <v>43021</v>
      </c>
      <c r="C123">
        <v>32416</v>
      </c>
      <c r="D123" s="2">
        <f t="shared" si="63"/>
        <v>10605</v>
      </c>
      <c r="E123">
        <v>31904</v>
      </c>
      <c r="F123" s="3">
        <f t="shared" si="32"/>
        <v>0.332403460381143</v>
      </c>
      <c r="H123" s="1">
        <v>42642</v>
      </c>
      <c r="I123">
        <v>31145</v>
      </c>
      <c r="J123" s="2">
        <f t="shared" si="33"/>
        <v>11497</v>
      </c>
      <c r="K123">
        <v>32760</v>
      </c>
      <c r="L123" s="3">
        <f t="shared" si="34"/>
        <v>0.350946275946276</v>
      </c>
      <c r="N123" s="4">
        <v>253.993335725</v>
      </c>
      <c r="O123">
        <v>201.27</v>
      </c>
      <c r="P123" s="5">
        <f t="shared" si="35"/>
        <v>52.723335725</v>
      </c>
      <c r="Q123">
        <v>79.69</v>
      </c>
      <c r="R123" s="3">
        <f t="shared" si="36"/>
        <v>0.661605417555528</v>
      </c>
      <c r="T123" s="4">
        <v>222.929166166667</v>
      </c>
      <c r="U123">
        <v>100.23</v>
      </c>
      <c r="V123" s="5">
        <f t="shared" si="37"/>
        <v>122.699166166667</v>
      </c>
      <c r="W123">
        <v>410.93</v>
      </c>
      <c r="X123" s="3">
        <f t="shared" si="38"/>
        <v>0.298588971763237</v>
      </c>
      <c r="Z123" s="4">
        <v>27.1041666541666</v>
      </c>
      <c r="AA123">
        <v>13.25</v>
      </c>
      <c r="AB123" s="5">
        <f t="shared" si="39"/>
        <v>13.8541666541666</v>
      </c>
      <c r="AC123">
        <v>33.93</v>
      </c>
      <c r="AD123" s="3">
        <f t="shared" si="40"/>
        <v>0.408316140706354</v>
      </c>
      <c r="AF123" s="4">
        <v>3.95</v>
      </c>
      <c r="AG123">
        <v>2.09</v>
      </c>
      <c r="AH123" s="5">
        <f t="shared" si="41"/>
        <v>1.86</v>
      </c>
      <c r="AI123">
        <v>3.85</v>
      </c>
      <c r="AJ123" s="3">
        <f t="shared" si="42"/>
        <v>0.483116883116883</v>
      </c>
      <c r="AL123" s="4">
        <v>6.87434992</v>
      </c>
      <c r="AM123">
        <v>6.1</v>
      </c>
      <c r="AN123" s="5">
        <f t="shared" si="43"/>
        <v>0.774349920000001</v>
      </c>
      <c r="AO123">
        <v>1.89</v>
      </c>
      <c r="AP123" s="3">
        <f t="shared" si="44"/>
        <v>0.409708952380953</v>
      </c>
      <c r="AR123" s="4">
        <v>0.261875</v>
      </c>
      <c r="AS123">
        <v>0.02</v>
      </c>
      <c r="AT123" s="5">
        <f t="shared" si="45"/>
        <v>0.241875</v>
      </c>
      <c r="AU123">
        <v>2.84</v>
      </c>
      <c r="AV123" s="3">
        <f t="shared" si="46"/>
        <v>0.0851672535211268</v>
      </c>
      <c r="AX123" s="4">
        <v>13.0457333916666</v>
      </c>
      <c r="AY123">
        <v>3.44</v>
      </c>
      <c r="AZ123" s="5">
        <f t="shared" si="47"/>
        <v>9.6057333916666</v>
      </c>
      <c r="BA123">
        <v>29.17</v>
      </c>
      <c r="BB123" s="3">
        <f t="shared" si="48"/>
        <v>0.329301796080446</v>
      </c>
      <c r="BD123" s="4">
        <v>0.615916666666667</v>
      </c>
      <c r="BE123">
        <v>0.17</v>
      </c>
      <c r="BF123" s="5">
        <f t="shared" si="49"/>
        <v>0.445916666666667</v>
      </c>
      <c r="BG123">
        <v>4</v>
      </c>
      <c r="BH123" s="3">
        <f t="shared" si="50"/>
        <v>0.111479166666667</v>
      </c>
      <c r="BJ123" s="9">
        <v>7.46249999583333</v>
      </c>
      <c r="BK123">
        <v>4.8</v>
      </c>
      <c r="BL123" s="5">
        <f t="shared" si="51"/>
        <v>2.66249999583333</v>
      </c>
      <c r="BM123">
        <v>8.9</v>
      </c>
      <c r="BN123" s="3">
        <f t="shared" si="52"/>
        <v>0.299157302902621</v>
      </c>
      <c r="BP123" s="9">
        <v>0.322291666666667</v>
      </c>
      <c r="BQ123">
        <v>0.09</v>
      </c>
      <c r="BR123" s="5">
        <f t="shared" si="53"/>
        <v>0.232291666666667</v>
      </c>
      <c r="BS123">
        <v>0.43</v>
      </c>
      <c r="BT123" s="3">
        <f t="shared" si="54"/>
        <v>0.540213178294574</v>
      </c>
      <c r="BV123" s="4">
        <v>6.4060500125</v>
      </c>
      <c r="BW123">
        <v>6.18</v>
      </c>
      <c r="BX123" s="5">
        <f t="shared" si="55"/>
        <v>0.2260500125</v>
      </c>
      <c r="BY123">
        <v>1.68</v>
      </c>
      <c r="BZ123" s="3">
        <f t="shared" si="56"/>
        <v>0.134553578869048</v>
      </c>
      <c r="CB123" s="10">
        <v>112.1</v>
      </c>
      <c r="CC123">
        <v>54.3</v>
      </c>
      <c r="CD123" s="12">
        <f t="shared" si="57"/>
        <v>57.8</v>
      </c>
      <c r="CE123">
        <v>71.3</v>
      </c>
      <c r="CF123" s="3">
        <f t="shared" si="58"/>
        <v>0.810659186535764</v>
      </c>
      <c r="CH123" s="13">
        <v>31.5</v>
      </c>
      <c r="CI123">
        <v>22.6</v>
      </c>
      <c r="CJ123">
        <f t="shared" si="59"/>
        <v>8.9</v>
      </c>
      <c r="CK123">
        <v>25.1</v>
      </c>
      <c r="CL123">
        <f t="shared" si="60"/>
        <v>0.354581673306773</v>
      </c>
      <c r="CN123" s="10">
        <v>4.7</v>
      </c>
      <c r="CO123">
        <v>3</v>
      </c>
      <c r="CP123" s="12">
        <f t="shared" si="61"/>
        <v>1.7</v>
      </c>
      <c r="CQ123">
        <v>3.4</v>
      </c>
      <c r="CR123" s="3">
        <f t="shared" si="62"/>
        <v>0.5</v>
      </c>
    </row>
    <row r="124" spans="2:96">
      <c r="B124" s="1">
        <v>42597</v>
      </c>
      <c r="C124">
        <v>32416</v>
      </c>
      <c r="D124" s="2">
        <f t="shared" si="63"/>
        <v>10181</v>
      </c>
      <c r="E124">
        <v>31904</v>
      </c>
      <c r="F124" s="3">
        <f t="shared" si="32"/>
        <v>0.319113590772317</v>
      </c>
      <c r="H124" s="1">
        <v>42178</v>
      </c>
      <c r="I124">
        <v>31145</v>
      </c>
      <c r="J124" s="2">
        <f t="shared" si="33"/>
        <v>11033</v>
      </c>
      <c r="K124">
        <v>32760</v>
      </c>
      <c r="L124" s="3">
        <f t="shared" si="34"/>
        <v>0.336782661782662</v>
      </c>
      <c r="N124" s="4">
        <v>257.436669658333</v>
      </c>
      <c r="O124">
        <v>201.27</v>
      </c>
      <c r="P124" s="5">
        <f t="shared" si="35"/>
        <v>56.166669658333</v>
      </c>
      <c r="Q124">
        <v>79.69</v>
      </c>
      <c r="R124" s="3">
        <f t="shared" si="36"/>
        <v>0.70481452702137</v>
      </c>
      <c r="T124" s="4">
        <v>203.0208333375</v>
      </c>
      <c r="U124">
        <v>100.23</v>
      </c>
      <c r="V124" s="5">
        <f t="shared" si="37"/>
        <v>102.7908333375</v>
      </c>
      <c r="W124">
        <v>410.93</v>
      </c>
      <c r="X124" s="3">
        <f t="shared" si="38"/>
        <v>0.250141954438712</v>
      </c>
      <c r="Z124" s="4">
        <v>31.3666660833333</v>
      </c>
      <c r="AA124">
        <v>13.25</v>
      </c>
      <c r="AB124" s="5">
        <f t="shared" si="39"/>
        <v>18.1166660833333</v>
      </c>
      <c r="AC124">
        <v>33.93</v>
      </c>
      <c r="AD124" s="3">
        <f t="shared" si="40"/>
        <v>0.533942413301895</v>
      </c>
      <c r="AF124" s="4">
        <v>3.91</v>
      </c>
      <c r="AG124">
        <v>2.09</v>
      </c>
      <c r="AH124" s="5">
        <f t="shared" si="41"/>
        <v>1.82</v>
      </c>
      <c r="AI124">
        <v>3.85</v>
      </c>
      <c r="AJ124" s="3">
        <f t="shared" si="42"/>
        <v>0.472727272727273</v>
      </c>
      <c r="AL124" s="4">
        <v>6.95805832083333</v>
      </c>
      <c r="AM124">
        <v>6.1</v>
      </c>
      <c r="AN124" s="5">
        <f t="shared" si="43"/>
        <v>0.85805832083333</v>
      </c>
      <c r="AO124">
        <v>1.89</v>
      </c>
      <c r="AP124" s="3">
        <f t="shared" si="44"/>
        <v>0.453999111552027</v>
      </c>
      <c r="AR124" s="4">
        <v>0.389791666666666</v>
      </c>
      <c r="AS124">
        <v>0.02</v>
      </c>
      <c r="AT124" s="5">
        <f t="shared" si="45"/>
        <v>0.369791666666666</v>
      </c>
      <c r="AU124">
        <v>2.84</v>
      </c>
      <c r="AV124" s="3">
        <f t="shared" si="46"/>
        <v>0.130208333333333</v>
      </c>
      <c r="AX124" s="4">
        <v>16.3990667833333</v>
      </c>
      <c r="AY124">
        <v>3.44</v>
      </c>
      <c r="AZ124" s="5">
        <f t="shared" si="47"/>
        <v>12.9590667833333</v>
      </c>
      <c r="BA124">
        <v>29.17</v>
      </c>
      <c r="BB124" s="3">
        <f t="shared" si="48"/>
        <v>0.444260088561306</v>
      </c>
      <c r="BD124" s="4">
        <v>0.612166666666667</v>
      </c>
      <c r="BE124">
        <v>0.17</v>
      </c>
      <c r="BF124" s="5">
        <f t="shared" si="49"/>
        <v>0.442166666666667</v>
      </c>
      <c r="BG124">
        <v>4</v>
      </c>
      <c r="BH124" s="3">
        <f t="shared" si="50"/>
        <v>0.110541666666667</v>
      </c>
      <c r="BJ124" s="9">
        <v>11.3150000458333</v>
      </c>
      <c r="BK124">
        <v>4.8</v>
      </c>
      <c r="BL124" s="5">
        <f t="shared" si="51"/>
        <v>6.5150000458333</v>
      </c>
      <c r="BM124">
        <v>8.9</v>
      </c>
      <c r="BN124" s="3">
        <f t="shared" si="52"/>
        <v>0.732022477059921</v>
      </c>
      <c r="BP124" s="9">
        <v>0.26235</v>
      </c>
      <c r="BQ124">
        <v>0.09</v>
      </c>
      <c r="BR124" s="5">
        <f t="shared" si="53"/>
        <v>0.17235</v>
      </c>
      <c r="BS124">
        <v>0.43</v>
      </c>
      <c r="BT124" s="3">
        <f t="shared" si="54"/>
        <v>0.400813953488372</v>
      </c>
      <c r="BV124" s="4">
        <v>6.388550025</v>
      </c>
      <c r="BW124">
        <v>6.18</v>
      </c>
      <c r="BX124" s="5">
        <f t="shared" si="55"/>
        <v>0.208550025</v>
      </c>
      <c r="BY124">
        <v>1.68</v>
      </c>
      <c r="BZ124" s="3">
        <f t="shared" si="56"/>
        <v>0.124136919642857</v>
      </c>
      <c r="CB124" s="10">
        <v>112.5</v>
      </c>
      <c r="CC124">
        <v>54.3</v>
      </c>
      <c r="CD124" s="12">
        <f t="shared" si="57"/>
        <v>58.2</v>
      </c>
      <c r="CE124">
        <v>71.3</v>
      </c>
      <c r="CF124" s="3">
        <f t="shared" si="58"/>
        <v>0.816269284712483</v>
      </c>
      <c r="CH124" s="13">
        <v>33.7</v>
      </c>
      <c r="CI124">
        <v>22.6</v>
      </c>
      <c r="CJ124">
        <f t="shared" si="59"/>
        <v>11.1</v>
      </c>
      <c r="CK124">
        <v>25.1</v>
      </c>
      <c r="CL124">
        <f t="shared" si="60"/>
        <v>0.442231075697211</v>
      </c>
      <c r="CN124" s="10">
        <v>4.9</v>
      </c>
      <c r="CO124">
        <v>3</v>
      </c>
      <c r="CP124" s="12">
        <f t="shared" si="61"/>
        <v>1.9</v>
      </c>
      <c r="CQ124">
        <v>3.4</v>
      </c>
      <c r="CR124" s="3">
        <f t="shared" si="62"/>
        <v>0.558823529411765</v>
      </c>
    </row>
    <row r="125" spans="2:96">
      <c r="B125" s="1">
        <v>44679</v>
      </c>
      <c r="C125">
        <v>32416</v>
      </c>
      <c r="D125" s="2">
        <f t="shared" si="63"/>
        <v>12263</v>
      </c>
      <c r="E125">
        <v>31904</v>
      </c>
      <c r="F125" s="3">
        <f t="shared" si="32"/>
        <v>0.38437186559679</v>
      </c>
      <c r="H125" s="1">
        <v>44281</v>
      </c>
      <c r="I125">
        <v>31145</v>
      </c>
      <c r="J125" s="2">
        <f t="shared" si="33"/>
        <v>13136</v>
      </c>
      <c r="K125">
        <v>32760</v>
      </c>
      <c r="L125" s="3">
        <f t="shared" si="34"/>
        <v>0.400976800976801</v>
      </c>
      <c r="N125" s="4">
        <v>269.68000285</v>
      </c>
      <c r="O125">
        <v>201.27</v>
      </c>
      <c r="P125" s="5">
        <f t="shared" si="35"/>
        <v>68.41000285</v>
      </c>
      <c r="Q125">
        <v>79.69</v>
      </c>
      <c r="R125" s="3">
        <f t="shared" si="36"/>
        <v>0.858451535324382</v>
      </c>
      <c r="T125" s="4">
        <v>152.783334733333</v>
      </c>
      <c r="U125">
        <v>100.23</v>
      </c>
      <c r="V125" s="5">
        <f t="shared" si="37"/>
        <v>52.553334733333</v>
      </c>
      <c r="W125">
        <v>410.93</v>
      </c>
      <c r="X125" s="3">
        <f t="shared" si="38"/>
        <v>0.127888776028358</v>
      </c>
      <c r="Z125" s="4">
        <v>27.2212499458333</v>
      </c>
      <c r="AA125">
        <v>13.25</v>
      </c>
      <c r="AB125" s="5">
        <f t="shared" si="39"/>
        <v>13.9712499458333</v>
      </c>
      <c r="AC125">
        <v>33.93</v>
      </c>
      <c r="AD125" s="3">
        <f t="shared" si="40"/>
        <v>0.411766871377345</v>
      </c>
      <c r="AF125" s="4">
        <v>4.06</v>
      </c>
      <c r="AG125">
        <v>2.09</v>
      </c>
      <c r="AH125" s="5">
        <f t="shared" si="41"/>
        <v>1.97</v>
      </c>
      <c r="AI125">
        <v>3.85</v>
      </c>
      <c r="AJ125" s="3">
        <f t="shared" si="42"/>
        <v>0.511688311688312</v>
      </c>
      <c r="AL125" s="4">
        <v>6.93740840416667</v>
      </c>
      <c r="AM125">
        <v>6.1</v>
      </c>
      <c r="AN125" s="5">
        <f t="shared" si="43"/>
        <v>0.837408404166671</v>
      </c>
      <c r="AO125">
        <v>1.89</v>
      </c>
      <c r="AP125" s="3">
        <f t="shared" si="44"/>
        <v>0.443073229717815</v>
      </c>
      <c r="AR125" s="4">
        <v>0.590416666666666</v>
      </c>
      <c r="AS125">
        <v>0.02</v>
      </c>
      <c r="AT125" s="5">
        <f t="shared" si="45"/>
        <v>0.570416666666666</v>
      </c>
      <c r="AU125">
        <v>2.84</v>
      </c>
      <c r="AV125" s="3">
        <f t="shared" si="46"/>
        <v>0.200850938967136</v>
      </c>
      <c r="AX125" s="4">
        <v>15.7537999583333</v>
      </c>
      <c r="AY125">
        <v>3.44</v>
      </c>
      <c r="AZ125" s="5">
        <f t="shared" si="47"/>
        <v>12.3137999583333</v>
      </c>
      <c r="BA125">
        <v>29.17</v>
      </c>
      <c r="BB125" s="3">
        <f t="shared" si="48"/>
        <v>0.422139182664837</v>
      </c>
      <c r="BD125" s="4">
        <v>0.738083333333333</v>
      </c>
      <c r="BE125">
        <v>0.17</v>
      </c>
      <c r="BF125" s="5">
        <f t="shared" si="49"/>
        <v>0.568083333333333</v>
      </c>
      <c r="BG125">
        <v>4</v>
      </c>
      <c r="BH125" s="3">
        <f t="shared" si="50"/>
        <v>0.142020833333333</v>
      </c>
      <c r="BJ125" s="9">
        <v>9.33316665833333</v>
      </c>
      <c r="BK125">
        <v>4.8</v>
      </c>
      <c r="BL125" s="5">
        <f t="shared" si="51"/>
        <v>4.53316665833333</v>
      </c>
      <c r="BM125">
        <v>8.9</v>
      </c>
      <c r="BN125" s="3">
        <f t="shared" si="52"/>
        <v>0.50934456835206</v>
      </c>
      <c r="BP125" s="9">
        <v>0.27155</v>
      </c>
      <c r="BQ125">
        <v>0.09</v>
      </c>
      <c r="BR125" s="5">
        <f t="shared" si="53"/>
        <v>0.18155</v>
      </c>
      <c r="BS125">
        <v>0.43</v>
      </c>
      <c r="BT125" s="3">
        <f t="shared" si="54"/>
        <v>0.422209302325581</v>
      </c>
      <c r="BV125" s="4">
        <v>6.390299975</v>
      </c>
      <c r="BW125">
        <v>6.18</v>
      </c>
      <c r="BX125" s="5">
        <f t="shared" si="55"/>
        <v>0.210299975</v>
      </c>
      <c r="BY125">
        <v>1.68</v>
      </c>
      <c r="BZ125" s="3">
        <f t="shared" si="56"/>
        <v>0.125178556547619</v>
      </c>
      <c r="CB125" s="10">
        <v>112.8</v>
      </c>
      <c r="CC125">
        <v>54.3</v>
      </c>
      <c r="CD125" s="12">
        <f t="shared" si="57"/>
        <v>58.5</v>
      </c>
      <c r="CE125">
        <v>71.3</v>
      </c>
      <c r="CF125" s="3">
        <f t="shared" si="58"/>
        <v>0.820476858345021</v>
      </c>
      <c r="CH125" s="13">
        <v>35.9</v>
      </c>
      <c r="CI125">
        <v>22.6</v>
      </c>
      <c r="CJ125">
        <f t="shared" si="59"/>
        <v>13.3</v>
      </c>
      <c r="CK125">
        <v>25.1</v>
      </c>
      <c r="CL125">
        <f t="shared" si="60"/>
        <v>0.529880478087649</v>
      </c>
      <c r="CN125" s="10">
        <v>5.2</v>
      </c>
      <c r="CO125">
        <v>3</v>
      </c>
      <c r="CP125" s="12">
        <f t="shared" si="61"/>
        <v>2.2</v>
      </c>
      <c r="CQ125">
        <v>3.4</v>
      </c>
      <c r="CR125" s="3">
        <f t="shared" si="62"/>
        <v>0.647058823529412</v>
      </c>
    </row>
    <row r="126" spans="2:96">
      <c r="B126" s="1">
        <v>50246</v>
      </c>
      <c r="C126">
        <v>32416</v>
      </c>
      <c r="D126" s="2">
        <f t="shared" si="63"/>
        <v>17830</v>
      </c>
      <c r="E126">
        <v>31904</v>
      </c>
      <c r="F126" s="3">
        <f t="shared" si="32"/>
        <v>0.558864092276831</v>
      </c>
      <c r="H126" s="1">
        <v>49820</v>
      </c>
      <c r="I126">
        <v>31145</v>
      </c>
      <c r="J126" s="2">
        <f t="shared" si="33"/>
        <v>18675</v>
      </c>
      <c r="K126">
        <v>32760</v>
      </c>
      <c r="L126" s="3">
        <f t="shared" si="34"/>
        <v>0.570054945054945</v>
      </c>
      <c r="N126" s="4">
        <v>272.8833306625</v>
      </c>
      <c r="O126">
        <v>201.27</v>
      </c>
      <c r="P126" s="5">
        <f t="shared" si="35"/>
        <v>71.6133306625</v>
      </c>
      <c r="Q126">
        <v>79.69</v>
      </c>
      <c r="R126" s="3">
        <f t="shared" si="36"/>
        <v>0.89864889776007</v>
      </c>
      <c r="T126" s="4">
        <v>150.9291661625</v>
      </c>
      <c r="U126">
        <v>100.23</v>
      </c>
      <c r="V126" s="5">
        <f t="shared" si="37"/>
        <v>50.6991661625</v>
      </c>
      <c r="W126">
        <v>410.93</v>
      </c>
      <c r="X126" s="3">
        <f t="shared" si="38"/>
        <v>0.12337664848636</v>
      </c>
      <c r="Z126" s="4">
        <v>35.6114584291666</v>
      </c>
      <c r="AA126">
        <v>13.25</v>
      </c>
      <c r="AB126" s="5">
        <f t="shared" si="39"/>
        <v>22.3614584291666</v>
      </c>
      <c r="AC126">
        <v>33.93</v>
      </c>
      <c r="AD126" s="3">
        <f t="shared" si="40"/>
        <v>0.659046814888494</v>
      </c>
      <c r="AF126" s="4">
        <v>3.64</v>
      </c>
      <c r="AG126">
        <v>2.09</v>
      </c>
      <c r="AH126" s="5">
        <f t="shared" si="41"/>
        <v>1.55</v>
      </c>
      <c r="AI126">
        <v>3.85</v>
      </c>
      <c r="AJ126" s="3">
        <f t="shared" si="42"/>
        <v>0.402597402597403</v>
      </c>
      <c r="AL126" s="4">
        <v>6.94850430434783</v>
      </c>
      <c r="AM126">
        <v>6.1</v>
      </c>
      <c r="AN126" s="5">
        <f t="shared" si="43"/>
        <v>0.848504304347831</v>
      </c>
      <c r="AO126">
        <v>1.89</v>
      </c>
      <c r="AP126" s="3">
        <f t="shared" si="44"/>
        <v>0.448944076374514</v>
      </c>
      <c r="AR126" s="4">
        <v>0.485</v>
      </c>
      <c r="AS126">
        <v>0.02</v>
      </c>
      <c r="AT126" s="5">
        <f t="shared" si="45"/>
        <v>0.465</v>
      </c>
      <c r="AU126">
        <v>2.84</v>
      </c>
      <c r="AV126" s="3">
        <f t="shared" si="46"/>
        <v>0.163732394366197</v>
      </c>
      <c r="AX126" s="4">
        <v>12.8440666833333</v>
      </c>
      <c r="AY126">
        <v>3.44</v>
      </c>
      <c r="AZ126" s="5">
        <f t="shared" si="47"/>
        <v>9.4040666833333</v>
      </c>
      <c r="BA126">
        <v>29.17</v>
      </c>
      <c r="BB126" s="3">
        <f t="shared" si="48"/>
        <v>0.322388299051536</v>
      </c>
      <c r="BD126" s="4">
        <v>1.20766666666666</v>
      </c>
      <c r="BE126">
        <v>0.17</v>
      </c>
      <c r="BF126" s="5">
        <f t="shared" si="49"/>
        <v>1.03766666666666</v>
      </c>
      <c r="BG126">
        <v>4</v>
      </c>
      <c r="BH126" s="3">
        <f t="shared" si="50"/>
        <v>0.259416666666665</v>
      </c>
      <c r="BJ126" s="9">
        <v>10.0439999875</v>
      </c>
      <c r="BK126">
        <v>4.8</v>
      </c>
      <c r="BL126" s="5">
        <f t="shared" si="51"/>
        <v>5.2439999875</v>
      </c>
      <c r="BM126">
        <v>8.9</v>
      </c>
      <c r="BN126" s="3">
        <f t="shared" si="52"/>
        <v>0.589213481741573</v>
      </c>
      <c r="BP126" s="9">
        <v>0.165416666666666</v>
      </c>
      <c r="BQ126">
        <v>0.09</v>
      </c>
      <c r="BR126" s="5">
        <f t="shared" si="53"/>
        <v>0.075416666666666</v>
      </c>
      <c r="BS126">
        <v>0.43</v>
      </c>
      <c r="BT126" s="3">
        <f t="shared" si="54"/>
        <v>0.175387596899223</v>
      </c>
      <c r="BV126" s="4">
        <v>6.3410083625</v>
      </c>
      <c r="BW126">
        <v>6.18</v>
      </c>
      <c r="BX126" s="5">
        <f t="shared" si="55"/>
        <v>0.161008362500001</v>
      </c>
      <c r="BY126">
        <v>1.68</v>
      </c>
      <c r="BZ126" s="3">
        <f t="shared" si="56"/>
        <v>0.0958383110119051</v>
      </c>
      <c r="CB126" s="10">
        <v>111.4</v>
      </c>
      <c r="CC126">
        <v>54.3</v>
      </c>
      <c r="CD126" s="12">
        <f t="shared" si="57"/>
        <v>57.1</v>
      </c>
      <c r="CE126">
        <v>71.3</v>
      </c>
      <c r="CF126" s="3">
        <f t="shared" si="58"/>
        <v>0.800841514726508</v>
      </c>
      <c r="CH126" s="13">
        <v>37.7</v>
      </c>
      <c r="CI126">
        <v>22.6</v>
      </c>
      <c r="CJ126">
        <f t="shared" si="59"/>
        <v>15.1</v>
      </c>
      <c r="CK126">
        <v>25.1</v>
      </c>
      <c r="CL126">
        <f t="shared" si="60"/>
        <v>0.601593625498008</v>
      </c>
      <c r="CN126" s="10">
        <v>4.3</v>
      </c>
      <c r="CO126">
        <v>3</v>
      </c>
      <c r="CP126" s="12">
        <f t="shared" si="61"/>
        <v>1.3</v>
      </c>
      <c r="CQ126">
        <v>3.4</v>
      </c>
      <c r="CR126" s="3">
        <f t="shared" si="62"/>
        <v>0.382352941176471</v>
      </c>
    </row>
    <row r="127" spans="2:96">
      <c r="B127" s="1">
        <v>37214</v>
      </c>
      <c r="C127">
        <v>32416</v>
      </c>
      <c r="D127" s="2">
        <f t="shared" si="63"/>
        <v>4798</v>
      </c>
      <c r="E127">
        <v>31904</v>
      </c>
      <c r="F127" s="3">
        <f t="shared" si="32"/>
        <v>0.150388665997994</v>
      </c>
      <c r="H127" s="1">
        <v>36723</v>
      </c>
      <c r="I127">
        <v>31145</v>
      </c>
      <c r="J127" s="2">
        <f t="shared" si="33"/>
        <v>5578</v>
      </c>
      <c r="K127">
        <v>32760</v>
      </c>
      <c r="L127" s="3">
        <f t="shared" si="34"/>
        <v>0.17026862026862</v>
      </c>
      <c r="N127" s="4">
        <v>255.190001804167</v>
      </c>
      <c r="O127">
        <v>201.27</v>
      </c>
      <c r="P127" s="5">
        <f t="shared" si="35"/>
        <v>53.920001804167</v>
      </c>
      <c r="Q127">
        <v>79.69</v>
      </c>
      <c r="R127" s="3">
        <f t="shared" si="36"/>
        <v>0.676621932540682</v>
      </c>
      <c r="T127" s="4">
        <v>279.375003183333</v>
      </c>
      <c r="U127">
        <v>100.23</v>
      </c>
      <c r="V127" s="5">
        <f t="shared" si="37"/>
        <v>179.145003183333</v>
      </c>
      <c r="W127">
        <v>410.93</v>
      </c>
      <c r="X127" s="3">
        <f t="shared" si="38"/>
        <v>0.435950169574704</v>
      </c>
      <c r="Z127" s="4">
        <v>36.2643750333333</v>
      </c>
      <c r="AA127">
        <v>13.25</v>
      </c>
      <c r="AB127" s="5">
        <f t="shared" si="39"/>
        <v>23.0143750333333</v>
      </c>
      <c r="AC127">
        <v>33.93</v>
      </c>
      <c r="AD127" s="3">
        <f t="shared" si="40"/>
        <v>0.67828986246193</v>
      </c>
      <c r="AF127" s="4">
        <v>3.73</v>
      </c>
      <c r="AG127">
        <v>2.09</v>
      </c>
      <c r="AH127" s="5">
        <f t="shared" si="41"/>
        <v>1.64</v>
      </c>
      <c r="AI127">
        <v>3.85</v>
      </c>
      <c r="AJ127" s="3">
        <f t="shared" si="42"/>
        <v>0.425974025974026</v>
      </c>
      <c r="AL127" s="4">
        <v>6.91109999</v>
      </c>
      <c r="AM127">
        <v>6.1</v>
      </c>
      <c r="AN127" s="5">
        <f t="shared" si="43"/>
        <v>0.811099990000001</v>
      </c>
      <c r="AO127">
        <v>1.89</v>
      </c>
      <c r="AP127" s="3">
        <f t="shared" si="44"/>
        <v>0.429153433862434</v>
      </c>
      <c r="AR127" s="4">
        <v>0.688541666666666</v>
      </c>
      <c r="AS127">
        <v>0.02</v>
      </c>
      <c r="AT127" s="5">
        <f t="shared" si="45"/>
        <v>0.668541666666666</v>
      </c>
      <c r="AU127">
        <v>2.84</v>
      </c>
      <c r="AV127" s="3">
        <f t="shared" si="46"/>
        <v>0.235401995305164</v>
      </c>
      <c r="AX127" s="4">
        <v>11.6951333875</v>
      </c>
      <c r="AY127">
        <v>3.44</v>
      </c>
      <c r="AZ127" s="5">
        <f t="shared" si="47"/>
        <v>8.2551333875</v>
      </c>
      <c r="BA127">
        <v>29.17</v>
      </c>
      <c r="BB127" s="3">
        <f t="shared" si="48"/>
        <v>0.283000801765513</v>
      </c>
      <c r="BD127" s="4">
        <v>0.454666670833333</v>
      </c>
      <c r="BE127">
        <v>0.17</v>
      </c>
      <c r="BF127" s="5">
        <f t="shared" si="49"/>
        <v>0.284666670833333</v>
      </c>
      <c r="BG127">
        <v>4</v>
      </c>
      <c r="BH127" s="3">
        <f t="shared" si="50"/>
        <v>0.0711666677083332</v>
      </c>
      <c r="BJ127" s="9">
        <v>8.398583325</v>
      </c>
      <c r="BK127">
        <v>4.8</v>
      </c>
      <c r="BL127" s="5">
        <f t="shared" si="51"/>
        <v>3.598583325</v>
      </c>
      <c r="BM127">
        <v>8.9</v>
      </c>
      <c r="BN127" s="3">
        <f t="shared" si="52"/>
        <v>0.40433520505618</v>
      </c>
      <c r="BP127" s="9">
        <v>0.200591666666667</v>
      </c>
      <c r="BQ127">
        <v>0.09</v>
      </c>
      <c r="BR127" s="5">
        <f t="shared" si="53"/>
        <v>0.110591666666667</v>
      </c>
      <c r="BS127">
        <v>0.43</v>
      </c>
      <c r="BT127" s="3">
        <f t="shared" si="54"/>
        <v>0.257189922480621</v>
      </c>
      <c r="BV127" s="4">
        <v>6.4370249375</v>
      </c>
      <c r="BW127">
        <v>6.18</v>
      </c>
      <c r="BX127" s="5">
        <f t="shared" si="55"/>
        <v>0.257024937500001</v>
      </c>
      <c r="BY127">
        <v>1.68</v>
      </c>
      <c r="BZ127" s="3">
        <f t="shared" si="56"/>
        <v>0.152991034226191</v>
      </c>
      <c r="CB127" s="10">
        <v>112.4</v>
      </c>
      <c r="CC127">
        <v>54.3</v>
      </c>
      <c r="CD127" s="12">
        <f t="shared" si="57"/>
        <v>58.1</v>
      </c>
      <c r="CE127">
        <v>71.3</v>
      </c>
      <c r="CF127" s="3">
        <f t="shared" si="58"/>
        <v>0.814866760168303</v>
      </c>
      <c r="CH127" s="13">
        <v>38.4</v>
      </c>
      <c r="CI127">
        <v>22.6</v>
      </c>
      <c r="CJ127">
        <f t="shared" si="59"/>
        <v>15.8</v>
      </c>
      <c r="CK127">
        <v>25.1</v>
      </c>
      <c r="CL127">
        <f t="shared" si="60"/>
        <v>0.629482071713147</v>
      </c>
      <c r="CN127" s="10">
        <v>5</v>
      </c>
      <c r="CO127">
        <v>3</v>
      </c>
      <c r="CP127" s="12">
        <f t="shared" si="61"/>
        <v>2</v>
      </c>
      <c r="CQ127">
        <v>3.4</v>
      </c>
      <c r="CR127" s="3">
        <f t="shared" si="62"/>
        <v>0.588235294117647</v>
      </c>
    </row>
    <row r="128" spans="2:96">
      <c r="B128" s="1">
        <v>37948</v>
      </c>
      <c r="C128">
        <v>32416</v>
      </c>
      <c r="D128" s="2">
        <f t="shared" si="63"/>
        <v>5532</v>
      </c>
      <c r="E128">
        <v>31904</v>
      </c>
      <c r="F128" s="3">
        <f t="shared" si="32"/>
        <v>0.17339518555667</v>
      </c>
      <c r="H128" s="1">
        <v>37457</v>
      </c>
      <c r="I128">
        <v>31145</v>
      </c>
      <c r="J128" s="2">
        <f t="shared" si="33"/>
        <v>6312</v>
      </c>
      <c r="K128">
        <v>32760</v>
      </c>
      <c r="L128" s="3">
        <f t="shared" si="34"/>
        <v>0.192673992673993</v>
      </c>
      <c r="N128" s="4">
        <v>252.343332925</v>
      </c>
      <c r="O128">
        <v>201.27</v>
      </c>
      <c r="P128" s="5">
        <f t="shared" si="35"/>
        <v>51.073332925</v>
      </c>
      <c r="Q128">
        <v>79.69</v>
      </c>
      <c r="R128" s="3">
        <f t="shared" si="36"/>
        <v>0.640900149642364</v>
      </c>
      <c r="T128" s="4">
        <v>249.2083326875</v>
      </c>
      <c r="U128">
        <v>100.23</v>
      </c>
      <c r="V128" s="5">
        <f t="shared" si="37"/>
        <v>148.9783326875</v>
      </c>
      <c r="W128">
        <v>410.93</v>
      </c>
      <c r="X128" s="3">
        <f t="shared" si="38"/>
        <v>0.362539441480301</v>
      </c>
      <c r="Z128" s="4">
        <v>35.4299999583333</v>
      </c>
      <c r="AA128">
        <v>13.25</v>
      </c>
      <c r="AB128" s="5">
        <f t="shared" si="39"/>
        <v>22.1799999583333</v>
      </c>
      <c r="AC128">
        <v>33.93</v>
      </c>
      <c r="AD128" s="3">
        <f t="shared" si="40"/>
        <v>0.653698790401807</v>
      </c>
      <c r="AF128" s="4">
        <v>3.86</v>
      </c>
      <c r="AG128">
        <v>2.09</v>
      </c>
      <c r="AH128" s="5">
        <f t="shared" si="41"/>
        <v>1.77</v>
      </c>
      <c r="AI128">
        <v>3.85</v>
      </c>
      <c r="AJ128" s="3">
        <f t="shared" si="42"/>
        <v>0.45974025974026</v>
      </c>
      <c r="AL128" s="4">
        <v>6.87326316842105</v>
      </c>
      <c r="AM128">
        <v>6.1</v>
      </c>
      <c r="AN128" s="5">
        <f t="shared" si="43"/>
        <v>0.77326316842105</v>
      </c>
      <c r="AO128">
        <v>1.89</v>
      </c>
      <c r="AP128" s="3">
        <f t="shared" si="44"/>
        <v>0.409133951545529</v>
      </c>
      <c r="AR128" s="4">
        <v>0.792291666666666</v>
      </c>
      <c r="AS128">
        <v>0.02</v>
      </c>
      <c r="AT128" s="5">
        <f t="shared" si="45"/>
        <v>0.772291666666666</v>
      </c>
      <c r="AU128">
        <v>2.84</v>
      </c>
      <c r="AV128" s="3">
        <f t="shared" si="46"/>
        <v>0.271933685446009</v>
      </c>
      <c r="AX128" s="4">
        <v>9.5572000625</v>
      </c>
      <c r="AY128">
        <v>3.44</v>
      </c>
      <c r="AZ128" s="5">
        <f t="shared" si="47"/>
        <v>6.1172000625</v>
      </c>
      <c r="BA128">
        <v>29.17</v>
      </c>
      <c r="BB128" s="3">
        <f t="shared" si="48"/>
        <v>0.2097086068735</v>
      </c>
      <c r="BD128" s="4">
        <v>0.321416666666667</v>
      </c>
      <c r="BE128">
        <v>0.17</v>
      </c>
      <c r="BF128" s="5">
        <f t="shared" si="49"/>
        <v>0.151416666666667</v>
      </c>
      <c r="BG128">
        <v>4</v>
      </c>
      <c r="BH128" s="3">
        <f t="shared" si="50"/>
        <v>0.0378541666666668</v>
      </c>
      <c r="BJ128" s="9">
        <v>8.96233331666667</v>
      </c>
      <c r="BK128">
        <v>4.8</v>
      </c>
      <c r="BL128" s="5">
        <f t="shared" si="51"/>
        <v>4.16233331666667</v>
      </c>
      <c r="BM128">
        <v>8.9</v>
      </c>
      <c r="BN128" s="3">
        <f t="shared" si="52"/>
        <v>0.467677900749064</v>
      </c>
      <c r="BP128" s="9">
        <v>0.188341666666666</v>
      </c>
      <c r="BQ128">
        <v>0.09</v>
      </c>
      <c r="BR128" s="5">
        <f t="shared" si="53"/>
        <v>0.098341666666666</v>
      </c>
      <c r="BS128">
        <v>0.43</v>
      </c>
      <c r="BT128" s="3">
        <f t="shared" si="54"/>
        <v>0.228701550387595</v>
      </c>
      <c r="BV128" s="4">
        <v>6.40365835833333</v>
      </c>
      <c r="BW128">
        <v>6.18</v>
      </c>
      <c r="BX128" s="5">
        <f t="shared" si="55"/>
        <v>0.22365835833333</v>
      </c>
      <c r="BY128">
        <v>1.68</v>
      </c>
      <c r="BZ128" s="3">
        <f t="shared" si="56"/>
        <v>0.133129975198411</v>
      </c>
      <c r="CB128" s="10">
        <v>110.3</v>
      </c>
      <c r="CC128">
        <v>54.3</v>
      </c>
      <c r="CD128" s="12">
        <f t="shared" si="57"/>
        <v>56</v>
      </c>
      <c r="CE128">
        <v>71.3</v>
      </c>
      <c r="CF128" s="3">
        <f t="shared" si="58"/>
        <v>0.785413744740533</v>
      </c>
      <c r="CH128" s="13">
        <v>36.6</v>
      </c>
      <c r="CI128">
        <v>22.6</v>
      </c>
      <c r="CJ128">
        <f t="shared" si="59"/>
        <v>14</v>
      </c>
      <c r="CK128">
        <v>25.1</v>
      </c>
      <c r="CL128">
        <f t="shared" si="60"/>
        <v>0.557768924302789</v>
      </c>
      <c r="CN128" s="10">
        <v>5.1</v>
      </c>
      <c r="CO128">
        <v>3</v>
      </c>
      <c r="CP128" s="12">
        <f t="shared" si="61"/>
        <v>2.1</v>
      </c>
      <c r="CQ128">
        <v>3.4</v>
      </c>
      <c r="CR128" s="3">
        <f t="shared" si="62"/>
        <v>0.617647058823529</v>
      </c>
    </row>
    <row r="129" spans="2:96">
      <c r="B129" s="1">
        <v>36847</v>
      </c>
      <c r="C129">
        <v>32416</v>
      </c>
      <c r="D129" s="2">
        <f t="shared" si="63"/>
        <v>4431</v>
      </c>
      <c r="E129">
        <v>31904</v>
      </c>
      <c r="F129" s="3">
        <f t="shared" si="32"/>
        <v>0.138885406218656</v>
      </c>
      <c r="H129" s="1">
        <v>36513</v>
      </c>
      <c r="I129">
        <v>31145</v>
      </c>
      <c r="J129" s="2">
        <f t="shared" si="33"/>
        <v>5368</v>
      </c>
      <c r="K129">
        <v>32760</v>
      </c>
      <c r="L129" s="3">
        <f t="shared" si="34"/>
        <v>0.163858363858364</v>
      </c>
      <c r="N129" s="4">
        <v>246.463330591667</v>
      </c>
      <c r="O129">
        <v>201.27</v>
      </c>
      <c r="P129" s="5">
        <f t="shared" si="35"/>
        <v>45.193330591667</v>
      </c>
      <c r="Q129">
        <v>79.69</v>
      </c>
      <c r="R129" s="3">
        <f t="shared" si="36"/>
        <v>0.567114199920529</v>
      </c>
      <c r="T129" s="4">
        <v>181.0541680625</v>
      </c>
      <c r="U129">
        <v>100.23</v>
      </c>
      <c r="V129" s="5">
        <f t="shared" si="37"/>
        <v>80.8241680625</v>
      </c>
      <c r="W129">
        <v>410.93</v>
      </c>
      <c r="X129" s="3">
        <f t="shared" si="38"/>
        <v>0.196685975865719</v>
      </c>
      <c r="Z129" s="4">
        <v>25.1397915791666</v>
      </c>
      <c r="AA129">
        <v>13.25</v>
      </c>
      <c r="AB129" s="5">
        <f t="shared" si="39"/>
        <v>11.8897915791666</v>
      </c>
      <c r="AC129">
        <v>33.93</v>
      </c>
      <c r="AD129" s="3">
        <f t="shared" si="40"/>
        <v>0.350421207756163</v>
      </c>
      <c r="AF129" s="4">
        <v>4.34768406464284</v>
      </c>
      <c r="AG129">
        <v>2.09</v>
      </c>
      <c r="AH129" s="5">
        <f t="shared" si="41"/>
        <v>2.25768406464284</v>
      </c>
      <c r="AI129">
        <v>3.85</v>
      </c>
      <c r="AJ129" s="3">
        <f t="shared" si="42"/>
        <v>0.586411445361777</v>
      </c>
      <c r="AL129" s="4">
        <v>6.61592502916667</v>
      </c>
      <c r="AM129">
        <v>6.1</v>
      </c>
      <c r="AN129" s="5">
        <f t="shared" si="43"/>
        <v>0.51592502916667</v>
      </c>
      <c r="AO129">
        <v>1.89</v>
      </c>
      <c r="AP129" s="3">
        <f t="shared" si="44"/>
        <v>0.272976205908291</v>
      </c>
      <c r="AR129" s="4">
        <v>0.895625</v>
      </c>
      <c r="AS129">
        <v>0.02</v>
      </c>
      <c r="AT129" s="5">
        <f t="shared" si="45"/>
        <v>0.875625</v>
      </c>
      <c r="AU129">
        <v>2.84</v>
      </c>
      <c r="AV129" s="3">
        <f t="shared" si="46"/>
        <v>0.308318661971831</v>
      </c>
      <c r="AX129" s="4">
        <v>9.40913332916666</v>
      </c>
      <c r="AY129">
        <v>3.44</v>
      </c>
      <c r="AZ129" s="5">
        <f t="shared" si="47"/>
        <v>5.96913332916666</v>
      </c>
      <c r="BA129">
        <v>29.17</v>
      </c>
      <c r="BB129" s="3">
        <f t="shared" si="48"/>
        <v>0.204632613272769</v>
      </c>
      <c r="BD129" s="4">
        <v>2.223</v>
      </c>
      <c r="BE129">
        <v>0.17</v>
      </c>
      <c r="BF129" s="5">
        <f t="shared" si="49"/>
        <v>2.053</v>
      </c>
      <c r="BG129">
        <v>4</v>
      </c>
      <c r="BH129" s="3">
        <f t="shared" si="50"/>
        <v>0.51325</v>
      </c>
      <c r="BJ129" s="9">
        <v>11.43574995</v>
      </c>
      <c r="BK129">
        <v>4.8</v>
      </c>
      <c r="BL129" s="5">
        <f t="shared" si="51"/>
        <v>6.63574995</v>
      </c>
      <c r="BM129">
        <v>8.9</v>
      </c>
      <c r="BN129" s="3">
        <f t="shared" si="52"/>
        <v>0.745589882022472</v>
      </c>
      <c r="BP129" s="9">
        <v>0.277375</v>
      </c>
      <c r="BQ129">
        <v>0.09</v>
      </c>
      <c r="BR129" s="5">
        <f t="shared" si="53"/>
        <v>0.187375</v>
      </c>
      <c r="BS129">
        <v>0.43</v>
      </c>
      <c r="BT129" s="3">
        <f t="shared" si="54"/>
        <v>0.435755813953488</v>
      </c>
      <c r="BV129" s="4">
        <v>6.43119165</v>
      </c>
      <c r="BW129">
        <v>6.18</v>
      </c>
      <c r="BX129" s="5">
        <f t="shared" si="55"/>
        <v>0.25119165</v>
      </c>
      <c r="BY129">
        <v>1.68</v>
      </c>
      <c r="BZ129" s="3">
        <f t="shared" si="56"/>
        <v>0.149518839285714</v>
      </c>
      <c r="CB129" s="10">
        <v>112.1</v>
      </c>
      <c r="CC129">
        <v>54.3</v>
      </c>
      <c r="CD129" s="12">
        <f t="shared" si="57"/>
        <v>57.8</v>
      </c>
      <c r="CE129">
        <v>71.3</v>
      </c>
      <c r="CF129" s="3">
        <f t="shared" si="58"/>
        <v>0.810659186535764</v>
      </c>
      <c r="CH129" s="13">
        <v>35.2</v>
      </c>
      <c r="CI129">
        <v>22.6</v>
      </c>
      <c r="CJ129">
        <f t="shared" si="59"/>
        <v>12.6</v>
      </c>
      <c r="CK129">
        <v>25.1</v>
      </c>
      <c r="CL129">
        <f t="shared" si="60"/>
        <v>0.50199203187251</v>
      </c>
      <c r="CN129" s="11">
        <v>4.8</v>
      </c>
      <c r="CO129">
        <v>3</v>
      </c>
      <c r="CP129" s="12">
        <f t="shared" si="61"/>
        <v>1.8</v>
      </c>
      <c r="CQ129">
        <v>3.4</v>
      </c>
      <c r="CR129" s="3">
        <f t="shared" si="62"/>
        <v>0.529411764705882</v>
      </c>
    </row>
    <row r="130" spans="2:96">
      <c r="B130" s="1">
        <v>35606</v>
      </c>
      <c r="C130">
        <v>32416</v>
      </c>
      <c r="D130" s="2">
        <f t="shared" si="63"/>
        <v>3190</v>
      </c>
      <c r="E130">
        <v>31904</v>
      </c>
      <c r="F130" s="3">
        <f t="shared" ref="F130:F193" si="64">D130/E130</f>
        <v>0.0999874623871615</v>
      </c>
      <c r="H130" s="1">
        <v>34573</v>
      </c>
      <c r="I130">
        <v>31145</v>
      </c>
      <c r="J130" s="2">
        <f t="shared" ref="J130:J193" si="65">H130-I130</f>
        <v>3428</v>
      </c>
      <c r="K130">
        <v>32760</v>
      </c>
      <c r="L130" s="3">
        <f t="shared" ref="L130:L193" si="66">J130/K130</f>
        <v>0.104639804639805</v>
      </c>
      <c r="N130" s="4">
        <v>250.923336666667</v>
      </c>
      <c r="O130">
        <v>201.27</v>
      </c>
      <c r="P130" s="5">
        <f t="shared" ref="P130:P193" si="67">N130-O130</f>
        <v>49.653336666667</v>
      </c>
      <c r="Q130">
        <v>79.69</v>
      </c>
      <c r="R130" s="3">
        <f t="shared" ref="R130:R193" si="68">P130/Q130</f>
        <v>0.623081147780989</v>
      </c>
      <c r="T130" s="4">
        <v>154.420834545833</v>
      </c>
      <c r="U130">
        <v>100.23</v>
      </c>
      <c r="V130" s="5">
        <f t="shared" ref="V130:V193" si="69">T130-U130</f>
        <v>54.190834545833</v>
      </c>
      <c r="W130">
        <v>410.93</v>
      </c>
      <c r="X130" s="3">
        <f t="shared" ref="X130:X193" si="70">V130/W130</f>
        <v>0.131873639174149</v>
      </c>
      <c r="Z130" s="4">
        <v>35.372083325</v>
      </c>
      <c r="AA130">
        <v>13.25</v>
      </c>
      <c r="AB130" s="5">
        <f t="shared" ref="AB130:AB193" si="71">Z130-AA130</f>
        <v>22.122083325</v>
      </c>
      <c r="AC130">
        <v>33.93</v>
      </c>
      <c r="AD130" s="3">
        <f t="shared" ref="AD130:AD193" si="72">AB130/AC130</f>
        <v>0.651991845711759</v>
      </c>
      <c r="AF130" s="4">
        <v>4.4058184774792</v>
      </c>
      <c r="AG130">
        <v>2.09</v>
      </c>
      <c r="AH130" s="5">
        <f t="shared" ref="AH130:AH193" si="73">AF130-AG130</f>
        <v>2.3158184774792</v>
      </c>
      <c r="AI130">
        <v>3.85</v>
      </c>
      <c r="AJ130" s="3">
        <f t="shared" ref="AJ130:AJ193" si="74">AH130/AI130</f>
        <v>0.60151129285174</v>
      </c>
      <c r="AL130" s="4">
        <v>6.92642500833333</v>
      </c>
      <c r="AM130">
        <v>6.1</v>
      </c>
      <c r="AN130" s="5">
        <f t="shared" ref="AN130:AN193" si="75">AL130-AM130</f>
        <v>0.82642500833333</v>
      </c>
      <c r="AO130">
        <v>1.89</v>
      </c>
      <c r="AP130" s="3">
        <f t="shared" ref="AP130:AP193" si="76">AN130/AO130</f>
        <v>0.437261909171074</v>
      </c>
      <c r="AR130" s="4">
        <v>0.586041666666666</v>
      </c>
      <c r="AS130">
        <v>0.02</v>
      </c>
      <c r="AT130" s="5">
        <f t="shared" ref="AT130:AT193" si="77">AR130-AS130</f>
        <v>0.566041666666666</v>
      </c>
      <c r="AU130">
        <v>2.84</v>
      </c>
      <c r="AV130" s="3">
        <f t="shared" ref="AV130:AV193" si="78">AT130/AU130</f>
        <v>0.199310446009389</v>
      </c>
      <c r="AX130" s="4">
        <v>12.1904667208333</v>
      </c>
      <c r="AY130">
        <v>3.44</v>
      </c>
      <c r="AZ130" s="5">
        <f t="shared" ref="AZ130:AZ193" si="79">AX130-AY130</f>
        <v>8.7504667208333</v>
      </c>
      <c r="BA130">
        <v>29.17</v>
      </c>
      <c r="BB130" s="3">
        <f t="shared" ref="BB130:BB193" si="80">AZ130/BA130</f>
        <v>0.299981718232201</v>
      </c>
      <c r="BD130" s="4">
        <v>1.19791666666666</v>
      </c>
      <c r="BE130">
        <v>0.17</v>
      </c>
      <c r="BF130" s="5">
        <f t="shared" ref="BF130:BF193" si="81">BD130-BE130</f>
        <v>1.02791666666666</v>
      </c>
      <c r="BG130">
        <v>4</v>
      </c>
      <c r="BH130" s="3">
        <f t="shared" ref="BH130:BH193" si="82">BF130/BG130</f>
        <v>0.256979166666665</v>
      </c>
      <c r="BJ130" s="9">
        <v>11.8052500375</v>
      </c>
      <c r="BK130">
        <v>4.8</v>
      </c>
      <c r="BL130" s="5">
        <f t="shared" ref="BL130:BL193" si="83">BJ130-BK130</f>
        <v>7.0052500375</v>
      </c>
      <c r="BM130">
        <v>8.9</v>
      </c>
      <c r="BN130" s="3">
        <f t="shared" ref="BN130:BN193" si="84">BL130/BM130</f>
        <v>0.787106745786517</v>
      </c>
      <c r="BP130" s="9">
        <v>0.283433333333333</v>
      </c>
      <c r="BQ130">
        <v>0.09</v>
      </c>
      <c r="BR130" s="5">
        <f t="shared" ref="BR130:BR193" si="85">BP130-BQ130</f>
        <v>0.193433333333333</v>
      </c>
      <c r="BS130">
        <v>0.43</v>
      </c>
      <c r="BT130" s="3">
        <f t="shared" ref="BT130:BT193" si="86">BR130/BS130</f>
        <v>0.449844961240309</v>
      </c>
      <c r="BV130" s="4">
        <v>6.45586660416667</v>
      </c>
      <c r="BW130">
        <v>6.18</v>
      </c>
      <c r="BX130" s="5">
        <f t="shared" ref="BX130:BX193" si="87">BV130-BW130</f>
        <v>0.27586660416667</v>
      </c>
      <c r="BY130">
        <v>1.68</v>
      </c>
      <c r="BZ130" s="3">
        <f t="shared" ref="BZ130:BZ193" si="88">BX130/BY130</f>
        <v>0.16420631200397</v>
      </c>
      <c r="CB130" s="10">
        <v>109.4</v>
      </c>
      <c r="CC130">
        <v>54.3</v>
      </c>
      <c r="CD130" s="12">
        <f t="shared" ref="CD130:CD193" si="89">CB130-CC130</f>
        <v>55.1</v>
      </c>
      <c r="CE130">
        <v>71.3</v>
      </c>
      <c r="CF130" s="3">
        <f t="shared" ref="CF130:CF193" si="90">CD130/CE130</f>
        <v>0.772791023842917</v>
      </c>
      <c r="CH130" s="13">
        <v>34.7</v>
      </c>
      <c r="CI130">
        <v>22.6</v>
      </c>
      <c r="CJ130">
        <f t="shared" ref="CJ130:CJ193" si="91">CH130-CI130</f>
        <v>12.1</v>
      </c>
      <c r="CK130">
        <v>25.1</v>
      </c>
      <c r="CL130">
        <f t="shared" ref="CL130:CL193" si="92">CJ130/CK130</f>
        <v>0.48207171314741</v>
      </c>
      <c r="CN130" s="10">
        <v>4.6</v>
      </c>
      <c r="CO130">
        <v>3</v>
      </c>
      <c r="CP130" s="12">
        <f t="shared" ref="CP130:CP193" si="93">CN130-CO130</f>
        <v>1.6</v>
      </c>
      <c r="CQ130">
        <v>3.4</v>
      </c>
      <c r="CR130" s="3">
        <f t="shared" ref="CR130:CR193" si="94">CP130/CQ130</f>
        <v>0.470588235294118</v>
      </c>
    </row>
    <row r="131" spans="2:96">
      <c r="B131" s="1">
        <v>42658</v>
      </c>
      <c r="C131">
        <v>32416</v>
      </c>
      <c r="D131" s="2">
        <f t="shared" ref="D131:D194" si="95">B131-C131</f>
        <v>10242</v>
      </c>
      <c r="E131">
        <v>31904</v>
      </c>
      <c r="F131" s="3">
        <f t="shared" si="64"/>
        <v>0.321025576730191</v>
      </c>
      <c r="H131" s="1">
        <v>42265</v>
      </c>
      <c r="I131">
        <v>31145</v>
      </c>
      <c r="J131" s="2">
        <f t="shared" si="65"/>
        <v>11120</v>
      </c>
      <c r="K131">
        <v>32760</v>
      </c>
      <c r="L131" s="3">
        <f t="shared" si="66"/>
        <v>0.339438339438339</v>
      </c>
      <c r="N131" s="4">
        <v>257.636668516667</v>
      </c>
      <c r="O131">
        <v>201.27</v>
      </c>
      <c r="P131" s="5">
        <f t="shared" si="67"/>
        <v>56.366668516667</v>
      </c>
      <c r="Q131">
        <v>79.69</v>
      </c>
      <c r="R131" s="3">
        <f t="shared" si="68"/>
        <v>0.707324237880123</v>
      </c>
      <c r="T131" s="4">
        <v>231.600001658333</v>
      </c>
      <c r="U131">
        <v>100.23</v>
      </c>
      <c r="V131" s="5">
        <f t="shared" si="69"/>
        <v>131.370001658333</v>
      </c>
      <c r="W131">
        <v>410.93</v>
      </c>
      <c r="X131" s="3">
        <f t="shared" si="70"/>
        <v>0.31968948886266</v>
      </c>
      <c r="Z131" s="4">
        <v>33.7531249875</v>
      </c>
      <c r="AA131">
        <v>13.25</v>
      </c>
      <c r="AB131" s="5">
        <f t="shared" si="71"/>
        <v>20.5031249875</v>
      </c>
      <c r="AC131">
        <v>33.93</v>
      </c>
      <c r="AD131" s="3">
        <f t="shared" si="72"/>
        <v>0.604277187960507</v>
      </c>
      <c r="AF131" s="4">
        <v>4.28398035711634</v>
      </c>
      <c r="AG131">
        <v>2.09</v>
      </c>
      <c r="AH131" s="5">
        <f t="shared" si="73"/>
        <v>2.19398035711634</v>
      </c>
      <c r="AI131">
        <v>3.85</v>
      </c>
      <c r="AJ131" s="3">
        <f t="shared" si="74"/>
        <v>0.569865027822426</v>
      </c>
      <c r="AL131" s="4">
        <v>6.8786499875</v>
      </c>
      <c r="AM131">
        <v>6.1</v>
      </c>
      <c r="AN131" s="5">
        <f t="shared" si="75"/>
        <v>0.778649987500001</v>
      </c>
      <c r="AO131">
        <v>1.89</v>
      </c>
      <c r="AP131" s="3">
        <f t="shared" si="76"/>
        <v>0.411984120370371</v>
      </c>
      <c r="AR131" s="4">
        <v>0.696458333333333</v>
      </c>
      <c r="AS131">
        <v>0.02</v>
      </c>
      <c r="AT131" s="5">
        <f t="shared" si="77"/>
        <v>0.676458333333333</v>
      </c>
      <c r="AU131">
        <v>2.84</v>
      </c>
      <c r="AV131" s="3">
        <f t="shared" si="78"/>
        <v>0.23818955399061</v>
      </c>
      <c r="AX131" s="4">
        <v>11.0032666833333</v>
      </c>
      <c r="AY131">
        <v>3.44</v>
      </c>
      <c r="AZ131" s="5">
        <f t="shared" si="79"/>
        <v>7.5632666833333</v>
      </c>
      <c r="BA131">
        <v>29.17</v>
      </c>
      <c r="BB131" s="3">
        <f t="shared" si="80"/>
        <v>0.259282368300764</v>
      </c>
      <c r="BD131" s="4">
        <v>0.301916666666667</v>
      </c>
      <c r="BE131">
        <v>0.17</v>
      </c>
      <c r="BF131" s="5">
        <f t="shared" si="81"/>
        <v>0.131916666666667</v>
      </c>
      <c r="BG131">
        <v>4</v>
      </c>
      <c r="BH131" s="3">
        <f t="shared" si="82"/>
        <v>0.0329791666666667</v>
      </c>
      <c r="BJ131" s="9">
        <v>11.9549167083333</v>
      </c>
      <c r="BK131">
        <v>4.8</v>
      </c>
      <c r="BL131" s="5">
        <f t="shared" si="83"/>
        <v>7.1549167083333</v>
      </c>
      <c r="BM131">
        <v>8.9</v>
      </c>
      <c r="BN131" s="3">
        <f t="shared" si="84"/>
        <v>0.803923225655427</v>
      </c>
      <c r="BP131" s="9">
        <v>0.186466666666666</v>
      </c>
      <c r="BQ131">
        <v>0.09</v>
      </c>
      <c r="BR131" s="5">
        <f t="shared" si="85"/>
        <v>0.096466666666666</v>
      </c>
      <c r="BS131">
        <v>0.43</v>
      </c>
      <c r="BT131" s="3">
        <f t="shared" si="86"/>
        <v>0.224341085271316</v>
      </c>
      <c r="BV131" s="4">
        <v>6.41579159166666</v>
      </c>
      <c r="BW131">
        <v>6.18</v>
      </c>
      <c r="BX131" s="5">
        <f t="shared" si="87"/>
        <v>0.23579159166666</v>
      </c>
      <c r="BY131">
        <v>1.68</v>
      </c>
      <c r="BZ131" s="3">
        <f t="shared" si="88"/>
        <v>0.140352137896822</v>
      </c>
      <c r="CB131" s="10">
        <v>108.7</v>
      </c>
      <c r="CC131">
        <v>54.3</v>
      </c>
      <c r="CD131" s="12">
        <f t="shared" si="89"/>
        <v>54.4</v>
      </c>
      <c r="CE131">
        <v>71.3</v>
      </c>
      <c r="CF131" s="3">
        <f t="shared" si="90"/>
        <v>0.762973352033661</v>
      </c>
      <c r="CH131" s="13">
        <v>31.8</v>
      </c>
      <c r="CI131">
        <v>22.6</v>
      </c>
      <c r="CJ131">
        <f t="shared" si="91"/>
        <v>9.2</v>
      </c>
      <c r="CK131">
        <v>25.1</v>
      </c>
      <c r="CL131">
        <f t="shared" si="92"/>
        <v>0.366533864541833</v>
      </c>
      <c r="CN131" s="10">
        <v>4.7</v>
      </c>
      <c r="CO131">
        <v>3</v>
      </c>
      <c r="CP131" s="12">
        <f t="shared" si="93"/>
        <v>1.7</v>
      </c>
      <c r="CQ131">
        <v>3.4</v>
      </c>
      <c r="CR131" s="3">
        <f t="shared" si="94"/>
        <v>0.5</v>
      </c>
    </row>
    <row r="132" spans="2:96">
      <c r="B132" s="1">
        <v>55421</v>
      </c>
      <c r="C132">
        <v>32416</v>
      </c>
      <c r="D132" s="2">
        <f t="shared" si="95"/>
        <v>23005</v>
      </c>
      <c r="E132">
        <v>31904</v>
      </c>
      <c r="F132" s="3">
        <f t="shared" si="64"/>
        <v>0.721069458375125</v>
      </c>
      <c r="H132" s="1">
        <v>55036</v>
      </c>
      <c r="I132">
        <v>31145</v>
      </c>
      <c r="J132" s="2">
        <f t="shared" si="65"/>
        <v>23891</v>
      </c>
      <c r="K132">
        <v>32760</v>
      </c>
      <c r="L132" s="3">
        <f t="shared" si="66"/>
        <v>0.729273504273504</v>
      </c>
      <c r="N132" s="4">
        <v>251.373332979167</v>
      </c>
      <c r="O132">
        <v>201.27</v>
      </c>
      <c r="P132" s="5">
        <f t="shared" si="67"/>
        <v>50.103332979167</v>
      </c>
      <c r="Q132">
        <v>79.69</v>
      </c>
      <c r="R132" s="3">
        <f t="shared" si="68"/>
        <v>0.628727983174388</v>
      </c>
      <c r="T132" s="4">
        <v>223.795832316667</v>
      </c>
      <c r="U132">
        <v>100.23</v>
      </c>
      <c r="V132" s="5">
        <f t="shared" si="69"/>
        <v>123.565832316667</v>
      </c>
      <c r="W132">
        <v>410.93</v>
      </c>
      <c r="X132" s="3">
        <f t="shared" si="70"/>
        <v>0.300698007730433</v>
      </c>
      <c r="Z132" s="4">
        <v>24.6927084541666</v>
      </c>
      <c r="AA132">
        <v>13.25</v>
      </c>
      <c r="AB132" s="5">
        <f t="shared" si="71"/>
        <v>11.4427084541666</v>
      </c>
      <c r="AC132">
        <v>33.93</v>
      </c>
      <c r="AD132" s="3">
        <f t="shared" si="72"/>
        <v>0.337244575719617</v>
      </c>
      <c r="AF132" s="4">
        <v>4.18713612539446</v>
      </c>
      <c r="AG132">
        <v>2.09</v>
      </c>
      <c r="AH132" s="5">
        <f t="shared" si="73"/>
        <v>2.09713612539446</v>
      </c>
      <c r="AI132">
        <v>3.85</v>
      </c>
      <c r="AJ132" s="3">
        <f t="shared" si="74"/>
        <v>0.544710681920639</v>
      </c>
      <c r="AL132" s="4">
        <v>6.82924164583333</v>
      </c>
      <c r="AM132">
        <v>6.1</v>
      </c>
      <c r="AN132" s="5">
        <f t="shared" si="75"/>
        <v>0.72924164583333</v>
      </c>
      <c r="AO132">
        <v>1.89</v>
      </c>
      <c r="AP132" s="3">
        <f t="shared" si="76"/>
        <v>0.385842140652556</v>
      </c>
      <c r="AR132" s="4">
        <v>0.492083333333333</v>
      </c>
      <c r="AS132">
        <v>0.02</v>
      </c>
      <c r="AT132" s="5">
        <f t="shared" si="77"/>
        <v>0.472083333333333</v>
      </c>
      <c r="AU132">
        <v>2.84</v>
      </c>
      <c r="AV132" s="3">
        <f t="shared" si="78"/>
        <v>0.166226525821596</v>
      </c>
      <c r="AX132" s="4">
        <v>9.3449999875</v>
      </c>
      <c r="AY132">
        <v>3.44</v>
      </c>
      <c r="AZ132" s="5">
        <f t="shared" si="79"/>
        <v>5.9049999875</v>
      </c>
      <c r="BA132">
        <v>29.17</v>
      </c>
      <c r="BB132" s="3">
        <f t="shared" si="80"/>
        <v>0.202434007113473</v>
      </c>
      <c r="BD132" s="4">
        <v>1.22408333333333</v>
      </c>
      <c r="BE132">
        <v>0.17</v>
      </c>
      <c r="BF132" s="5">
        <f t="shared" si="81"/>
        <v>1.05408333333333</v>
      </c>
      <c r="BG132">
        <v>4</v>
      </c>
      <c r="BH132" s="3">
        <f t="shared" si="82"/>
        <v>0.263520833333333</v>
      </c>
      <c r="BJ132" s="9">
        <v>8.18591660833333</v>
      </c>
      <c r="BK132">
        <v>4.8</v>
      </c>
      <c r="BL132" s="5">
        <f t="shared" si="83"/>
        <v>3.38591660833333</v>
      </c>
      <c r="BM132">
        <v>8.9</v>
      </c>
      <c r="BN132" s="3">
        <f t="shared" si="84"/>
        <v>0.380440068352059</v>
      </c>
      <c r="BP132" s="9">
        <v>0.289658333333333</v>
      </c>
      <c r="BQ132">
        <v>0.09</v>
      </c>
      <c r="BR132" s="5">
        <f t="shared" si="85"/>
        <v>0.199658333333333</v>
      </c>
      <c r="BS132">
        <v>0.43</v>
      </c>
      <c r="BT132" s="3">
        <f t="shared" si="86"/>
        <v>0.464321705426356</v>
      </c>
      <c r="BV132" s="4">
        <v>6.33552500833333</v>
      </c>
      <c r="BW132">
        <v>6.18</v>
      </c>
      <c r="BX132" s="5">
        <f t="shared" si="87"/>
        <v>0.15552500833333</v>
      </c>
      <c r="BY132">
        <v>1.68</v>
      </c>
      <c r="BZ132" s="3">
        <f t="shared" si="88"/>
        <v>0.0925744097222205</v>
      </c>
      <c r="CB132" s="10">
        <v>109.8</v>
      </c>
      <c r="CC132">
        <v>54.3</v>
      </c>
      <c r="CD132" s="12">
        <f t="shared" si="89"/>
        <v>55.5</v>
      </c>
      <c r="CE132">
        <v>71.3</v>
      </c>
      <c r="CF132" s="3">
        <f t="shared" si="90"/>
        <v>0.778401122019635</v>
      </c>
      <c r="CH132" s="13">
        <v>28.6</v>
      </c>
      <c r="CI132">
        <v>22.6</v>
      </c>
      <c r="CJ132">
        <f t="shared" si="91"/>
        <v>6</v>
      </c>
      <c r="CK132">
        <v>25.1</v>
      </c>
      <c r="CL132">
        <f t="shared" si="92"/>
        <v>0.239043824701195</v>
      </c>
      <c r="CN132" s="10">
        <v>4.5</v>
      </c>
      <c r="CO132">
        <v>3</v>
      </c>
      <c r="CP132" s="12">
        <f t="shared" si="93"/>
        <v>1.5</v>
      </c>
      <c r="CQ132">
        <v>3.4</v>
      </c>
      <c r="CR132" s="3">
        <f t="shared" si="94"/>
        <v>0.441176470588235</v>
      </c>
    </row>
    <row r="133" spans="2:96">
      <c r="B133" s="1">
        <v>52603</v>
      </c>
      <c r="C133">
        <v>32416</v>
      </c>
      <c r="D133" s="2">
        <f t="shared" si="95"/>
        <v>20187</v>
      </c>
      <c r="E133">
        <v>31904</v>
      </c>
      <c r="F133" s="3">
        <f t="shared" si="64"/>
        <v>0.632741975927783</v>
      </c>
      <c r="H133" s="1">
        <v>52109</v>
      </c>
      <c r="I133">
        <v>31145</v>
      </c>
      <c r="J133" s="2">
        <f t="shared" si="65"/>
        <v>20964</v>
      </c>
      <c r="K133">
        <v>32760</v>
      </c>
      <c r="L133" s="3">
        <f t="shared" si="66"/>
        <v>0.63992673992674</v>
      </c>
      <c r="N133" s="4">
        <v>257.1766688</v>
      </c>
      <c r="O133">
        <v>201.27</v>
      </c>
      <c r="P133" s="5">
        <f t="shared" si="67"/>
        <v>55.9066688</v>
      </c>
      <c r="Q133">
        <v>79.69</v>
      </c>
      <c r="R133" s="3">
        <f t="shared" si="68"/>
        <v>0.701551873509851</v>
      </c>
      <c r="T133" s="4">
        <v>232.604167291667</v>
      </c>
      <c r="U133">
        <v>100.23</v>
      </c>
      <c r="V133" s="5">
        <f t="shared" si="69"/>
        <v>132.374167291667</v>
      </c>
      <c r="W133">
        <v>410.93</v>
      </c>
      <c r="X133" s="3">
        <f t="shared" si="70"/>
        <v>0.322133130439897</v>
      </c>
      <c r="Z133" s="4">
        <v>24.1456249666666</v>
      </c>
      <c r="AA133">
        <v>13.25</v>
      </c>
      <c r="AB133" s="5">
        <f t="shared" si="71"/>
        <v>10.8956249666666</v>
      </c>
      <c r="AC133">
        <v>33.93</v>
      </c>
      <c r="AD133" s="3">
        <f t="shared" si="72"/>
        <v>0.321120688672756</v>
      </c>
      <c r="AF133" s="4">
        <v>3.76880559383775</v>
      </c>
      <c r="AG133">
        <v>2.09</v>
      </c>
      <c r="AH133" s="5">
        <f t="shared" si="73"/>
        <v>1.67880559383775</v>
      </c>
      <c r="AI133">
        <v>3.85</v>
      </c>
      <c r="AJ133" s="3">
        <f t="shared" si="74"/>
        <v>0.436053400996818</v>
      </c>
      <c r="AL133" s="4">
        <v>6.85794164583333</v>
      </c>
      <c r="AM133">
        <v>6.1</v>
      </c>
      <c r="AN133" s="5">
        <f t="shared" si="75"/>
        <v>0.757941645833331</v>
      </c>
      <c r="AO133">
        <v>1.89</v>
      </c>
      <c r="AP133" s="3">
        <f t="shared" si="76"/>
        <v>0.401027325837741</v>
      </c>
      <c r="AR133" s="4">
        <v>0.388333333333333</v>
      </c>
      <c r="AS133">
        <v>0.02</v>
      </c>
      <c r="AT133" s="5">
        <f t="shared" si="77"/>
        <v>0.368333333333333</v>
      </c>
      <c r="AU133">
        <v>2.84</v>
      </c>
      <c r="AV133" s="3">
        <f t="shared" si="78"/>
        <v>0.129694835680751</v>
      </c>
      <c r="AX133" s="4">
        <v>12.0703999791666</v>
      </c>
      <c r="AY133">
        <v>3.44</v>
      </c>
      <c r="AZ133" s="5">
        <f t="shared" si="79"/>
        <v>8.6303999791666</v>
      </c>
      <c r="BA133">
        <v>29.17</v>
      </c>
      <c r="BB133" s="3">
        <f t="shared" si="80"/>
        <v>0.295865614644038</v>
      </c>
      <c r="BD133" s="4">
        <v>1.2445</v>
      </c>
      <c r="BE133">
        <v>0.17</v>
      </c>
      <c r="BF133" s="5">
        <f t="shared" si="81"/>
        <v>1.0745</v>
      </c>
      <c r="BG133">
        <v>4</v>
      </c>
      <c r="BH133" s="3">
        <f t="shared" si="82"/>
        <v>0.268625</v>
      </c>
      <c r="BJ133" s="9">
        <v>9.53999995833333</v>
      </c>
      <c r="BK133">
        <v>4.8</v>
      </c>
      <c r="BL133" s="5">
        <f t="shared" si="83"/>
        <v>4.73999995833333</v>
      </c>
      <c r="BM133">
        <v>8.9</v>
      </c>
      <c r="BN133" s="3">
        <f t="shared" si="84"/>
        <v>0.532584264981273</v>
      </c>
      <c r="BP133" s="9">
        <v>0.373358333333333</v>
      </c>
      <c r="BQ133">
        <v>0.09</v>
      </c>
      <c r="BR133" s="5">
        <f t="shared" si="85"/>
        <v>0.283358333333333</v>
      </c>
      <c r="BS133">
        <v>0.43</v>
      </c>
      <c r="BT133" s="3">
        <f t="shared" si="86"/>
        <v>0.658972868217054</v>
      </c>
      <c r="BV133" s="4">
        <v>6.3366917</v>
      </c>
      <c r="BW133">
        <v>6.18</v>
      </c>
      <c r="BX133" s="5">
        <f t="shared" si="87"/>
        <v>0.156691700000001</v>
      </c>
      <c r="BY133">
        <v>1.68</v>
      </c>
      <c r="BZ133" s="3">
        <f t="shared" si="88"/>
        <v>0.0932688690476194</v>
      </c>
      <c r="CB133" s="10">
        <v>108.4</v>
      </c>
      <c r="CC133">
        <v>54.3</v>
      </c>
      <c r="CD133" s="12">
        <f t="shared" si="89"/>
        <v>54.1</v>
      </c>
      <c r="CE133">
        <v>71.3</v>
      </c>
      <c r="CF133" s="3">
        <f t="shared" si="90"/>
        <v>0.758765778401122</v>
      </c>
      <c r="CH133" s="13">
        <v>29.7</v>
      </c>
      <c r="CI133">
        <v>22.6</v>
      </c>
      <c r="CJ133">
        <f t="shared" si="91"/>
        <v>7.1</v>
      </c>
      <c r="CK133">
        <v>25.1</v>
      </c>
      <c r="CL133">
        <f t="shared" si="92"/>
        <v>0.282868525896414</v>
      </c>
      <c r="CN133" s="10">
        <v>4.6</v>
      </c>
      <c r="CO133">
        <v>3</v>
      </c>
      <c r="CP133" s="12">
        <f t="shared" si="93"/>
        <v>1.6</v>
      </c>
      <c r="CQ133">
        <v>3.4</v>
      </c>
      <c r="CR133" s="3">
        <f t="shared" si="94"/>
        <v>0.470588235294118</v>
      </c>
    </row>
    <row r="134" spans="2:96">
      <c r="B134" s="1">
        <v>44271</v>
      </c>
      <c r="C134">
        <v>32416</v>
      </c>
      <c r="D134" s="2">
        <f t="shared" si="95"/>
        <v>11855</v>
      </c>
      <c r="E134">
        <v>31904</v>
      </c>
      <c r="F134" s="3">
        <f t="shared" si="64"/>
        <v>0.371583500501505</v>
      </c>
      <c r="H134" s="1">
        <v>44204</v>
      </c>
      <c r="I134">
        <v>31145</v>
      </c>
      <c r="J134" s="2">
        <f t="shared" si="65"/>
        <v>13059</v>
      </c>
      <c r="K134">
        <v>32760</v>
      </c>
      <c r="L134" s="3">
        <f t="shared" si="66"/>
        <v>0.398626373626374</v>
      </c>
      <c r="N134" s="4">
        <v>267.623334883333</v>
      </c>
      <c r="O134">
        <v>201.27</v>
      </c>
      <c r="P134" s="5">
        <f t="shared" si="67"/>
        <v>66.353334883333</v>
      </c>
      <c r="Q134">
        <v>79.69</v>
      </c>
      <c r="R134" s="3">
        <f t="shared" si="68"/>
        <v>0.832643178357799</v>
      </c>
      <c r="T134" s="4">
        <v>254.3583348625</v>
      </c>
      <c r="U134">
        <v>100.23</v>
      </c>
      <c r="V134" s="5">
        <f t="shared" si="69"/>
        <v>154.1283348625</v>
      </c>
      <c r="W134">
        <v>410.93</v>
      </c>
      <c r="X134" s="3">
        <f t="shared" si="70"/>
        <v>0.375071994895724</v>
      </c>
      <c r="Z134" s="4">
        <v>25.2356249541666</v>
      </c>
      <c r="AA134">
        <v>13.25</v>
      </c>
      <c r="AB134" s="5">
        <f t="shared" si="71"/>
        <v>11.9856249541666</v>
      </c>
      <c r="AC134">
        <v>33.93</v>
      </c>
      <c r="AD134" s="3">
        <f t="shared" si="72"/>
        <v>0.353245651463796</v>
      </c>
      <c r="AF134" s="4">
        <v>3.97183385827587</v>
      </c>
      <c r="AG134">
        <v>2.09</v>
      </c>
      <c r="AH134" s="5">
        <f t="shared" si="73"/>
        <v>1.88183385827587</v>
      </c>
      <c r="AI134">
        <v>3.85</v>
      </c>
      <c r="AJ134" s="3">
        <f t="shared" si="74"/>
        <v>0.48878801513659</v>
      </c>
      <c r="AL134" s="4">
        <v>6.75430834583333</v>
      </c>
      <c r="AM134">
        <v>6.1</v>
      </c>
      <c r="AN134" s="5">
        <f t="shared" si="75"/>
        <v>0.65430834583333</v>
      </c>
      <c r="AO134">
        <v>1.89</v>
      </c>
      <c r="AP134" s="3">
        <f t="shared" si="76"/>
        <v>0.346194891975307</v>
      </c>
      <c r="AR134" s="4">
        <v>0.489375</v>
      </c>
      <c r="AS134">
        <v>0.02</v>
      </c>
      <c r="AT134" s="5">
        <f t="shared" si="77"/>
        <v>0.469375</v>
      </c>
      <c r="AU134">
        <v>2.84</v>
      </c>
      <c r="AV134" s="3">
        <f t="shared" si="78"/>
        <v>0.165272887323944</v>
      </c>
      <c r="AX134" s="4">
        <v>25.7062000333333</v>
      </c>
      <c r="AY134">
        <v>3.44</v>
      </c>
      <c r="AZ134" s="5">
        <f t="shared" si="79"/>
        <v>22.2662000333333</v>
      </c>
      <c r="BA134">
        <v>29.17</v>
      </c>
      <c r="BB134" s="3">
        <f t="shared" si="80"/>
        <v>0.76332533539024</v>
      </c>
      <c r="BD134" s="4">
        <v>0.941250025</v>
      </c>
      <c r="BE134">
        <v>0.17</v>
      </c>
      <c r="BF134" s="5">
        <f t="shared" si="81"/>
        <v>0.771250025</v>
      </c>
      <c r="BG134">
        <v>4</v>
      </c>
      <c r="BH134" s="3">
        <f t="shared" si="82"/>
        <v>0.19281250625</v>
      </c>
      <c r="BJ134" s="9">
        <v>8.92658333333333</v>
      </c>
      <c r="BK134">
        <v>4.8</v>
      </c>
      <c r="BL134" s="5">
        <f t="shared" si="83"/>
        <v>4.12658333333333</v>
      </c>
      <c r="BM134">
        <v>8.9</v>
      </c>
      <c r="BN134" s="3">
        <f t="shared" si="84"/>
        <v>0.463661048689138</v>
      </c>
      <c r="BP134" s="9">
        <v>0.1911</v>
      </c>
      <c r="BQ134">
        <v>0.09</v>
      </c>
      <c r="BR134" s="5">
        <f t="shared" si="85"/>
        <v>0.1011</v>
      </c>
      <c r="BS134">
        <v>0.43</v>
      </c>
      <c r="BT134" s="3">
        <f t="shared" si="86"/>
        <v>0.235116279069767</v>
      </c>
      <c r="BV134" s="4">
        <v>6.42197492083333</v>
      </c>
      <c r="BW134">
        <v>6.18</v>
      </c>
      <c r="BX134" s="5">
        <f t="shared" si="87"/>
        <v>0.24197492083333</v>
      </c>
      <c r="BY134">
        <v>1.68</v>
      </c>
      <c r="BZ134" s="3">
        <f t="shared" si="88"/>
        <v>0.14403269097222</v>
      </c>
      <c r="CB134" s="10">
        <v>106.7</v>
      </c>
      <c r="CC134">
        <v>54.3</v>
      </c>
      <c r="CD134" s="12">
        <f t="shared" si="89"/>
        <v>52.4</v>
      </c>
      <c r="CE134">
        <v>71.3</v>
      </c>
      <c r="CF134" s="3">
        <f t="shared" si="90"/>
        <v>0.73492286115007</v>
      </c>
      <c r="CH134" s="13">
        <v>30.3</v>
      </c>
      <c r="CI134">
        <v>22.6</v>
      </c>
      <c r="CJ134">
        <f t="shared" si="91"/>
        <v>7.7</v>
      </c>
      <c r="CK134">
        <v>25.1</v>
      </c>
      <c r="CL134">
        <f t="shared" si="92"/>
        <v>0.306772908366534</v>
      </c>
      <c r="CN134" s="10">
        <v>4.8</v>
      </c>
      <c r="CO134">
        <v>3</v>
      </c>
      <c r="CP134" s="12">
        <f t="shared" si="93"/>
        <v>1.8</v>
      </c>
      <c r="CQ134">
        <v>3.4</v>
      </c>
      <c r="CR134" s="3">
        <f t="shared" si="94"/>
        <v>0.529411764705882</v>
      </c>
    </row>
    <row r="135" spans="2:96">
      <c r="B135" s="1">
        <v>45108</v>
      </c>
      <c r="C135">
        <v>32416</v>
      </c>
      <c r="D135" s="2">
        <f t="shared" si="95"/>
        <v>12692</v>
      </c>
      <c r="E135">
        <v>31904</v>
      </c>
      <c r="F135" s="3">
        <f t="shared" si="64"/>
        <v>0.397818455366098</v>
      </c>
      <c r="H135" s="1">
        <v>44672</v>
      </c>
      <c r="I135">
        <v>31145</v>
      </c>
      <c r="J135" s="2">
        <f t="shared" si="65"/>
        <v>13527</v>
      </c>
      <c r="K135">
        <v>32760</v>
      </c>
      <c r="L135" s="3">
        <f t="shared" si="66"/>
        <v>0.412912087912088</v>
      </c>
      <c r="N135" s="4">
        <v>255.456673304167</v>
      </c>
      <c r="O135">
        <v>201.27</v>
      </c>
      <c r="P135" s="5">
        <f t="shared" si="67"/>
        <v>54.186673304167</v>
      </c>
      <c r="Q135">
        <v>79.69</v>
      </c>
      <c r="R135" s="3">
        <f t="shared" si="68"/>
        <v>0.679968293439164</v>
      </c>
      <c r="T135" s="4">
        <v>218.8374988125</v>
      </c>
      <c r="U135">
        <v>100.23</v>
      </c>
      <c r="V135" s="5">
        <f t="shared" si="69"/>
        <v>118.6074988125</v>
      </c>
      <c r="W135">
        <v>410.93</v>
      </c>
      <c r="X135" s="3">
        <f t="shared" si="70"/>
        <v>0.288631880886039</v>
      </c>
      <c r="Z135" s="4">
        <v>33.46416665</v>
      </c>
      <c r="AA135">
        <v>13.25</v>
      </c>
      <c r="AB135" s="5">
        <f t="shared" si="71"/>
        <v>20.21416665</v>
      </c>
      <c r="AC135">
        <v>33.93</v>
      </c>
      <c r="AD135" s="3">
        <f t="shared" si="72"/>
        <v>0.595760879752432</v>
      </c>
      <c r="AF135" s="4">
        <v>3.58879218718159</v>
      </c>
      <c r="AG135">
        <v>2.09</v>
      </c>
      <c r="AH135" s="5">
        <f t="shared" si="73"/>
        <v>1.49879218718159</v>
      </c>
      <c r="AI135">
        <v>3.85</v>
      </c>
      <c r="AJ135" s="3">
        <f t="shared" si="74"/>
        <v>0.389296671995218</v>
      </c>
      <c r="AL135" s="4">
        <v>6.82164177916667</v>
      </c>
      <c r="AM135">
        <v>6.1</v>
      </c>
      <c r="AN135" s="5">
        <f t="shared" si="75"/>
        <v>0.721641779166671</v>
      </c>
      <c r="AO135">
        <v>1.89</v>
      </c>
      <c r="AP135" s="3">
        <f t="shared" si="76"/>
        <v>0.381821047178133</v>
      </c>
      <c r="AR135" s="4">
        <v>0.402916666666667</v>
      </c>
      <c r="AS135">
        <v>0.02</v>
      </c>
      <c r="AT135" s="5">
        <f t="shared" si="77"/>
        <v>0.382916666666667</v>
      </c>
      <c r="AU135">
        <v>2.84</v>
      </c>
      <c r="AV135" s="3">
        <f t="shared" si="78"/>
        <v>0.134829812206573</v>
      </c>
      <c r="AX135" s="4">
        <v>17.9863333666666</v>
      </c>
      <c r="AY135">
        <v>3.44</v>
      </c>
      <c r="AZ135" s="5">
        <f t="shared" si="79"/>
        <v>14.5463333666666</v>
      </c>
      <c r="BA135">
        <v>29.17</v>
      </c>
      <c r="BB135" s="3">
        <f t="shared" si="80"/>
        <v>0.498674438349901</v>
      </c>
      <c r="BD135" s="4">
        <v>1.03900000416667</v>
      </c>
      <c r="BE135">
        <v>0.17</v>
      </c>
      <c r="BF135" s="5">
        <f t="shared" si="81"/>
        <v>0.86900000416667</v>
      </c>
      <c r="BG135">
        <v>4</v>
      </c>
      <c r="BH135" s="3">
        <f t="shared" si="82"/>
        <v>0.217250001041668</v>
      </c>
      <c r="BJ135" s="9">
        <v>9.0258333125</v>
      </c>
      <c r="BK135">
        <v>4.8</v>
      </c>
      <c r="BL135" s="5">
        <f t="shared" si="83"/>
        <v>4.2258333125</v>
      </c>
      <c r="BM135">
        <v>8.9</v>
      </c>
      <c r="BN135" s="3">
        <f t="shared" si="84"/>
        <v>0.474812731741573</v>
      </c>
      <c r="BP135" s="9">
        <v>0.195516666666666</v>
      </c>
      <c r="BQ135">
        <v>0.09</v>
      </c>
      <c r="BR135" s="5">
        <f t="shared" si="85"/>
        <v>0.105516666666666</v>
      </c>
      <c r="BS135">
        <v>0.43</v>
      </c>
      <c r="BT135" s="3">
        <f t="shared" si="86"/>
        <v>0.245387596899223</v>
      </c>
      <c r="BV135" s="4">
        <v>6.47569995</v>
      </c>
      <c r="BW135">
        <v>6.18</v>
      </c>
      <c r="BX135" s="5">
        <f t="shared" si="87"/>
        <v>0.29569995</v>
      </c>
      <c r="BY135">
        <v>1.68</v>
      </c>
      <c r="BZ135" s="3">
        <f t="shared" si="88"/>
        <v>0.176011875</v>
      </c>
      <c r="CB135" s="10">
        <v>105.1</v>
      </c>
      <c r="CC135">
        <v>54.3</v>
      </c>
      <c r="CD135" s="12">
        <f t="shared" si="89"/>
        <v>50.8</v>
      </c>
      <c r="CE135">
        <v>71.3</v>
      </c>
      <c r="CF135" s="3">
        <f t="shared" si="90"/>
        <v>0.712482468443198</v>
      </c>
      <c r="CH135" s="13">
        <v>33.2</v>
      </c>
      <c r="CI135">
        <v>22.6</v>
      </c>
      <c r="CJ135">
        <f t="shared" si="91"/>
        <v>10.6</v>
      </c>
      <c r="CK135">
        <v>25.1</v>
      </c>
      <c r="CL135">
        <f t="shared" si="92"/>
        <v>0.422310756972112</v>
      </c>
      <c r="CN135" s="10">
        <v>5</v>
      </c>
      <c r="CO135">
        <v>3</v>
      </c>
      <c r="CP135" s="12">
        <f t="shared" si="93"/>
        <v>2</v>
      </c>
      <c r="CQ135">
        <v>3.4</v>
      </c>
      <c r="CR135" s="3">
        <f t="shared" si="94"/>
        <v>0.588235294117647</v>
      </c>
    </row>
    <row r="136" spans="2:96">
      <c r="B136" s="1">
        <v>46358</v>
      </c>
      <c r="C136">
        <v>32416</v>
      </c>
      <c r="D136" s="2">
        <f t="shared" si="95"/>
        <v>13942</v>
      </c>
      <c r="E136">
        <v>31904</v>
      </c>
      <c r="F136" s="3">
        <f t="shared" si="64"/>
        <v>0.436998495486459</v>
      </c>
      <c r="H136" s="1">
        <v>46089</v>
      </c>
      <c r="I136">
        <v>31145</v>
      </c>
      <c r="J136" s="2">
        <f t="shared" si="65"/>
        <v>14944</v>
      </c>
      <c r="K136">
        <v>32760</v>
      </c>
      <c r="L136" s="3">
        <f t="shared" si="66"/>
        <v>0.456166056166056</v>
      </c>
      <c r="N136" s="4">
        <v>280.796667741667</v>
      </c>
      <c r="O136">
        <v>201.27</v>
      </c>
      <c r="P136" s="5">
        <f t="shared" si="67"/>
        <v>79.526667741667</v>
      </c>
      <c r="Q136">
        <v>79.69</v>
      </c>
      <c r="R136" s="3">
        <f t="shared" si="68"/>
        <v>0.997950404588619</v>
      </c>
      <c r="T136" s="4">
        <v>149.858332008333</v>
      </c>
      <c r="U136">
        <v>100.23</v>
      </c>
      <c r="V136" s="5">
        <f t="shared" si="69"/>
        <v>49.628332008333</v>
      </c>
      <c r="W136">
        <v>410.93</v>
      </c>
      <c r="X136" s="3">
        <f t="shared" si="70"/>
        <v>0.120770768764347</v>
      </c>
      <c r="Z136" s="4">
        <v>31.8060416916666</v>
      </c>
      <c r="AA136">
        <v>13.25</v>
      </c>
      <c r="AB136" s="5">
        <f t="shared" si="71"/>
        <v>18.5560416916666</v>
      </c>
      <c r="AC136">
        <v>33.93</v>
      </c>
      <c r="AD136" s="3">
        <f t="shared" si="72"/>
        <v>0.546891885990763</v>
      </c>
      <c r="AF136" s="4">
        <v>3.38014836053572</v>
      </c>
      <c r="AG136">
        <v>2.09</v>
      </c>
      <c r="AH136" s="5">
        <f t="shared" si="73"/>
        <v>1.29014836053572</v>
      </c>
      <c r="AI136">
        <v>3.85</v>
      </c>
      <c r="AJ136" s="3">
        <f t="shared" si="74"/>
        <v>0.335103470269018</v>
      </c>
      <c r="AL136" s="4">
        <v>6.85495005</v>
      </c>
      <c r="AM136">
        <v>6.1</v>
      </c>
      <c r="AN136" s="5">
        <f t="shared" si="75"/>
        <v>0.754950050000001</v>
      </c>
      <c r="AO136">
        <v>1.89</v>
      </c>
      <c r="AP136" s="3">
        <f t="shared" si="76"/>
        <v>0.399444470899471</v>
      </c>
      <c r="AR136" s="4">
        <v>0.396666666666666</v>
      </c>
      <c r="AS136">
        <v>0.02</v>
      </c>
      <c r="AT136" s="5">
        <f t="shared" si="77"/>
        <v>0.376666666666666</v>
      </c>
      <c r="AU136">
        <v>2.84</v>
      </c>
      <c r="AV136" s="3">
        <f t="shared" si="78"/>
        <v>0.13262910798122</v>
      </c>
      <c r="AX136" s="4">
        <v>11.5892667041666</v>
      </c>
      <c r="AY136">
        <v>3.44</v>
      </c>
      <c r="AZ136" s="5">
        <f t="shared" si="79"/>
        <v>8.1492667041666</v>
      </c>
      <c r="BA136">
        <v>29.17</v>
      </c>
      <c r="BB136" s="3">
        <f t="shared" si="80"/>
        <v>0.279371501685519</v>
      </c>
      <c r="BD136" s="4">
        <v>2.05391666666667</v>
      </c>
      <c r="BE136">
        <v>0.17</v>
      </c>
      <c r="BF136" s="5">
        <f t="shared" si="81"/>
        <v>1.88391666666667</v>
      </c>
      <c r="BG136">
        <v>4</v>
      </c>
      <c r="BH136" s="3">
        <f t="shared" si="82"/>
        <v>0.470979166666668</v>
      </c>
      <c r="BJ136" s="9">
        <v>8.00816664166667</v>
      </c>
      <c r="BK136">
        <v>4.8</v>
      </c>
      <c r="BL136" s="5">
        <f t="shared" si="83"/>
        <v>3.20816664166667</v>
      </c>
      <c r="BM136">
        <v>8.9</v>
      </c>
      <c r="BN136" s="3">
        <f t="shared" si="84"/>
        <v>0.360468161985019</v>
      </c>
      <c r="BP136" s="9">
        <v>0.21055</v>
      </c>
      <c r="BQ136">
        <v>0.09</v>
      </c>
      <c r="BR136" s="5">
        <f t="shared" si="85"/>
        <v>0.12055</v>
      </c>
      <c r="BS136">
        <v>0.43</v>
      </c>
      <c r="BT136" s="3">
        <f t="shared" si="86"/>
        <v>0.280348837209302</v>
      </c>
      <c r="BV136" s="4">
        <v>6.48678339583333</v>
      </c>
      <c r="BW136">
        <v>6.18</v>
      </c>
      <c r="BX136" s="5">
        <f t="shared" si="87"/>
        <v>0.30678339583333</v>
      </c>
      <c r="BY136">
        <v>1.68</v>
      </c>
      <c r="BZ136" s="3">
        <f t="shared" si="88"/>
        <v>0.182609164186506</v>
      </c>
      <c r="CB136" s="10">
        <v>102.3</v>
      </c>
      <c r="CC136">
        <v>54.3</v>
      </c>
      <c r="CD136" s="12">
        <f t="shared" si="89"/>
        <v>48</v>
      </c>
      <c r="CE136">
        <v>71.3</v>
      </c>
      <c r="CF136" s="3">
        <f t="shared" si="90"/>
        <v>0.673211781206171</v>
      </c>
      <c r="CH136" s="13">
        <v>31.7</v>
      </c>
      <c r="CI136">
        <v>22.6</v>
      </c>
      <c r="CJ136">
        <f t="shared" si="91"/>
        <v>9.1</v>
      </c>
      <c r="CK136">
        <v>25.1</v>
      </c>
      <c r="CL136">
        <f t="shared" si="92"/>
        <v>0.362549800796813</v>
      </c>
      <c r="CN136" s="11">
        <v>4.5</v>
      </c>
      <c r="CO136">
        <v>3</v>
      </c>
      <c r="CP136" s="12">
        <f t="shared" si="93"/>
        <v>1.5</v>
      </c>
      <c r="CQ136">
        <v>3.4</v>
      </c>
      <c r="CR136" s="3">
        <f t="shared" si="94"/>
        <v>0.441176470588235</v>
      </c>
    </row>
    <row r="137" spans="2:96">
      <c r="B137" s="1">
        <v>45203</v>
      </c>
      <c r="C137">
        <v>32416</v>
      </c>
      <c r="D137" s="2">
        <f t="shared" si="95"/>
        <v>12787</v>
      </c>
      <c r="E137">
        <v>31904</v>
      </c>
      <c r="F137" s="3">
        <f t="shared" si="64"/>
        <v>0.400796138415246</v>
      </c>
      <c r="H137" s="1">
        <v>44701</v>
      </c>
      <c r="I137">
        <v>31145</v>
      </c>
      <c r="J137" s="2">
        <f t="shared" si="65"/>
        <v>13556</v>
      </c>
      <c r="K137">
        <v>32760</v>
      </c>
      <c r="L137" s="3">
        <f t="shared" si="66"/>
        <v>0.413797313797314</v>
      </c>
      <c r="N137" s="4">
        <v>267.3166681875</v>
      </c>
      <c r="O137">
        <v>201.27</v>
      </c>
      <c r="P137" s="5">
        <f t="shared" si="67"/>
        <v>66.0466681875</v>
      </c>
      <c r="Q137">
        <v>79.69</v>
      </c>
      <c r="R137" s="3">
        <f t="shared" si="68"/>
        <v>0.828794932707993</v>
      </c>
      <c r="T137" s="4">
        <v>197.9416681875</v>
      </c>
      <c r="U137">
        <v>100.23</v>
      </c>
      <c r="V137" s="5">
        <f t="shared" si="69"/>
        <v>97.7116681875</v>
      </c>
      <c r="W137">
        <v>410.93</v>
      </c>
      <c r="X137" s="3">
        <f t="shared" si="70"/>
        <v>0.237781783241671</v>
      </c>
      <c r="Z137" s="4">
        <v>33.8385416458333</v>
      </c>
      <c r="AA137">
        <v>13.25</v>
      </c>
      <c r="AB137" s="5">
        <f t="shared" si="71"/>
        <v>20.5885416458333</v>
      </c>
      <c r="AC137">
        <v>33.93</v>
      </c>
      <c r="AD137" s="3">
        <f t="shared" si="72"/>
        <v>0.606794625577168</v>
      </c>
      <c r="AF137" s="4">
        <v>3.50268362274257</v>
      </c>
      <c r="AG137">
        <v>2.09</v>
      </c>
      <c r="AH137" s="5">
        <f t="shared" si="73"/>
        <v>1.41268362274257</v>
      </c>
      <c r="AI137">
        <v>3.85</v>
      </c>
      <c r="AJ137" s="3">
        <f t="shared" si="74"/>
        <v>0.366930811101966</v>
      </c>
      <c r="AL137" s="4">
        <v>6.40785829583333</v>
      </c>
      <c r="AM137">
        <v>6.1</v>
      </c>
      <c r="AN137" s="5">
        <f t="shared" si="75"/>
        <v>0.307858295833331</v>
      </c>
      <c r="AO137">
        <v>1.89</v>
      </c>
      <c r="AP137" s="3">
        <f t="shared" si="76"/>
        <v>0.162887987213402</v>
      </c>
      <c r="AR137" s="4">
        <v>0.376041666666666</v>
      </c>
      <c r="AS137">
        <v>0.02</v>
      </c>
      <c r="AT137" s="5">
        <f t="shared" si="77"/>
        <v>0.356041666666666</v>
      </c>
      <c r="AU137">
        <v>2.84</v>
      </c>
      <c r="AV137" s="3">
        <f t="shared" si="78"/>
        <v>0.125366784037558</v>
      </c>
      <c r="AX137" s="4">
        <v>13.5476667166666</v>
      </c>
      <c r="AY137">
        <v>3.44</v>
      </c>
      <c r="AZ137" s="5">
        <f t="shared" si="79"/>
        <v>10.1076667166666</v>
      </c>
      <c r="BA137">
        <v>29.17</v>
      </c>
      <c r="BB137" s="3">
        <f t="shared" si="80"/>
        <v>0.34650897211747</v>
      </c>
      <c r="BD137" s="4">
        <v>1.3859166625</v>
      </c>
      <c r="BE137">
        <v>0.17</v>
      </c>
      <c r="BF137" s="5">
        <f t="shared" si="81"/>
        <v>1.2159166625</v>
      </c>
      <c r="BG137">
        <v>4</v>
      </c>
      <c r="BH137" s="3">
        <f t="shared" si="82"/>
        <v>0.303979165625</v>
      </c>
      <c r="BJ137" s="9">
        <v>8.21500000416667</v>
      </c>
      <c r="BK137">
        <v>4.8</v>
      </c>
      <c r="BL137" s="5">
        <f t="shared" si="83"/>
        <v>3.41500000416667</v>
      </c>
      <c r="BM137">
        <v>8.9</v>
      </c>
      <c r="BN137" s="3">
        <f t="shared" si="84"/>
        <v>0.383707865636705</v>
      </c>
      <c r="BP137" s="9">
        <v>0.2245</v>
      </c>
      <c r="BQ137">
        <v>0.09</v>
      </c>
      <c r="BR137" s="5">
        <f t="shared" si="85"/>
        <v>0.1345</v>
      </c>
      <c r="BS137">
        <v>0.43</v>
      </c>
      <c r="BT137" s="3">
        <f t="shared" si="86"/>
        <v>0.312790697674419</v>
      </c>
      <c r="BV137" s="4">
        <v>6.58974170416667</v>
      </c>
      <c r="BW137">
        <v>6.18</v>
      </c>
      <c r="BX137" s="5">
        <f t="shared" si="87"/>
        <v>0.40974170416667</v>
      </c>
      <c r="BY137">
        <v>1.68</v>
      </c>
      <c r="BZ137" s="3">
        <f t="shared" si="88"/>
        <v>0.24389387152778</v>
      </c>
      <c r="CB137" s="10">
        <v>101.3</v>
      </c>
      <c r="CC137">
        <v>54.3</v>
      </c>
      <c r="CD137" s="12">
        <f t="shared" si="89"/>
        <v>47</v>
      </c>
      <c r="CE137">
        <v>71.3</v>
      </c>
      <c r="CF137" s="3">
        <f t="shared" si="90"/>
        <v>0.659186535764376</v>
      </c>
      <c r="CH137" s="13">
        <v>34.3</v>
      </c>
      <c r="CI137">
        <v>22.6</v>
      </c>
      <c r="CJ137">
        <f t="shared" si="91"/>
        <v>11.7</v>
      </c>
      <c r="CK137">
        <v>25.1</v>
      </c>
      <c r="CL137">
        <f t="shared" si="92"/>
        <v>0.46613545816733</v>
      </c>
      <c r="CN137" s="10">
        <v>4.3</v>
      </c>
      <c r="CO137">
        <v>3</v>
      </c>
      <c r="CP137" s="12">
        <f t="shared" si="93"/>
        <v>1.3</v>
      </c>
      <c r="CQ137">
        <v>3.4</v>
      </c>
      <c r="CR137" s="3">
        <f t="shared" si="94"/>
        <v>0.382352941176471</v>
      </c>
    </row>
    <row r="138" spans="2:96">
      <c r="B138" s="1">
        <v>40871</v>
      </c>
      <c r="C138">
        <v>32416</v>
      </c>
      <c r="D138" s="2">
        <f t="shared" si="95"/>
        <v>8455</v>
      </c>
      <c r="E138">
        <v>31904</v>
      </c>
      <c r="F138" s="3">
        <f t="shared" si="64"/>
        <v>0.265013791374122</v>
      </c>
      <c r="H138" s="1">
        <v>40495</v>
      </c>
      <c r="I138">
        <v>31145</v>
      </c>
      <c r="J138" s="2">
        <f t="shared" si="65"/>
        <v>9350</v>
      </c>
      <c r="K138">
        <v>32760</v>
      </c>
      <c r="L138" s="3">
        <f t="shared" si="66"/>
        <v>0.285409035409035</v>
      </c>
      <c r="N138" s="4">
        <v>252.463334408333</v>
      </c>
      <c r="O138">
        <v>201.27</v>
      </c>
      <c r="P138" s="5">
        <f t="shared" si="67"/>
        <v>51.193334408333</v>
      </c>
      <c r="Q138">
        <v>79.69</v>
      </c>
      <c r="R138" s="3">
        <f t="shared" si="68"/>
        <v>0.64240600336721</v>
      </c>
      <c r="T138" s="4">
        <v>144.145833020833</v>
      </c>
      <c r="U138">
        <v>100.23</v>
      </c>
      <c r="V138" s="5">
        <f t="shared" si="69"/>
        <v>43.915833020833</v>
      </c>
      <c r="W138">
        <v>410.93</v>
      </c>
      <c r="X138" s="3">
        <f t="shared" si="70"/>
        <v>0.106869376830197</v>
      </c>
      <c r="Z138" s="4">
        <v>25.6114583916666</v>
      </c>
      <c r="AA138">
        <v>13.25</v>
      </c>
      <c r="AB138" s="5">
        <f t="shared" si="71"/>
        <v>12.3614583916666</v>
      </c>
      <c r="AC138">
        <v>33.93</v>
      </c>
      <c r="AD138" s="3">
        <f t="shared" si="72"/>
        <v>0.36432238112781</v>
      </c>
      <c r="AF138" s="4">
        <v>4.12285556000486</v>
      </c>
      <c r="AG138">
        <v>2.09</v>
      </c>
      <c r="AH138" s="5">
        <f t="shared" si="73"/>
        <v>2.03285556000486</v>
      </c>
      <c r="AI138">
        <v>3.85</v>
      </c>
      <c r="AJ138" s="3">
        <f t="shared" si="74"/>
        <v>0.528014431170094</v>
      </c>
      <c r="AL138" s="4">
        <v>6.75640842083333</v>
      </c>
      <c r="AM138">
        <v>6.1</v>
      </c>
      <c r="AN138" s="5">
        <f t="shared" si="75"/>
        <v>0.656408420833331</v>
      </c>
      <c r="AO138">
        <v>1.89</v>
      </c>
      <c r="AP138" s="3">
        <f t="shared" si="76"/>
        <v>0.347306042768958</v>
      </c>
      <c r="AR138" s="4">
        <v>0.596458333333333</v>
      </c>
      <c r="AS138">
        <v>0.02</v>
      </c>
      <c r="AT138" s="5">
        <f t="shared" si="77"/>
        <v>0.576458333333333</v>
      </c>
      <c r="AU138">
        <v>2.84</v>
      </c>
      <c r="AV138" s="3">
        <f t="shared" si="78"/>
        <v>0.202978286384976</v>
      </c>
      <c r="AX138" s="4">
        <v>14.5372666291666</v>
      </c>
      <c r="AY138">
        <v>3.44</v>
      </c>
      <c r="AZ138" s="5">
        <f t="shared" si="79"/>
        <v>11.0972666291666</v>
      </c>
      <c r="BA138">
        <v>29.17</v>
      </c>
      <c r="BB138" s="3">
        <f t="shared" si="80"/>
        <v>0.380434234801735</v>
      </c>
      <c r="BD138" s="4">
        <v>0.91425</v>
      </c>
      <c r="BE138">
        <v>0.17</v>
      </c>
      <c r="BF138" s="5">
        <f t="shared" si="81"/>
        <v>0.74425</v>
      </c>
      <c r="BG138">
        <v>4</v>
      </c>
      <c r="BH138" s="3">
        <f t="shared" si="82"/>
        <v>0.1860625</v>
      </c>
      <c r="BJ138" s="9">
        <v>9.11966666666667</v>
      </c>
      <c r="BK138">
        <v>4.8</v>
      </c>
      <c r="BL138" s="5">
        <f t="shared" si="83"/>
        <v>4.31966666666667</v>
      </c>
      <c r="BM138">
        <v>8.9</v>
      </c>
      <c r="BN138" s="3">
        <f t="shared" si="84"/>
        <v>0.485355805243446</v>
      </c>
      <c r="BP138" s="9">
        <v>0.188433333333333</v>
      </c>
      <c r="BQ138">
        <v>0.09</v>
      </c>
      <c r="BR138" s="5">
        <f t="shared" si="85"/>
        <v>0.098433333333333</v>
      </c>
      <c r="BS138">
        <v>0.43</v>
      </c>
      <c r="BT138" s="3">
        <f t="shared" si="86"/>
        <v>0.22891472868217</v>
      </c>
      <c r="BV138" s="4">
        <v>6.27870832083333</v>
      </c>
      <c r="BW138">
        <v>6.18</v>
      </c>
      <c r="BX138" s="5">
        <f t="shared" si="87"/>
        <v>0.0987083208333299</v>
      </c>
      <c r="BY138">
        <v>1.68</v>
      </c>
      <c r="BZ138" s="3">
        <f t="shared" si="88"/>
        <v>0.0587549528769821</v>
      </c>
      <c r="CB138" s="10">
        <v>100.2</v>
      </c>
      <c r="CC138">
        <v>54.3</v>
      </c>
      <c r="CD138" s="12">
        <f t="shared" si="89"/>
        <v>45.9</v>
      </c>
      <c r="CE138">
        <v>71.3</v>
      </c>
      <c r="CF138" s="3">
        <f t="shared" si="90"/>
        <v>0.643758765778401</v>
      </c>
      <c r="CH138" s="13">
        <v>32.9</v>
      </c>
      <c r="CI138">
        <v>22.6</v>
      </c>
      <c r="CJ138">
        <f t="shared" si="91"/>
        <v>10.3</v>
      </c>
      <c r="CK138">
        <v>25.1</v>
      </c>
      <c r="CL138">
        <f t="shared" si="92"/>
        <v>0.410358565737052</v>
      </c>
      <c r="CN138" s="10">
        <v>4.8</v>
      </c>
      <c r="CO138">
        <v>3</v>
      </c>
      <c r="CP138" s="12">
        <f t="shared" si="93"/>
        <v>1.8</v>
      </c>
      <c r="CQ138">
        <v>3.4</v>
      </c>
      <c r="CR138" s="3">
        <f t="shared" si="94"/>
        <v>0.529411764705882</v>
      </c>
    </row>
    <row r="139" spans="2:96">
      <c r="B139" s="1">
        <v>40697</v>
      </c>
      <c r="C139">
        <v>32416</v>
      </c>
      <c r="D139" s="2">
        <f t="shared" si="95"/>
        <v>8281</v>
      </c>
      <c r="E139">
        <v>31904</v>
      </c>
      <c r="F139" s="3">
        <f t="shared" si="64"/>
        <v>0.259559929789368</v>
      </c>
      <c r="H139" s="1">
        <v>40562</v>
      </c>
      <c r="I139">
        <v>31145</v>
      </c>
      <c r="J139" s="2">
        <f t="shared" si="65"/>
        <v>9417</v>
      </c>
      <c r="K139">
        <v>32760</v>
      </c>
      <c r="L139" s="3">
        <f t="shared" si="66"/>
        <v>0.287454212454212</v>
      </c>
      <c r="N139" s="4">
        <v>257.42333475</v>
      </c>
      <c r="O139">
        <v>201.27</v>
      </c>
      <c r="P139" s="5">
        <f t="shared" si="67"/>
        <v>56.15333475</v>
      </c>
      <c r="Q139">
        <v>79.69</v>
      </c>
      <c r="R139" s="3">
        <f t="shared" si="68"/>
        <v>0.704647192244949</v>
      </c>
      <c r="T139" s="4">
        <v>171.779167179166</v>
      </c>
      <c r="U139">
        <v>100.23</v>
      </c>
      <c r="V139" s="5">
        <f t="shared" si="69"/>
        <v>71.549167179166</v>
      </c>
      <c r="W139">
        <v>410.93</v>
      </c>
      <c r="X139" s="3">
        <f t="shared" si="70"/>
        <v>0.174115219573081</v>
      </c>
      <c r="Z139" s="4">
        <v>25.6716665833333</v>
      </c>
      <c r="AA139">
        <v>13.25</v>
      </c>
      <c r="AB139" s="5">
        <f t="shared" si="71"/>
        <v>12.4216665833333</v>
      </c>
      <c r="AC139">
        <v>33.93</v>
      </c>
      <c r="AD139" s="3">
        <f t="shared" si="72"/>
        <v>0.366096863640828</v>
      </c>
      <c r="AF139" s="4">
        <v>3.50520624973322</v>
      </c>
      <c r="AG139">
        <v>2.09</v>
      </c>
      <c r="AH139" s="5">
        <f t="shared" si="73"/>
        <v>1.41520624973322</v>
      </c>
      <c r="AI139">
        <v>3.85</v>
      </c>
      <c r="AJ139" s="3">
        <f t="shared" si="74"/>
        <v>0.367586038891746</v>
      </c>
      <c r="AL139" s="4">
        <v>6.81873687894737</v>
      </c>
      <c r="AM139">
        <v>6.1</v>
      </c>
      <c r="AN139" s="5">
        <f t="shared" si="75"/>
        <v>0.718736878947371</v>
      </c>
      <c r="AO139">
        <v>1.89</v>
      </c>
      <c r="AP139" s="3">
        <f t="shared" si="76"/>
        <v>0.380284062935117</v>
      </c>
      <c r="AR139" s="4">
        <v>0.700416666666667</v>
      </c>
      <c r="AS139">
        <v>0.02</v>
      </c>
      <c r="AT139" s="5">
        <f t="shared" si="77"/>
        <v>0.680416666666667</v>
      </c>
      <c r="AU139">
        <v>2.84</v>
      </c>
      <c r="AV139" s="3">
        <f t="shared" si="78"/>
        <v>0.239583333333333</v>
      </c>
      <c r="AX139" s="4">
        <v>12.1357333291666</v>
      </c>
      <c r="AY139">
        <v>3.44</v>
      </c>
      <c r="AZ139" s="5">
        <f t="shared" si="79"/>
        <v>8.6957333291666</v>
      </c>
      <c r="BA139">
        <v>29.17</v>
      </c>
      <c r="BB139" s="3">
        <f t="shared" si="80"/>
        <v>0.298105359244655</v>
      </c>
      <c r="BD139" s="4">
        <v>1.22375</v>
      </c>
      <c r="BE139">
        <v>0.17</v>
      </c>
      <c r="BF139" s="5">
        <f t="shared" si="81"/>
        <v>1.05375</v>
      </c>
      <c r="BG139">
        <v>4</v>
      </c>
      <c r="BH139" s="3">
        <f t="shared" si="82"/>
        <v>0.2634375</v>
      </c>
      <c r="BJ139" s="9">
        <v>7.68283333333333</v>
      </c>
      <c r="BK139">
        <v>4.8</v>
      </c>
      <c r="BL139" s="5">
        <f t="shared" si="83"/>
        <v>2.88283333333333</v>
      </c>
      <c r="BM139">
        <v>8.9</v>
      </c>
      <c r="BN139" s="3">
        <f t="shared" si="84"/>
        <v>0.323913857677902</v>
      </c>
      <c r="BP139" s="9">
        <v>0.203583333333333</v>
      </c>
      <c r="BQ139">
        <v>0.09</v>
      </c>
      <c r="BR139" s="5">
        <f t="shared" si="85"/>
        <v>0.113583333333333</v>
      </c>
      <c r="BS139">
        <v>0.43</v>
      </c>
      <c r="BT139" s="3">
        <f t="shared" si="86"/>
        <v>0.264147286821705</v>
      </c>
      <c r="BV139" s="4">
        <v>6.36451663333333</v>
      </c>
      <c r="BW139">
        <v>6.18</v>
      </c>
      <c r="BX139" s="5">
        <f t="shared" si="87"/>
        <v>0.18451663333333</v>
      </c>
      <c r="BY139">
        <v>1.68</v>
      </c>
      <c r="BZ139" s="3">
        <f t="shared" si="88"/>
        <v>0.109831329365077</v>
      </c>
      <c r="CB139" s="10">
        <v>100.8</v>
      </c>
      <c r="CC139">
        <v>54.3</v>
      </c>
      <c r="CD139" s="12">
        <f t="shared" si="89"/>
        <v>46.5</v>
      </c>
      <c r="CE139">
        <v>71.3</v>
      </c>
      <c r="CF139" s="3">
        <f t="shared" si="90"/>
        <v>0.652173913043478</v>
      </c>
      <c r="CH139" s="13">
        <v>30.8</v>
      </c>
      <c r="CI139">
        <v>22.6</v>
      </c>
      <c r="CJ139">
        <f t="shared" si="91"/>
        <v>8.2</v>
      </c>
      <c r="CK139">
        <v>25.1</v>
      </c>
      <c r="CL139">
        <f t="shared" si="92"/>
        <v>0.326693227091633</v>
      </c>
      <c r="CN139" s="10">
        <v>4.1</v>
      </c>
      <c r="CO139">
        <v>3</v>
      </c>
      <c r="CP139" s="12">
        <f t="shared" si="93"/>
        <v>1.1</v>
      </c>
      <c r="CQ139">
        <v>3.4</v>
      </c>
      <c r="CR139" s="3">
        <f t="shared" si="94"/>
        <v>0.323529411764706</v>
      </c>
    </row>
    <row r="140" spans="2:96">
      <c r="B140" s="1">
        <v>42301</v>
      </c>
      <c r="C140">
        <v>32416</v>
      </c>
      <c r="D140" s="2">
        <f t="shared" si="95"/>
        <v>9885</v>
      </c>
      <c r="E140">
        <v>31904</v>
      </c>
      <c r="F140" s="3">
        <f t="shared" si="64"/>
        <v>0.309835757271815</v>
      </c>
      <c r="H140" s="1">
        <v>41961</v>
      </c>
      <c r="I140">
        <v>31145</v>
      </c>
      <c r="J140" s="2">
        <f t="shared" si="65"/>
        <v>10816</v>
      </c>
      <c r="K140">
        <v>32760</v>
      </c>
      <c r="L140" s="3">
        <f t="shared" si="66"/>
        <v>0.33015873015873</v>
      </c>
      <c r="N140" s="4">
        <v>257.2666676875</v>
      </c>
      <c r="O140">
        <v>201.27</v>
      </c>
      <c r="P140" s="5">
        <f t="shared" si="67"/>
        <v>55.9966676875</v>
      </c>
      <c r="Q140">
        <v>79.69</v>
      </c>
      <c r="R140" s="3">
        <f t="shared" si="68"/>
        <v>0.702681235882796</v>
      </c>
      <c r="T140" s="4">
        <v>182.945833841666</v>
      </c>
      <c r="U140">
        <v>100.23</v>
      </c>
      <c r="V140" s="5">
        <f t="shared" si="69"/>
        <v>82.715833841666</v>
      </c>
      <c r="W140">
        <v>410.93</v>
      </c>
      <c r="X140" s="3">
        <f t="shared" si="70"/>
        <v>0.201289353032551</v>
      </c>
      <c r="Z140" s="4">
        <v>26.4268748875</v>
      </c>
      <c r="AA140">
        <v>13.25</v>
      </c>
      <c r="AB140" s="5">
        <f t="shared" si="71"/>
        <v>13.1768748875</v>
      </c>
      <c r="AC140">
        <v>33.93</v>
      </c>
      <c r="AD140" s="3">
        <f t="shared" si="72"/>
        <v>0.388354697539051</v>
      </c>
      <c r="AF140" s="4">
        <v>3.76</v>
      </c>
      <c r="AG140">
        <v>2.09</v>
      </c>
      <c r="AH140" s="5">
        <f t="shared" si="73"/>
        <v>1.67</v>
      </c>
      <c r="AI140">
        <v>3.85</v>
      </c>
      <c r="AJ140" s="3">
        <f t="shared" si="74"/>
        <v>0.433766233766234</v>
      </c>
      <c r="AL140" s="4">
        <v>6.87434992</v>
      </c>
      <c r="AM140">
        <v>6.1</v>
      </c>
      <c r="AN140" s="5">
        <f t="shared" si="75"/>
        <v>0.774349920000001</v>
      </c>
      <c r="AO140">
        <v>1.89</v>
      </c>
      <c r="AP140" s="3">
        <f t="shared" si="76"/>
        <v>0.409708952380953</v>
      </c>
      <c r="AR140" s="4">
        <v>0.558333333333333</v>
      </c>
      <c r="AS140">
        <v>0.02</v>
      </c>
      <c r="AT140" s="5">
        <f t="shared" si="77"/>
        <v>0.538333333333333</v>
      </c>
      <c r="AU140">
        <v>2.84</v>
      </c>
      <c r="AV140" s="3">
        <f t="shared" si="78"/>
        <v>0.189553990610329</v>
      </c>
      <c r="AX140" s="4">
        <v>11.8528666541666</v>
      </c>
      <c r="AY140">
        <v>3.44</v>
      </c>
      <c r="AZ140" s="5">
        <f t="shared" si="79"/>
        <v>8.4128666541666</v>
      </c>
      <c r="BA140">
        <v>29.17</v>
      </c>
      <c r="BB140" s="3">
        <f t="shared" si="80"/>
        <v>0.288408181493541</v>
      </c>
      <c r="BD140" s="4">
        <v>0.449000004166667</v>
      </c>
      <c r="BE140">
        <v>0.17</v>
      </c>
      <c r="BF140" s="5">
        <f t="shared" si="81"/>
        <v>0.279000004166667</v>
      </c>
      <c r="BG140">
        <v>4</v>
      </c>
      <c r="BH140" s="3">
        <f t="shared" si="82"/>
        <v>0.0697500010416668</v>
      </c>
      <c r="BJ140" s="9">
        <v>8.12625002916667</v>
      </c>
      <c r="BK140">
        <v>4.8</v>
      </c>
      <c r="BL140" s="5">
        <f t="shared" si="83"/>
        <v>3.32625002916667</v>
      </c>
      <c r="BM140">
        <v>8.9</v>
      </c>
      <c r="BN140" s="3">
        <f t="shared" si="84"/>
        <v>0.373735958333334</v>
      </c>
      <c r="BP140" s="9">
        <v>0.224225</v>
      </c>
      <c r="BQ140">
        <v>0.09</v>
      </c>
      <c r="BR140" s="5">
        <f t="shared" si="85"/>
        <v>0.134225</v>
      </c>
      <c r="BS140">
        <v>0.43</v>
      </c>
      <c r="BT140" s="3">
        <f t="shared" si="86"/>
        <v>0.312151162790698</v>
      </c>
      <c r="BV140" s="4">
        <v>6.34129997083333</v>
      </c>
      <c r="BW140">
        <v>6.18</v>
      </c>
      <c r="BX140" s="5">
        <f t="shared" si="87"/>
        <v>0.161299970833331</v>
      </c>
      <c r="BY140">
        <v>1.68</v>
      </c>
      <c r="BZ140" s="3">
        <f t="shared" si="88"/>
        <v>0.0960118874007921</v>
      </c>
      <c r="CB140" s="10">
        <v>99.6</v>
      </c>
      <c r="CC140">
        <v>54.3</v>
      </c>
      <c r="CD140" s="12">
        <f t="shared" si="89"/>
        <v>45.3</v>
      </c>
      <c r="CE140">
        <v>71.3</v>
      </c>
      <c r="CF140" s="3">
        <f t="shared" si="90"/>
        <v>0.635343618513324</v>
      </c>
      <c r="CH140" s="13">
        <v>31.2</v>
      </c>
      <c r="CI140">
        <v>22.6</v>
      </c>
      <c r="CJ140">
        <f t="shared" si="91"/>
        <v>8.6</v>
      </c>
      <c r="CK140">
        <v>25.1</v>
      </c>
      <c r="CL140">
        <f t="shared" si="92"/>
        <v>0.342629482071713</v>
      </c>
      <c r="CN140" s="11">
        <v>4.6</v>
      </c>
      <c r="CO140">
        <v>3</v>
      </c>
      <c r="CP140" s="12">
        <f t="shared" si="93"/>
        <v>1.6</v>
      </c>
      <c r="CQ140">
        <v>3.4</v>
      </c>
      <c r="CR140" s="3">
        <f t="shared" si="94"/>
        <v>0.470588235294118</v>
      </c>
    </row>
    <row r="141" spans="2:96">
      <c r="B141" s="1">
        <v>45203</v>
      </c>
      <c r="C141">
        <v>32416</v>
      </c>
      <c r="D141" s="2">
        <f t="shared" si="95"/>
        <v>12787</v>
      </c>
      <c r="E141">
        <v>31904</v>
      </c>
      <c r="F141" s="3">
        <f t="shared" si="64"/>
        <v>0.400796138415246</v>
      </c>
      <c r="H141" s="1">
        <v>44776</v>
      </c>
      <c r="I141">
        <v>31145</v>
      </c>
      <c r="J141" s="2">
        <f t="shared" si="65"/>
        <v>13631</v>
      </c>
      <c r="K141">
        <v>32760</v>
      </c>
      <c r="L141" s="3">
        <f t="shared" si="66"/>
        <v>0.416086691086691</v>
      </c>
      <c r="N141" s="4">
        <v>265.71333185</v>
      </c>
      <c r="O141">
        <v>201.27</v>
      </c>
      <c r="P141" s="5">
        <f t="shared" si="67"/>
        <v>64.44333185</v>
      </c>
      <c r="Q141">
        <v>79.69</v>
      </c>
      <c r="R141" s="3">
        <f t="shared" si="68"/>
        <v>0.808675264776007</v>
      </c>
      <c r="T141" s="4">
        <v>200.845834095833</v>
      </c>
      <c r="U141">
        <v>100.23</v>
      </c>
      <c r="V141" s="5">
        <f t="shared" si="69"/>
        <v>100.615834095833</v>
      </c>
      <c r="W141">
        <v>410.93</v>
      </c>
      <c r="X141" s="3">
        <f t="shared" si="70"/>
        <v>0.24484908401877</v>
      </c>
      <c r="Z141" s="4">
        <v>24.5977083041666</v>
      </c>
      <c r="AA141">
        <v>13.25</v>
      </c>
      <c r="AB141" s="5">
        <f t="shared" si="71"/>
        <v>11.3477083041666</v>
      </c>
      <c r="AC141">
        <v>33.93</v>
      </c>
      <c r="AD141" s="3">
        <f t="shared" si="72"/>
        <v>0.334444689188523</v>
      </c>
      <c r="AF141" s="4">
        <v>4.73</v>
      </c>
      <c r="AG141">
        <v>2.09</v>
      </c>
      <c r="AH141" s="5">
        <f t="shared" si="73"/>
        <v>2.64</v>
      </c>
      <c r="AI141">
        <v>3.85</v>
      </c>
      <c r="AJ141" s="3">
        <f t="shared" si="74"/>
        <v>0.685714285714286</v>
      </c>
      <c r="AL141" s="4">
        <v>6.95805832083333</v>
      </c>
      <c r="AM141">
        <v>6.1</v>
      </c>
      <c r="AN141" s="5">
        <f t="shared" si="75"/>
        <v>0.85805832083333</v>
      </c>
      <c r="AO141">
        <v>1.89</v>
      </c>
      <c r="AP141" s="3">
        <f t="shared" si="76"/>
        <v>0.453999111552027</v>
      </c>
      <c r="AR141" s="4">
        <v>0.638958333333333</v>
      </c>
      <c r="AS141">
        <v>0.02</v>
      </c>
      <c r="AT141" s="5">
        <f t="shared" si="77"/>
        <v>0.618958333333333</v>
      </c>
      <c r="AU141">
        <v>2.84</v>
      </c>
      <c r="AV141" s="3">
        <f t="shared" si="78"/>
        <v>0.217943075117371</v>
      </c>
      <c r="AX141" s="4">
        <v>10.8021332458333</v>
      </c>
      <c r="AY141">
        <v>3.44</v>
      </c>
      <c r="AZ141" s="5">
        <f t="shared" si="79"/>
        <v>7.3621332458333</v>
      </c>
      <c r="BA141">
        <v>29.17</v>
      </c>
      <c r="BB141" s="3">
        <f t="shared" si="80"/>
        <v>0.25238715275397</v>
      </c>
      <c r="BD141" s="4">
        <v>1.41000000416666</v>
      </c>
      <c r="BE141">
        <v>0.17</v>
      </c>
      <c r="BF141" s="5">
        <f t="shared" si="81"/>
        <v>1.24000000416666</v>
      </c>
      <c r="BG141">
        <v>4</v>
      </c>
      <c r="BH141" s="3">
        <f t="shared" si="82"/>
        <v>0.310000001041665</v>
      </c>
      <c r="BJ141" s="9">
        <v>8.90275004166667</v>
      </c>
      <c r="BK141">
        <v>4.8</v>
      </c>
      <c r="BL141" s="5">
        <f t="shared" si="83"/>
        <v>4.10275004166667</v>
      </c>
      <c r="BM141">
        <v>8.9</v>
      </c>
      <c r="BN141" s="3">
        <f t="shared" si="84"/>
        <v>0.460983150749064</v>
      </c>
      <c r="BP141" s="9">
        <v>0.153341666666667</v>
      </c>
      <c r="BQ141">
        <v>0.09</v>
      </c>
      <c r="BR141" s="5">
        <f t="shared" si="85"/>
        <v>0.063341666666667</v>
      </c>
      <c r="BS141">
        <v>0.43</v>
      </c>
      <c r="BT141" s="3">
        <f t="shared" si="86"/>
        <v>0.147306201550388</v>
      </c>
      <c r="BV141" s="4">
        <v>6.365858325</v>
      </c>
      <c r="BW141">
        <v>6.18</v>
      </c>
      <c r="BX141" s="5">
        <f t="shared" si="87"/>
        <v>0.185858325</v>
      </c>
      <c r="BY141">
        <v>1.68</v>
      </c>
      <c r="BZ141" s="3">
        <f t="shared" si="88"/>
        <v>0.110629955357143</v>
      </c>
      <c r="CB141" s="10">
        <v>98.4</v>
      </c>
      <c r="CC141">
        <v>54.3</v>
      </c>
      <c r="CD141" s="12">
        <f t="shared" si="89"/>
        <v>44.1</v>
      </c>
      <c r="CE141">
        <v>71.3</v>
      </c>
      <c r="CF141" s="3">
        <f t="shared" si="90"/>
        <v>0.61851332398317</v>
      </c>
      <c r="CH141" s="13">
        <v>28.4</v>
      </c>
      <c r="CI141">
        <v>22.6</v>
      </c>
      <c r="CJ141">
        <f t="shared" si="91"/>
        <v>5.8</v>
      </c>
      <c r="CK141">
        <v>25.1</v>
      </c>
      <c r="CL141">
        <f t="shared" si="92"/>
        <v>0.231075697211155</v>
      </c>
      <c r="CN141" s="10">
        <v>4.4</v>
      </c>
      <c r="CO141">
        <v>3</v>
      </c>
      <c r="CP141" s="12">
        <f t="shared" si="93"/>
        <v>1.4</v>
      </c>
      <c r="CQ141">
        <v>3.4</v>
      </c>
      <c r="CR141" s="3">
        <f t="shared" si="94"/>
        <v>0.411764705882353</v>
      </c>
    </row>
    <row r="142" spans="2:96">
      <c r="B142" s="1">
        <v>44103</v>
      </c>
      <c r="C142">
        <v>32416</v>
      </c>
      <c r="D142" s="2">
        <f t="shared" si="95"/>
        <v>11687</v>
      </c>
      <c r="E142">
        <v>31904</v>
      </c>
      <c r="F142" s="3">
        <f t="shared" si="64"/>
        <v>0.366317703109328</v>
      </c>
      <c r="H142" s="1">
        <v>43805</v>
      </c>
      <c r="I142">
        <v>31145</v>
      </c>
      <c r="J142" s="2">
        <f t="shared" si="65"/>
        <v>12660</v>
      </c>
      <c r="K142">
        <v>32760</v>
      </c>
      <c r="L142" s="3">
        <f t="shared" si="66"/>
        <v>0.386446886446886</v>
      </c>
      <c r="N142" s="4">
        <v>257.623336804167</v>
      </c>
      <c r="O142">
        <v>201.27</v>
      </c>
      <c r="P142" s="5">
        <f t="shared" si="67"/>
        <v>56.353336804167</v>
      </c>
      <c r="Q142">
        <v>79.69</v>
      </c>
      <c r="R142" s="3">
        <f t="shared" si="68"/>
        <v>0.707156943207015</v>
      </c>
      <c r="T142" s="4">
        <v>172.912501179166</v>
      </c>
      <c r="U142">
        <v>100.23</v>
      </c>
      <c r="V142" s="5">
        <f t="shared" si="69"/>
        <v>72.682501179166</v>
      </c>
      <c r="W142">
        <v>410.93</v>
      </c>
      <c r="X142" s="3">
        <f t="shared" si="70"/>
        <v>0.176873192950541</v>
      </c>
      <c r="Z142" s="4">
        <v>25.4139583333333</v>
      </c>
      <c r="AA142">
        <v>13.25</v>
      </c>
      <c r="AB142" s="5">
        <f t="shared" si="71"/>
        <v>12.1639583333333</v>
      </c>
      <c r="AC142">
        <v>33.93</v>
      </c>
      <c r="AD142" s="3">
        <f t="shared" si="72"/>
        <v>0.35850157186364</v>
      </c>
      <c r="AF142" s="4">
        <v>4.74</v>
      </c>
      <c r="AG142">
        <v>2.09</v>
      </c>
      <c r="AH142" s="5">
        <f t="shared" si="73"/>
        <v>2.65</v>
      </c>
      <c r="AI142">
        <v>3.85</v>
      </c>
      <c r="AJ142" s="3">
        <f t="shared" si="74"/>
        <v>0.688311688311688</v>
      </c>
      <c r="AL142" s="4">
        <v>6.93740840416667</v>
      </c>
      <c r="AM142">
        <v>6.1</v>
      </c>
      <c r="AN142" s="5">
        <f t="shared" si="75"/>
        <v>0.837408404166671</v>
      </c>
      <c r="AO142">
        <v>1.89</v>
      </c>
      <c r="AP142" s="3">
        <f t="shared" si="76"/>
        <v>0.443073229717815</v>
      </c>
      <c r="AR142" s="4">
        <v>0.497083333333333</v>
      </c>
      <c r="AS142">
        <v>0.02</v>
      </c>
      <c r="AT142" s="5">
        <f t="shared" si="77"/>
        <v>0.477083333333333</v>
      </c>
      <c r="AU142">
        <v>2.84</v>
      </c>
      <c r="AV142" s="3">
        <f t="shared" si="78"/>
        <v>0.167987089201878</v>
      </c>
      <c r="AX142" s="4">
        <v>25.0172000791667</v>
      </c>
      <c r="AY142">
        <v>3.44</v>
      </c>
      <c r="AZ142" s="5">
        <f t="shared" si="79"/>
        <v>21.5772000791667</v>
      </c>
      <c r="BA142">
        <v>29.17</v>
      </c>
      <c r="BB142" s="3">
        <f t="shared" si="80"/>
        <v>0.739705179265228</v>
      </c>
      <c r="BD142" s="4">
        <v>0.4165</v>
      </c>
      <c r="BE142">
        <v>0.17</v>
      </c>
      <c r="BF142" s="5">
        <f t="shared" si="81"/>
        <v>0.2465</v>
      </c>
      <c r="BG142">
        <v>4</v>
      </c>
      <c r="BH142" s="3">
        <f t="shared" si="82"/>
        <v>0.061625</v>
      </c>
      <c r="BJ142" s="9">
        <v>9.56116667083333</v>
      </c>
      <c r="BK142">
        <v>4.8</v>
      </c>
      <c r="BL142" s="5">
        <f t="shared" si="83"/>
        <v>4.76116667083333</v>
      </c>
      <c r="BM142">
        <v>8.9</v>
      </c>
      <c r="BN142" s="3">
        <f t="shared" si="84"/>
        <v>0.534962547284644</v>
      </c>
      <c r="BP142" s="9">
        <v>0.165841666666667</v>
      </c>
      <c r="BQ142">
        <v>0.09</v>
      </c>
      <c r="BR142" s="5">
        <f t="shared" si="85"/>
        <v>0.075841666666667</v>
      </c>
      <c r="BS142">
        <v>0.43</v>
      </c>
      <c r="BT142" s="3">
        <f t="shared" si="86"/>
        <v>0.176375968992249</v>
      </c>
      <c r="BV142" s="4">
        <v>6.40185000416667</v>
      </c>
      <c r="BW142">
        <v>6.18</v>
      </c>
      <c r="BX142" s="5">
        <f t="shared" si="87"/>
        <v>0.22185000416667</v>
      </c>
      <c r="BY142">
        <v>1.68</v>
      </c>
      <c r="BZ142" s="3">
        <f t="shared" si="88"/>
        <v>0.132053573908732</v>
      </c>
      <c r="CB142" s="10">
        <v>98.5</v>
      </c>
      <c r="CC142">
        <v>54.3</v>
      </c>
      <c r="CD142" s="12">
        <f t="shared" si="89"/>
        <v>44.2</v>
      </c>
      <c r="CE142">
        <v>71.3</v>
      </c>
      <c r="CF142" s="3">
        <f t="shared" si="90"/>
        <v>0.619915848527349</v>
      </c>
      <c r="CH142" s="13">
        <v>27.8</v>
      </c>
      <c r="CI142">
        <v>22.6</v>
      </c>
      <c r="CJ142">
        <f t="shared" si="91"/>
        <v>5.2</v>
      </c>
      <c r="CK142">
        <v>25.1</v>
      </c>
      <c r="CL142">
        <f t="shared" si="92"/>
        <v>0.207171314741036</v>
      </c>
      <c r="CN142" s="10">
        <v>4.2</v>
      </c>
      <c r="CO142">
        <v>3</v>
      </c>
      <c r="CP142" s="12">
        <f t="shared" si="93"/>
        <v>1.2</v>
      </c>
      <c r="CQ142">
        <v>3.4</v>
      </c>
      <c r="CR142" s="3">
        <f t="shared" si="94"/>
        <v>0.352941176470588</v>
      </c>
    </row>
    <row r="143" spans="2:96">
      <c r="B143" s="1">
        <v>42601</v>
      </c>
      <c r="C143">
        <v>32416</v>
      </c>
      <c r="D143" s="2">
        <f t="shared" si="95"/>
        <v>10185</v>
      </c>
      <c r="E143">
        <v>31904</v>
      </c>
      <c r="F143" s="3">
        <f t="shared" si="64"/>
        <v>0.319238966900702</v>
      </c>
      <c r="H143" s="1">
        <v>42509</v>
      </c>
      <c r="I143">
        <v>31145</v>
      </c>
      <c r="J143" s="2">
        <f t="shared" si="65"/>
        <v>11364</v>
      </c>
      <c r="K143">
        <v>32760</v>
      </c>
      <c r="L143" s="3">
        <f t="shared" si="66"/>
        <v>0.346886446886447</v>
      </c>
      <c r="N143" s="4">
        <v>258.546670283333</v>
      </c>
      <c r="O143">
        <v>201.27</v>
      </c>
      <c r="P143" s="5">
        <f t="shared" si="67"/>
        <v>57.276670283333</v>
      </c>
      <c r="Q143">
        <v>79.69</v>
      </c>
      <c r="R143" s="3">
        <f t="shared" si="68"/>
        <v>0.718743509641523</v>
      </c>
      <c r="T143" s="4">
        <v>269.8583331125</v>
      </c>
      <c r="U143">
        <v>100.23</v>
      </c>
      <c r="V143" s="5">
        <f t="shared" si="69"/>
        <v>169.6283331125</v>
      </c>
      <c r="W143">
        <v>410.93</v>
      </c>
      <c r="X143" s="3">
        <f t="shared" si="70"/>
        <v>0.412791310229236</v>
      </c>
      <c r="Z143" s="4">
        <v>24.3635416625</v>
      </c>
      <c r="AA143">
        <v>13.25</v>
      </c>
      <c r="AB143" s="5">
        <f t="shared" si="71"/>
        <v>11.1135416625</v>
      </c>
      <c r="AC143">
        <v>33.93</v>
      </c>
      <c r="AD143" s="3">
        <f t="shared" si="72"/>
        <v>0.327543226127321</v>
      </c>
      <c r="AF143" s="4">
        <v>4.72</v>
      </c>
      <c r="AG143">
        <v>2.09</v>
      </c>
      <c r="AH143" s="5">
        <f t="shared" si="73"/>
        <v>2.63</v>
      </c>
      <c r="AI143">
        <v>3.85</v>
      </c>
      <c r="AJ143" s="3">
        <f t="shared" si="74"/>
        <v>0.683116883116883</v>
      </c>
      <c r="AL143" s="4">
        <v>6.94850430434783</v>
      </c>
      <c r="AM143">
        <v>6.1</v>
      </c>
      <c r="AN143" s="5">
        <f t="shared" si="75"/>
        <v>0.848504304347831</v>
      </c>
      <c r="AO143">
        <v>1.89</v>
      </c>
      <c r="AP143" s="3">
        <f t="shared" si="76"/>
        <v>0.448944076374514</v>
      </c>
      <c r="AR143" s="4">
        <v>0.339479166666666</v>
      </c>
      <c r="AS143">
        <v>0.02</v>
      </c>
      <c r="AT143" s="5">
        <f t="shared" si="77"/>
        <v>0.319479166666666</v>
      </c>
      <c r="AU143">
        <v>2.84</v>
      </c>
      <c r="AV143" s="3">
        <f t="shared" si="78"/>
        <v>0.112492664319249</v>
      </c>
      <c r="AX143" s="4">
        <v>15.8678000083333</v>
      </c>
      <c r="AY143">
        <v>3.44</v>
      </c>
      <c r="AZ143" s="5">
        <f t="shared" si="79"/>
        <v>12.4278000083333</v>
      </c>
      <c r="BA143">
        <v>29.17</v>
      </c>
      <c r="BB143" s="3">
        <f t="shared" si="80"/>
        <v>0.426047309164666</v>
      </c>
      <c r="BD143" s="4">
        <v>0.739333341666667</v>
      </c>
      <c r="BE143">
        <v>0.17</v>
      </c>
      <c r="BF143" s="5">
        <f t="shared" si="81"/>
        <v>0.569333341666667</v>
      </c>
      <c r="BG143">
        <v>4</v>
      </c>
      <c r="BH143" s="3">
        <f t="shared" si="82"/>
        <v>0.142333335416667</v>
      </c>
      <c r="BJ143" s="9">
        <v>8.46358339166667</v>
      </c>
      <c r="BK143">
        <v>4.8</v>
      </c>
      <c r="BL143" s="5">
        <f t="shared" si="83"/>
        <v>3.66358339166667</v>
      </c>
      <c r="BM143">
        <v>8.9</v>
      </c>
      <c r="BN143" s="3">
        <f t="shared" si="84"/>
        <v>0.411638583333334</v>
      </c>
      <c r="BP143" s="9">
        <v>0.244808333333333</v>
      </c>
      <c r="BQ143">
        <v>0.09</v>
      </c>
      <c r="BR143" s="5">
        <f t="shared" si="85"/>
        <v>0.154808333333333</v>
      </c>
      <c r="BS143">
        <v>0.43</v>
      </c>
      <c r="BT143" s="3">
        <f t="shared" si="86"/>
        <v>0.36001937984496</v>
      </c>
      <c r="BV143" s="4">
        <v>6.39257490833333</v>
      </c>
      <c r="BW143">
        <v>6.18</v>
      </c>
      <c r="BX143" s="5">
        <f t="shared" si="87"/>
        <v>0.21257490833333</v>
      </c>
      <c r="BY143">
        <v>1.68</v>
      </c>
      <c r="BZ143" s="3">
        <f t="shared" si="88"/>
        <v>0.126532683531744</v>
      </c>
      <c r="CB143" s="10">
        <v>97.8</v>
      </c>
      <c r="CC143">
        <v>54.3</v>
      </c>
      <c r="CD143" s="12">
        <f t="shared" si="89"/>
        <v>43.5</v>
      </c>
      <c r="CE143">
        <v>71.3</v>
      </c>
      <c r="CF143" s="3">
        <f t="shared" si="90"/>
        <v>0.610098176718093</v>
      </c>
      <c r="CH143" s="13">
        <v>29.2</v>
      </c>
      <c r="CI143">
        <v>22.6</v>
      </c>
      <c r="CJ143">
        <f t="shared" si="91"/>
        <v>6.6</v>
      </c>
      <c r="CK143">
        <v>25.1</v>
      </c>
      <c r="CL143">
        <f t="shared" si="92"/>
        <v>0.262948207171315</v>
      </c>
      <c r="CN143" s="10">
        <v>4.3</v>
      </c>
      <c r="CO143">
        <v>3</v>
      </c>
      <c r="CP143" s="12">
        <f t="shared" si="93"/>
        <v>1.3</v>
      </c>
      <c r="CQ143">
        <v>3.4</v>
      </c>
      <c r="CR143" s="3">
        <f t="shared" si="94"/>
        <v>0.382352941176471</v>
      </c>
    </row>
    <row r="144" spans="2:96">
      <c r="B144" s="1">
        <v>42305</v>
      </c>
      <c r="C144">
        <v>32416</v>
      </c>
      <c r="D144" s="2">
        <f t="shared" si="95"/>
        <v>9889</v>
      </c>
      <c r="E144">
        <v>31904</v>
      </c>
      <c r="F144" s="3">
        <f t="shared" si="64"/>
        <v>0.309961133400201</v>
      </c>
      <c r="H144" s="1">
        <v>41852</v>
      </c>
      <c r="I144">
        <v>31145</v>
      </c>
      <c r="J144" s="2">
        <f t="shared" si="65"/>
        <v>10707</v>
      </c>
      <c r="K144">
        <v>32760</v>
      </c>
      <c r="L144" s="3">
        <f t="shared" si="66"/>
        <v>0.326831501831502</v>
      </c>
      <c r="N144" s="4">
        <v>272.91000175</v>
      </c>
      <c r="O144">
        <v>201.27</v>
      </c>
      <c r="P144" s="5">
        <f t="shared" si="67"/>
        <v>71.64000175</v>
      </c>
      <c r="Q144">
        <v>79.69</v>
      </c>
      <c r="R144" s="3">
        <f t="shared" si="68"/>
        <v>0.898983583260133</v>
      </c>
      <c r="T144" s="4">
        <v>177.479167145833</v>
      </c>
      <c r="U144">
        <v>100.23</v>
      </c>
      <c r="V144" s="5">
        <f t="shared" si="69"/>
        <v>77.249167145833</v>
      </c>
      <c r="W144">
        <v>410.93</v>
      </c>
      <c r="X144" s="3">
        <f t="shared" si="70"/>
        <v>0.187986195083915</v>
      </c>
      <c r="Z144" s="4">
        <v>33.3174999833333</v>
      </c>
      <c r="AA144">
        <v>13.25</v>
      </c>
      <c r="AB144" s="5">
        <f t="shared" si="71"/>
        <v>20.0674999833333</v>
      </c>
      <c r="AC144">
        <v>33.93</v>
      </c>
      <c r="AD144" s="3">
        <f t="shared" si="72"/>
        <v>0.59143825474015</v>
      </c>
      <c r="AF144" s="4">
        <v>4.29</v>
      </c>
      <c r="AG144">
        <v>2.09</v>
      </c>
      <c r="AH144" s="5">
        <f t="shared" si="73"/>
        <v>2.2</v>
      </c>
      <c r="AI144">
        <v>3.85</v>
      </c>
      <c r="AJ144" s="3">
        <f t="shared" si="74"/>
        <v>0.571428571428572</v>
      </c>
      <c r="AL144" s="4">
        <v>6.91109999</v>
      </c>
      <c r="AM144">
        <v>6.1</v>
      </c>
      <c r="AN144" s="5">
        <f t="shared" si="75"/>
        <v>0.811099990000001</v>
      </c>
      <c r="AO144">
        <v>1.89</v>
      </c>
      <c r="AP144" s="3">
        <f t="shared" si="76"/>
        <v>0.429153433862434</v>
      </c>
      <c r="AR144" s="4">
        <v>0.798958333333333</v>
      </c>
      <c r="AS144">
        <v>0.02</v>
      </c>
      <c r="AT144" s="5">
        <f t="shared" si="77"/>
        <v>0.778958333333333</v>
      </c>
      <c r="AU144">
        <v>2.84</v>
      </c>
      <c r="AV144" s="3">
        <f t="shared" si="78"/>
        <v>0.274281103286385</v>
      </c>
      <c r="AX144" s="4">
        <v>13.0566667083333</v>
      </c>
      <c r="AY144">
        <v>3.44</v>
      </c>
      <c r="AZ144" s="5">
        <f t="shared" si="79"/>
        <v>9.6166667083333</v>
      </c>
      <c r="BA144">
        <v>29.17</v>
      </c>
      <c r="BB144" s="3">
        <f t="shared" si="80"/>
        <v>0.32967660981602</v>
      </c>
      <c r="BD144" s="4">
        <v>0.7155833375</v>
      </c>
      <c r="BE144">
        <v>0.17</v>
      </c>
      <c r="BF144" s="5">
        <f t="shared" si="81"/>
        <v>0.5455833375</v>
      </c>
      <c r="BG144">
        <v>4</v>
      </c>
      <c r="BH144" s="3">
        <f t="shared" si="82"/>
        <v>0.136395834375</v>
      </c>
      <c r="BJ144" s="9">
        <v>7.90141665</v>
      </c>
      <c r="BK144">
        <v>4.8</v>
      </c>
      <c r="BL144" s="5">
        <f t="shared" si="83"/>
        <v>3.10141665</v>
      </c>
      <c r="BM144">
        <v>8.9</v>
      </c>
      <c r="BN144" s="3">
        <f t="shared" si="84"/>
        <v>0.348473780898876</v>
      </c>
      <c r="BP144" s="9">
        <v>0.180816666666667</v>
      </c>
      <c r="BQ144">
        <v>0.09</v>
      </c>
      <c r="BR144" s="5">
        <f t="shared" si="85"/>
        <v>0.090816666666667</v>
      </c>
      <c r="BS144">
        <v>0.43</v>
      </c>
      <c r="BT144" s="3">
        <f t="shared" si="86"/>
        <v>0.211201550387598</v>
      </c>
      <c r="BV144" s="4">
        <v>6.42454166666667</v>
      </c>
      <c r="BW144">
        <v>6.18</v>
      </c>
      <c r="BX144" s="5">
        <f t="shared" si="87"/>
        <v>0.24454166666667</v>
      </c>
      <c r="BY144">
        <v>1.68</v>
      </c>
      <c r="BZ144" s="3">
        <f t="shared" si="88"/>
        <v>0.145560515873018</v>
      </c>
      <c r="CB144" s="10">
        <v>97.2</v>
      </c>
      <c r="CC144">
        <v>54.3</v>
      </c>
      <c r="CD144" s="12">
        <f t="shared" si="89"/>
        <v>42.9</v>
      </c>
      <c r="CE144">
        <v>71.3</v>
      </c>
      <c r="CF144" s="3">
        <f t="shared" si="90"/>
        <v>0.601683029453016</v>
      </c>
      <c r="CH144" s="13">
        <v>28.3</v>
      </c>
      <c r="CI144">
        <v>22.6</v>
      </c>
      <c r="CJ144">
        <f t="shared" si="91"/>
        <v>5.7</v>
      </c>
      <c r="CK144">
        <v>25.1</v>
      </c>
      <c r="CL144">
        <f t="shared" si="92"/>
        <v>0.227091633466135</v>
      </c>
      <c r="CN144" s="10">
        <v>4.5</v>
      </c>
      <c r="CO144">
        <v>3</v>
      </c>
      <c r="CP144" s="12">
        <f t="shared" si="93"/>
        <v>1.5</v>
      </c>
      <c r="CQ144">
        <v>3.4</v>
      </c>
      <c r="CR144" s="3">
        <f t="shared" si="94"/>
        <v>0.441176470588235</v>
      </c>
    </row>
    <row r="145" spans="2:96">
      <c r="B145" s="1">
        <v>44672</v>
      </c>
      <c r="C145">
        <v>32416</v>
      </c>
      <c r="D145" s="2">
        <f t="shared" si="95"/>
        <v>12256</v>
      </c>
      <c r="E145">
        <v>31904</v>
      </c>
      <c r="F145" s="3">
        <f t="shared" si="64"/>
        <v>0.384152457372116</v>
      </c>
      <c r="H145" s="1">
        <v>44454</v>
      </c>
      <c r="I145">
        <v>31145</v>
      </c>
      <c r="J145" s="2">
        <f t="shared" si="65"/>
        <v>13309</v>
      </c>
      <c r="K145">
        <v>32760</v>
      </c>
      <c r="L145" s="3">
        <f t="shared" si="66"/>
        <v>0.406257631257631</v>
      </c>
      <c r="N145" s="4">
        <v>262.200000775</v>
      </c>
      <c r="O145">
        <v>201.27</v>
      </c>
      <c r="P145" s="5">
        <f t="shared" si="67"/>
        <v>60.930000775</v>
      </c>
      <c r="Q145">
        <v>79.69</v>
      </c>
      <c r="R145" s="3">
        <f t="shared" si="68"/>
        <v>0.764587787363533</v>
      </c>
      <c r="T145" s="4">
        <v>190.379167879166</v>
      </c>
      <c r="U145">
        <v>100.23</v>
      </c>
      <c r="V145" s="5">
        <f t="shared" si="69"/>
        <v>90.149167879166</v>
      </c>
      <c r="W145">
        <v>410.93</v>
      </c>
      <c r="X145" s="3">
        <f t="shared" si="70"/>
        <v>0.219378404787107</v>
      </c>
      <c r="Z145" s="4">
        <v>24.0831250041666</v>
      </c>
      <c r="AA145">
        <v>13.25</v>
      </c>
      <c r="AB145" s="5">
        <f t="shared" si="71"/>
        <v>10.8331250041666</v>
      </c>
      <c r="AC145">
        <v>33.93</v>
      </c>
      <c r="AD145" s="3">
        <f t="shared" si="72"/>
        <v>0.319278662073876</v>
      </c>
      <c r="AF145" s="4">
        <v>4.39</v>
      </c>
      <c r="AG145">
        <v>2.09</v>
      </c>
      <c r="AH145" s="5">
        <f t="shared" si="73"/>
        <v>2.3</v>
      </c>
      <c r="AI145">
        <v>3.85</v>
      </c>
      <c r="AJ145" s="3">
        <f t="shared" si="74"/>
        <v>0.597402597402597</v>
      </c>
      <c r="AL145" s="4">
        <v>6.87326316842105</v>
      </c>
      <c r="AM145">
        <v>6.1</v>
      </c>
      <c r="AN145" s="5">
        <f t="shared" si="75"/>
        <v>0.77326316842105</v>
      </c>
      <c r="AO145">
        <v>1.89</v>
      </c>
      <c r="AP145" s="3">
        <f t="shared" si="76"/>
        <v>0.409133951545529</v>
      </c>
      <c r="AR145" s="4">
        <v>0.804166666666667</v>
      </c>
      <c r="AS145">
        <v>0.02</v>
      </c>
      <c r="AT145" s="5">
        <f t="shared" si="77"/>
        <v>0.784166666666667</v>
      </c>
      <c r="AU145">
        <v>2.84</v>
      </c>
      <c r="AV145" s="3">
        <f t="shared" si="78"/>
        <v>0.276115023474179</v>
      </c>
      <c r="AX145" s="4">
        <v>14.47400005</v>
      </c>
      <c r="AY145">
        <v>3.44</v>
      </c>
      <c r="AZ145" s="5">
        <f t="shared" si="79"/>
        <v>11.03400005</v>
      </c>
      <c r="BA145">
        <v>29.17</v>
      </c>
      <c r="BB145" s="3">
        <f t="shared" si="80"/>
        <v>0.378265342817964</v>
      </c>
      <c r="BD145" s="4">
        <v>1.01399999166667</v>
      </c>
      <c r="BE145">
        <v>0.17</v>
      </c>
      <c r="BF145" s="5">
        <f t="shared" si="81"/>
        <v>0.84399999166667</v>
      </c>
      <c r="BG145">
        <v>4</v>
      </c>
      <c r="BH145" s="3">
        <f t="shared" si="82"/>
        <v>0.210999997916667</v>
      </c>
      <c r="BJ145" s="9">
        <v>8.361666675</v>
      </c>
      <c r="BK145">
        <v>4.8</v>
      </c>
      <c r="BL145" s="5">
        <f t="shared" si="83"/>
        <v>3.561666675</v>
      </c>
      <c r="BM145">
        <v>8.9</v>
      </c>
      <c r="BN145" s="3">
        <f t="shared" si="84"/>
        <v>0.400187266853933</v>
      </c>
      <c r="BP145" s="9">
        <v>0.244883333333333</v>
      </c>
      <c r="BQ145">
        <v>0.09</v>
      </c>
      <c r="BR145" s="5">
        <f t="shared" si="85"/>
        <v>0.154883333333333</v>
      </c>
      <c r="BS145">
        <v>0.43</v>
      </c>
      <c r="BT145" s="3">
        <f t="shared" si="86"/>
        <v>0.360193798449612</v>
      </c>
      <c r="BV145" s="4">
        <v>6.4288583</v>
      </c>
      <c r="BW145">
        <v>6.18</v>
      </c>
      <c r="BX145" s="5">
        <f t="shared" si="87"/>
        <v>0.2488583</v>
      </c>
      <c r="BY145">
        <v>1.68</v>
      </c>
      <c r="BZ145" s="3">
        <f t="shared" si="88"/>
        <v>0.148129940476191</v>
      </c>
      <c r="CB145" s="10">
        <v>98.4</v>
      </c>
      <c r="CC145">
        <v>54.3</v>
      </c>
      <c r="CD145" s="12">
        <f t="shared" si="89"/>
        <v>44.1</v>
      </c>
      <c r="CE145">
        <v>71.3</v>
      </c>
      <c r="CF145" s="3">
        <f t="shared" si="90"/>
        <v>0.61851332398317</v>
      </c>
      <c r="CH145" s="13">
        <v>27.4</v>
      </c>
      <c r="CI145">
        <v>22.6</v>
      </c>
      <c r="CJ145">
        <f t="shared" si="91"/>
        <v>4.8</v>
      </c>
      <c r="CK145">
        <v>25.1</v>
      </c>
      <c r="CL145">
        <f t="shared" si="92"/>
        <v>0.191235059760956</v>
      </c>
      <c r="CN145" s="10">
        <v>4.9</v>
      </c>
      <c r="CO145">
        <v>3</v>
      </c>
      <c r="CP145" s="12">
        <f t="shared" si="93"/>
        <v>1.9</v>
      </c>
      <c r="CQ145">
        <v>3.4</v>
      </c>
      <c r="CR145" s="3">
        <f t="shared" si="94"/>
        <v>0.558823529411765</v>
      </c>
    </row>
    <row r="146" spans="2:96">
      <c r="B146" s="1">
        <v>42917</v>
      </c>
      <c r="C146">
        <v>32416</v>
      </c>
      <c r="D146" s="2">
        <f t="shared" si="95"/>
        <v>10501</v>
      </c>
      <c r="E146">
        <v>31904</v>
      </c>
      <c r="F146" s="3">
        <f t="shared" si="64"/>
        <v>0.329143681043129</v>
      </c>
      <c r="H146" s="1">
        <v>42728</v>
      </c>
      <c r="I146">
        <v>31145</v>
      </c>
      <c r="J146" s="2">
        <f t="shared" si="65"/>
        <v>11583</v>
      </c>
      <c r="K146">
        <v>32760</v>
      </c>
      <c r="L146" s="3">
        <f t="shared" si="66"/>
        <v>0.353571428571429</v>
      </c>
      <c r="N146" s="4">
        <v>259.790003458333</v>
      </c>
      <c r="O146">
        <v>201.27</v>
      </c>
      <c r="P146" s="5">
        <f t="shared" si="67"/>
        <v>58.520003458333</v>
      </c>
      <c r="Q146">
        <v>79.69</v>
      </c>
      <c r="R146" s="3">
        <f t="shared" si="68"/>
        <v>0.734345632555314</v>
      </c>
      <c r="T146" s="4">
        <v>192.975001495833</v>
      </c>
      <c r="U146">
        <v>100.23</v>
      </c>
      <c r="V146" s="5">
        <f t="shared" si="69"/>
        <v>92.745001495833</v>
      </c>
      <c r="W146">
        <v>410.93</v>
      </c>
      <c r="X146" s="3">
        <f t="shared" si="70"/>
        <v>0.225695377548081</v>
      </c>
      <c r="Z146" s="4">
        <v>35.2560417291666</v>
      </c>
      <c r="AA146">
        <v>13.25</v>
      </c>
      <c r="AB146" s="5">
        <f t="shared" si="71"/>
        <v>22.0060417291666</v>
      </c>
      <c r="AC146">
        <v>33.93</v>
      </c>
      <c r="AD146" s="3">
        <f t="shared" si="72"/>
        <v>0.648571816362116</v>
      </c>
      <c r="AF146" s="4">
        <v>3.89</v>
      </c>
      <c r="AG146">
        <v>2.09</v>
      </c>
      <c r="AH146" s="5">
        <f t="shared" si="73"/>
        <v>1.8</v>
      </c>
      <c r="AI146">
        <v>3.85</v>
      </c>
      <c r="AJ146" s="3">
        <f t="shared" si="74"/>
        <v>0.467532467532468</v>
      </c>
      <c r="AL146" s="4">
        <v>6.61592502916667</v>
      </c>
      <c r="AM146">
        <v>6.1</v>
      </c>
      <c r="AN146" s="5">
        <f t="shared" si="75"/>
        <v>0.51592502916667</v>
      </c>
      <c r="AO146">
        <v>1.89</v>
      </c>
      <c r="AP146" s="3">
        <f t="shared" si="76"/>
        <v>0.272976205908291</v>
      </c>
      <c r="AR146" s="4">
        <v>0.4975</v>
      </c>
      <c r="AS146">
        <v>0.02</v>
      </c>
      <c r="AT146" s="5">
        <f t="shared" si="77"/>
        <v>0.4775</v>
      </c>
      <c r="AU146">
        <v>2.84</v>
      </c>
      <c r="AV146" s="3">
        <f t="shared" si="78"/>
        <v>0.168133802816901</v>
      </c>
      <c r="AX146" s="4">
        <v>13.2123999958333</v>
      </c>
      <c r="AY146">
        <v>3.44</v>
      </c>
      <c r="AZ146" s="5">
        <f t="shared" si="79"/>
        <v>9.7723999958333</v>
      </c>
      <c r="BA146">
        <v>29.17</v>
      </c>
      <c r="BB146" s="3">
        <f t="shared" si="80"/>
        <v>0.335015426665523</v>
      </c>
      <c r="BD146" s="4">
        <v>1.1488333125</v>
      </c>
      <c r="BE146">
        <v>0.17</v>
      </c>
      <c r="BF146" s="5">
        <f t="shared" si="81"/>
        <v>0.9788333125</v>
      </c>
      <c r="BG146">
        <v>4</v>
      </c>
      <c r="BH146" s="3">
        <f t="shared" si="82"/>
        <v>0.244708328125</v>
      </c>
      <c r="BJ146" s="9">
        <v>7.920500025</v>
      </c>
      <c r="BK146">
        <v>4.8</v>
      </c>
      <c r="BL146" s="5">
        <f t="shared" si="83"/>
        <v>3.120500025</v>
      </c>
      <c r="BM146">
        <v>8.9</v>
      </c>
      <c r="BN146" s="3">
        <f t="shared" si="84"/>
        <v>0.350617980337079</v>
      </c>
      <c r="BP146" s="9">
        <v>0.203833333333333</v>
      </c>
      <c r="BQ146">
        <v>0.09</v>
      </c>
      <c r="BR146" s="5">
        <f t="shared" si="85"/>
        <v>0.113833333333333</v>
      </c>
      <c r="BS146">
        <v>0.43</v>
      </c>
      <c r="BT146" s="3">
        <f t="shared" si="86"/>
        <v>0.264728682170542</v>
      </c>
      <c r="BV146" s="4">
        <v>6.45755834166667</v>
      </c>
      <c r="BW146">
        <v>6.18</v>
      </c>
      <c r="BX146" s="5">
        <f t="shared" si="87"/>
        <v>0.27755834166667</v>
      </c>
      <c r="BY146">
        <v>1.68</v>
      </c>
      <c r="BZ146" s="3">
        <f t="shared" si="88"/>
        <v>0.165213298611113</v>
      </c>
      <c r="CB146" s="10">
        <v>96.5</v>
      </c>
      <c r="CC146">
        <v>54.3</v>
      </c>
      <c r="CD146" s="12">
        <f t="shared" si="89"/>
        <v>42.2</v>
      </c>
      <c r="CE146">
        <v>71.3</v>
      </c>
      <c r="CF146" s="3">
        <f t="shared" si="90"/>
        <v>0.591865357643759</v>
      </c>
      <c r="CH146" s="13">
        <v>26.5</v>
      </c>
      <c r="CI146">
        <v>22.6</v>
      </c>
      <c r="CJ146">
        <f t="shared" si="91"/>
        <v>3.9</v>
      </c>
      <c r="CK146">
        <v>25.1</v>
      </c>
      <c r="CL146">
        <f t="shared" si="92"/>
        <v>0.155378486055777</v>
      </c>
      <c r="CN146" s="10">
        <v>4.2</v>
      </c>
      <c r="CO146">
        <v>3</v>
      </c>
      <c r="CP146" s="12">
        <f t="shared" si="93"/>
        <v>1.2</v>
      </c>
      <c r="CQ146">
        <v>3.4</v>
      </c>
      <c r="CR146" s="3">
        <f t="shared" si="94"/>
        <v>0.352941176470588</v>
      </c>
    </row>
    <row r="147" spans="2:96">
      <c r="B147" s="1">
        <v>45612</v>
      </c>
      <c r="C147">
        <v>32416</v>
      </c>
      <c r="D147" s="2">
        <f t="shared" si="95"/>
        <v>13196</v>
      </c>
      <c r="E147">
        <v>31904</v>
      </c>
      <c r="F147" s="3">
        <f t="shared" si="64"/>
        <v>0.413615847542628</v>
      </c>
      <c r="H147" s="1">
        <v>45241</v>
      </c>
      <c r="I147">
        <v>31145</v>
      </c>
      <c r="J147" s="2">
        <f t="shared" si="65"/>
        <v>14096</v>
      </c>
      <c r="K147">
        <v>32760</v>
      </c>
      <c r="L147" s="3">
        <f t="shared" si="66"/>
        <v>0.43028083028083</v>
      </c>
      <c r="N147" s="4">
        <v>255.4800052625</v>
      </c>
      <c r="O147">
        <v>201.27</v>
      </c>
      <c r="P147" s="5">
        <f t="shared" si="67"/>
        <v>54.2100052625</v>
      </c>
      <c r="Q147">
        <v>79.69</v>
      </c>
      <c r="R147" s="3">
        <f t="shared" si="68"/>
        <v>0.680261077456393</v>
      </c>
      <c r="T147" s="4">
        <v>262.424999866666</v>
      </c>
      <c r="U147">
        <v>100.23</v>
      </c>
      <c r="V147" s="5">
        <f t="shared" si="69"/>
        <v>162.194999866666</v>
      </c>
      <c r="W147">
        <v>410.93</v>
      </c>
      <c r="X147" s="3">
        <f t="shared" si="70"/>
        <v>0.394702260401202</v>
      </c>
      <c r="Z147" s="4">
        <v>24.3460416833333</v>
      </c>
      <c r="AA147">
        <v>13.25</v>
      </c>
      <c r="AB147" s="5">
        <f t="shared" si="71"/>
        <v>11.0960416833333</v>
      </c>
      <c r="AC147">
        <v>33.93</v>
      </c>
      <c r="AD147" s="3">
        <f t="shared" si="72"/>
        <v>0.327027458984182</v>
      </c>
      <c r="AF147" s="4">
        <v>4.57</v>
      </c>
      <c r="AG147">
        <v>2.09</v>
      </c>
      <c r="AH147" s="5">
        <f t="shared" si="73"/>
        <v>2.48</v>
      </c>
      <c r="AI147">
        <v>3.85</v>
      </c>
      <c r="AJ147" s="3">
        <f t="shared" si="74"/>
        <v>0.644155844155844</v>
      </c>
      <c r="AL147" s="4">
        <v>6.72642500833333</v>
      </c>
      <c r="AM147">
        <v>6.1</v>
      </c>
      <c r="AN147" s="5">
        <f t="shared" si="75"/>
        <v>0.626425008333331</v>
      </c>
      <c r="AO147">
        <v>1.89</v>
      </c>
      <c r="AP147" s="3">
        <f t="shared" si="76"/>
        <v>0.331441803350969</v>
      </c>
      <c r="AR147" s="4">
        <v>0.797083333333333</v>
      </c>
      <c r="AS147">
        <v>0.02</v>
      </c>
      <c r="AT147" s="5">
        <f t="shared" si="77"/>
        <v>0.777083333333333</v>
      </c>
      <c r="AU147">
        <v>2.84</v>
      </c>
      <c r="AV147" s="3">
        <f t="shared" si="78"/>
        <v>0.273620892018779</v>
      </c>
      <c r="AX147" s="4">
        <v>9.60353337916666</v>
      </c>
      <c r="AY147">
        <v>3.44</v>
      </c>
      <c r="AZ147" s="5">
        <f t="shared" si="79"/>
        <v>6.16353337916666</v>
      </c>
      <c r="BA147">
        <v>29.17</v>
      </c>
      <c r="BB147" s="3">
        <f t="shared" si="80"/>
        <v>0.211296996200434</v>
      </c>
      <c r="BD147" s="4">
        <v>1.1603333125</v>
      </c>
      <c r="BE147">
        <v>0.17</v>
      </c>
      <c r="BF147" s="5">
        <f t="shared" si="81"/>
        <v>0.9903333125</v>
      </c>
      <c r="BG147">
        <v>4</v>
      </c>
      <c r="BH147" s="3">
        <f t="shared" si="82"/>
        <v>0.247583328125</v>
      </c>
      <c r="BJ147" s="4">
        <v>8.64258334583333</v>
      </c>
      <c r="BK147">
        <v>4.8</v>
      </c>
      <c r="BL147" s="5">
        <f t="shared" si="83"/>
        <v>3.84258334583333</v>
      </c>
      <c r="BM147">
        <v>8.9</v>
      </c>
      <c r="BN147" s="3">
        <f t="shared" si="84"/>
        <v>0.431750937734082</v>
      </c>
      <c r="BP147" s="4">
        <v>0.183891666666667</v>
      </c>
      <c r="BQ147">
        <v>0.09</v>
      </c>
      <c r="BR147" s="5">
        <f t="shared" si="85"/>
        <v>0.093891666666667</v>
      </c>
      <c r="BS147">
        <v>0.43</v>
      </c>
      <c r="BT147" s="3">
        <f t="shared" si="86"/>
        <v>0.218352713178295</v>
      </c>
      <c r="BV147" s="4">
        <v>6.4612917</v>
      </c>
      <c r="BW147">
        <v>6.18</v>
      </c>
      <c r="BX147" s="5">
        <f t="shared" si="87"/>
        <v>0.281291700000001</v>
      </c>
      <c r="BY147">
        <v>1.68</v>
      </c>
      <c r="BZ147" s="3">
        <f t="shared" si="88"/>
        <v>0.167435535714286</v>
      </c>
      <c r="CB147" s="10">
        <v>96.3</v>
      </c>
      <c r="CC147">
        <v>54.3</v>
      </c>
      <c r="CD147" s="12">
        <f t="shared" si="89"/>
        <v>42</v>
      </c>
      <c r="CE147">
        <v>71.3</v>
      </c>
      <c r="CF147" s="3">
        <f t="shared" si="90"/>
        <v>0.5890603085554</v>
      </c>
      <c r="CH147" s="13">
        <v>26.9</v>
      </c>
      <c r="CI147">
        <v>22.6</v>
      </c>
      <c r="CJ147">
        <f t="shared" si="91"/>
        <v>4.3</v>
      </c>
      <c r="CK147">
        <v>25.1</v>
      </c>
      <c r="CL147">
        <f t="shared" si="92"/>
        <v>0.171314741035856</v>
      </c>
      <c r="CN147" s="10">
        <v>4.4</v>
      </c>
      <c r="CO147">
        <v>3</v>
      </c>
      <c r="CP147" s="12">
        <f t="shared" si="93"/>
        <v>1.4</v>
      </c>
      <c r="CQ147">
        <v>3.4</v>
      </c>
      <c r="CR147" s="3">
        <f t="shared" si="94"/>
        <v>0.411764705882353</v>
      </c>
    </row>
    <row r="148" spans="2:96">
      <c r="B148" s="1">
        <v>56203</v>
      </c>
      <c r="C148">
        <v>32416</v>
      </c>
      <c r="D148" s="2">
        <f t="shared" si="95"/>
        <v>23787</v>
      </c>
      <c r="E148">
        <v>31904</v>
      </c>
      <c r="F148" s="3">
        <f t="shared" si="64"/>
        <v>0.745580491474423</v>
      </c>
      <c r="H148" s="1">
        <v>55990</v>
      </c>
      <c r="I148">
        <v>31145</v>
      </c>
      <c r="J148" s="2">
        <f t="shared" si="65"/>
        <v>24845</v>
      </c>
      <c r="K148">
        <v>32760</v>
      </c>
      <c r="L148" s="3">
        <f t="shared" si="66"/>
        <v>0.758394383394383</v>
      </c>
      <c r="N148" s="4">
        <v>252.823333733333</v>
      </c>
      <c r="O148">
        <v>201.27</v>
      </c>
      <c r="P148" s="5">
        <f t="shared" si="67"/>
        <v>51.553333733333</v>
      </c>
      <c r="Q148">
        <v>79.69</v>
      </c>
      <c r="R148" s="3">
        <f t="shared" si="68"/>
        <v>0.646923500230054</v>
      </c>
      <c r="T148" s="4">
        <v>217.649997083333</v>
      </c>
      <c r="U148">
        <v>100.23</v>
      </c>
      <c r="V148" s="5">
        <f t="shared" si="69"/>
        <v>117.419997083333</v>
      </c>
      <c r="W148">
        <v>410.93</v>
      </c>
      <c r="X148" s="3">
        <f t="shared" si="70"/>
        <v>0.285742090096447</v>
      </c>
      <c r="Z148" s="4">
        <v>32.2893750125</v>
      </c>
      <c r="AA148">
        <v>13.25</v>
      </c>
      <c r="AB148" s="5">
        <f t="shared" si="71"/>
        <v>19.0393750125</v>
      </c>
      <c r="AC148">
        <v>33.93</v>
      </c>
      <c r="AD148" s="3">
        <f t="shared" si="72"/>
        <v>0.561136899867374</v>
      </c>
      <c r="AF148" s="4">
        <v>4.16</v>
      </c>
      <c r="AG148">
        <v>2.09</v>
      </c>
      <c r="AH148" s="5">
        <f t="shared" si="73"/>
        <v>2.07</v>
      </c>
      <c r="AI148">
        <v>3.85</v>
      </c>
      <c r="AJ148" s="3">
        <f t="shared" si="74"/>
        <v>0.537662337662338</v>
      </c>
      <c r="AL148" s="4">
        <v>6.6786499875</v>
      </c>
      <c r="AM148">
        <v>6.1</v>
      </c>
      <c r="AN148" s="5">
        <f t="shared" si="75"/>
        <v>0.5786499875</v>
      </c>
      <c r="AO148">
        <v>1.89</v>
      </c>
      <c r="AP148" s="3">
        <f t="shared" si="76"/>
        <v>0.306164014550265</v>
      </c>
      <c r="AR148" s="4">
        <v>0.4875</v>
      </c>
      <c r="AS148">
        <v>0.02</v>
      </c>
      <c r="AT148" s="5">
        <f t="shared" si="77"/>
        <v>0.4675</v>
      </c>
      <c r="AU148">
        <v>2.84</v>
      </c>
      <c r="AV148" s="3">
        <f t="shared" si="78"/>
        <v>0.164612676056338</v>
      </c>
      <c r="AX148" s="4">
        <v>12.6784666791667</v>
      </c>
      <c r="AY148">
        <v>3.44</v>
      </c>
      <c r="AZ148" s="5">
        <f t="shared" si="79"/>
        <v>9.2384666791667</v>
      </c>
      <c r="BA148">
        <v>29.17</v>
      </c>
      <c r="BB148" s="3">
        <f t="shared" si="80"/>
        <v>0.316711233430466</v>
      </c>
      <c r="BD148" s="4">
        <v>1.59716667083333</v>
      </c>
      <c r="BE148">
        <v>0.17</v>
      </c>
      <c r="BF148" s="5">
        <f t="shared" si="81"/>
        <v>1.42716667083333</v>
      </c>
      <c r="BG148">
        <v>4</v>
      </c>
      <c r="BH148" s="3">
        <f t="shared" si="82"/>
        <v>0.356791667708333</v>
      </c>
      <c r="BJ148" s="4">
        <v>9.60025005</v>
      </c>
      <c r="BK148">
        <v>4.8</v>
      </c>
      <c r="BL148" s="5">
        <f t="shared" si="83"/>
        <v>4.80025005</v>
      </c>
      <c r="BM148">
        <v>8.9</v>
      </c>
      <c r="BN148" s="3">
        <f t="shared" si="84"/>
        <v>0.539353938202247</v>
      </c>
      <c r="BP148" s="4">
        <v>0.181458333333333</v>
      </c>
      <c r="BQ148">
        <v>0.09</v>
      </c>
      <c r="BR148" s="5">
        <f t="shared" si="85"/>
        <v>0.091458333333333</v>
      </c>
      <c r="BS148">
        <v>0.43</v>
      </c>
      <c r="BT148" s="3">
        <f t="shared" si="86"/>
        <v>0.212693798449612</v>
      </c>
      <c r="BV148" s="4">
        <v>6.343575025</v>
      </c>
      <c r="BW148">
        <v>6.18</v>
      </c>
      <c r="BX148" s="5">
        <f t="shared" si="87"/>
        <v>0.163575025</v>
      </c>
      <c r="BY148">
        <v>1.68</v>
      </c>
      <c r="BZ148" s="3">
        <f t="shared" si="88"/>
        <v>0.0973660863095239</v>
      </c>
      <c r="CB148" s="10">
        <v>96.7</v>
      </c>
      <c r="CC148">
        <v>54.3</v>
      </c>
      <c r="CD148" s="12">
        <f t="shared" si="89"/>
        <v>42.4</v>
      </c>
      <c r="CE148">
        <v>71.3</v>
      </c>
      <c r="CF148" s="3">
        <f t="shared" si="90"/>
        <v>0.594670406732118</v>
      </c>
      <c r="CH148" s="13">
        <v>28.4</v>
      </c>
      <c r="CI148">
        <v>22.6</v>
      </c>
      <c r="CJ148">
        <f t="shared" si="91"/>
        <v>5.8</v>
      </c>
      <c r="CK148">
        <v>25.1</v>
      </c>
      <c r="CL148">
        <f t="shared" si="92"/>
        <v>0.231075697211155</v>
      </c>
      <c r="CN148" s="11">
        <v>4.8</v>
      </c>
      <c r="CO148">
        <v>3</v>
      </c>
      <c r="CP148" s="12">
        <f t="shared" si="93"/>
        <v>1.8</v>
      </c>
      <c r="CQ148">
        <v>3.4</v>
      </c>
      <c r="CR148" s="3">
        <f t="shared" si="94"/>
        <v>0.529411764705882</v>
      </c>
    </row>
    <row r="149" spans="2:96">
      <c r="B149" s="1">
        <v>44715</v>
      </c>
      <c r="C149">
        <v>32416</v>
      </c>
      <c r="D149" s="2">
        <f t="shared" si="95"/>
        <v>12299</v>
      </c>
      <c r="E149">
        <v>31904</v>
      </c>
      <c r="F149" s="3">
        <f t="shared" si="64"/>
        <v>0.385500250752257</v>
      </c>
      <c r="H149" s="1">
        <v>44245</v>
      </c>
      <c r="I149">
        <v>31145</v>
      </c>
      <c r="J149" s="2">
        <f t="shared" si="65"/>
        <v>13100</v>
      </c>
      <c r="K149">
        <v>32760</v>
      </c>
      <c r="L149" s="3">
        <f t="shared" si="66"/>
        <v>0.3998778998779</v>
      </c>
      <c r="N149" s="4">
        <v>254.293335595833</v>
      </c>
      <c r="O149">
        <v>201.27</v>
      </c>
      <c r="P149" s="5">
        <f t="shared" si="67"/>
        <v>53.023335595833</v>
      </c>
      <c r="Q149">
        <v>79.69</v>
      </c>
      <c r="R149" s="3">
        <f t="shared" si="68"/>
        <v>0.665370003712298</v>
      </c>
      <c r="T149" s="4">
        <v>218.887499566667</v>
      </c>
      <c r="U149">
        <v>100.23</v>
      </c>
      <c r="V149" s="5">
        <f t="shared" si="69"/>
        <v>118.657499566667</v>
      </c>
      <c r="W149">
        <v>410.93</v>
      </c>
      <c r="X149" s="3">
        <f t="shared" si="70"/>
        <v>0.288753557945799</v>
      </c>
      <c r="Z149" s="4">
        <v>32.4541666833333</v>
      </c>
      <c r="AA149">
        <v>13.25</v>
      </c>
      <c r="AB149" s="5">
        <f t="shared" si="71"/>
        <v>19.2041666833333</v>
      </c>
      <c r="AC149">
        <v>33.93</v>
      </c>
      <c r="AD149" s="3">
        <f t="shared" si="72"/>
        <v>0.565993713036643</v>
      </c>
      <c r="AF149" s="4">
        <v>3.76</v>
      </c>
      <c r="AG149">
        <v>2.09</v>
      </c>
      <c r="AH149" s="5">
        <f t="shared" si="73"/>
        <v>1.67</v>
      </c>
      <c r="AI149">
        <v>3.85</v>
      </c>
      <c r="AJ149" s="3">
        <f t="shared" si="74"/>
        <v>0.433766233766234</v>
      </c>
      <c r="AL149" s="4">
        <v>6.42924164583333</v>
      </c>
      <c r="AM149">
        <v>6.1</v>
      </c>
      <c r="AN149" s="5">
        <f t="shared" si="75"/>
        <v>0.32924164583333</v>
      </c>
      <c r="AO149">
        <v>1.89</v>
      </c>
      <c r="AP149" s="3">
        <f t="shared" si="76"/>
        <v>0.174201929012344</v>
      </c>
      <c r="AR149" s="4">
        <v>0.598333333333333</v>
      </c>
      <c r="AS149">
        <v>0.02</v>
      </c>
      <c r="AT149" s="5">
        <f t="shared" si="77"/>
        <v>0.578333333333333</v>
      </c>
      <c r="AU149">
        <v>2.84</v>
      </c>
      <c r="AV149" s="3">
        <f t="shared" si="78"/>
        <v>0.203638497652582</v>
      </c>
      <c r="AX149" s="4">
        <v>9.133800025</v>
      </c>
      <c r="AY149">
        <v>3.44</v>
      </c>
      <c r="AZ149" s="5">
        <f t="shared" si="79"/>
        <v>5.693800025</v>
      </c>
      <c r="BA149">
        <v>29.17</v>
      </c>
      <c r="BB149" s="3">
        <f t="shared" si="80"/>
        <v>0.195193693006514</v>
      </c>
      <c r="BD149" s="4">
        <v>0.851166666666667</v>
      </c>
      <c r="BE149">
        <v>0.17</v>
      </c>
      <c r="BF149" s="5">
        <f t="shared" si="81"/>
        <v>0.681166666666667</v>
      </c>
      <c r="BG149">
        <v>4</v>
      </c>
      <c r="BH149" s="3">
        <f t="shared" si="82"/>
        <v>0.170291666666667</v>
      </c>
      <c r="BJ149" s="4">
        <v>8.93475002916667</v>
      </c>
      <c r="BK149">
        <v>4.8</v>
      </c>
      <c r="BL149" s="5">
        <f t="shared" si="83"/>
        <v>4.13475002916667</v>
      </c>
      <c r="BM149">
        <v>8.9</v>
      </c>
      <c r="BN149" s="3">
        <f t="shared" si="84"/>
        <v>0.464578654962547</v>
      </c>
      <c r="BP149" s="4">
        <v>0.225508333333333</v>
      </c>
      <c r="BQ149">
        <v>0.09</v>
      </c>
      <c r="BR149" s="5">
        <f t="shared" si="85"/>
        <v>0.135508333333333</v>
      </c>
      <c r="BS149">
        <v>0.43</v>
      </c>
      <c r="BT149" s="3">
        <f t="shared" si="86"/>
        <v>0.315135658914728</v>
      </c>
      <c r="BV149" s="4">
        <v>6.38160835</v>
      </c>
      <c r="BW149">
        <v>6.18</v>
      </c>
      <c r="BX149" s="5">
        <f t="shared" si="87"/>
        <v>0.20160835</v>
      </c>
      <c r="BY149">
        <v>1.68</v>
      </c>
      <c r="BZ149" s="3">
        <f t="shared" si="88"/>
        <v>0.120004970238095</v>
      </c>
      <c r="CB149" s="10">
        <v>96.4</v>
      </c>
      <c r="CC149">
        <v>54.3</v>
      </c>
      <c r="CD149" s="12">
        <f t="shared" si="89"/>
        <v>42.1</v>
      </c>
      <c r="CE149">
        <v>71.3</v>
      </c>
      <c r="CF149" s="3">
        <f t="shared" si="90"/>
        <v>0.590462833099579</v>
      </c>
      <c r="CH149" s="13">
        <v>26.9</v>
      </c>
      <c r="CI149">
        <v>22.6</v>
      </c>
      <c r="CJ149">
        <f t="shared" si="91"/>
        <v>4.3</v>
      </c>
      <c r="CK149">
        <v>25.1</v>
      </c>
      <c r="CL149">
        <f t="shared" si="92"/>
        <v>0.171314741035856</v>
      </c>
      <c r="CN149" s="10">
        <v>5.1</v>
      </c>
      <c r="CO149">
        <v>3</v>
      </c>
      <c r="CP149" s="12">
        <f t="shared" si="93"/>
        <v>2.1</v>
      </c>
      <c r="CQ149">
        <v>3.4</v>
      </c>
      <c r="CR149" s="3">
        <f t="shared" si="94"/>
        <v>0.617647058823529</v>
      </c>
    </row>
    <row r="150" spans="2:96">
      <c r="B150" s="1">
        <v>51874</v>
      </c>
      <c r="C150">
        <v>32416</v>
      </c>
      <c r="D150" s="2">
        <f t="shared" si="95"/>
        <v>19458</v>
      </c>
      <c r="E150">
        <v>31904</v>
      </c>
      <c r="F150" s="3">
        <f t="shared" si="64"/>
        <v>0.609892176529589</v>
      </c>
      <c r="H150" s="1">
        <v>51575</v>
      </c>
      <c r="I150">
        <v>31145</v>
      </c>
      <c r="J150" s="2">
        <f t="shared" si="65"/>
        <v>20430</v>
      </c>
      <c r="K150">
        <v>32760</v>
      </c>
      <c r="L150" s="3">
        <f t="shared" si="66"/>
        <v>0.623626373626374</v>
      </c>
      <c r="N150" s="4">
        <v>272.816666916667</v>
      </c>
      <c r="O150">
        <v>201.27</v>
      </c>
      <c r="P150" s="5">
        <f t="shared" si="67"/>
        <v>71.546666916667</v>
      </c>
      <c r="Q150">
        <v>79.69</v>
      </c>
      <c r="R150" s="3">
        <f t="shared" si="68"/>
        <v>0.897812359350821</v>
      </c>
      <c r="T150" s="4">
        <v>226.08750025</v>
      </c>
      <c r="U150">
        <v>100.23</v>
      </c>
      <c r="V150" s="5">
        <f t="shared" si="69"/>
        <v>125.85750025</v>
      </c>
      <c r="W150">
        <v>410.93</v>
      </c>
      <c r="X150" s="3">
        <f t="shared" si="70"/>
        <v>0.306274791935366</v>
      </c>
      <c r="Z150" s="4">
        <v>24.9666666666666</v>
      </c>
      <c r="AA150">
        <v>13.25</v>
      </c>
      <c r="AB150" s="5">
        <f t="shared" si="71"/>
        <v>11.7166666666666</v>
      </c>
      <c r="AC150">
        <v>33.93</v>
      </c>
      <c r="AD150" s="3">
        <f t="shared" si="72"/>
        <v>0.345318793594654</v>
      </c>
      <c r="AF150" s="4">
        <v>4.33</v>
      </c>
      <c r="AG150">
        <v>2.09</v>
      </c>
      <c r="AH150" s="5">
        <f t="shared" si="73"/>
        <v>2.24</v>
      </c>
      <c r="AI150">
        <v>3.85</v>
      </c>
      <c r="AJ150" s="3">
        <f t="shared" si="74"/>
        <v>0.581818181818182</v>
      </c>
      <c r="AL150" s="4">
        <v>6.55794164583333</v>
      </c>
      <c r="AM150">
        <v>6.1</v>
      </c>
      <c r="AN150" s="5">
        <f t="shared" si="75"/>
        <v>0.457941645833331</v>
      </c>
      <c r="AO150">
        <v>1.89</v>
      </c>
      <c r="AP150" s="3">
        <f t="shared" si="76"/>
        <v>0.242297167107582</v>
      </c>
      <c r="AR150" s="4">
        <v>0.499375</v>
      </c>
      <c r="AS150">
        <v>0.02</v>
      </c>
      <c r="AT150" s="5">
        <f t="shared" si="77"/>
        <v>0.479375</v>
      </c>
      <c r="AU150">
        <v>2.84</v>
      </c>
      <c r="AV150" s="3">
        <f t="shared" si="78"/>
        <v>0.168794014084507</v>
      </c>
      <c r="AX150" s="4">
        <v>14.5188</v>
      </c>
      <c r="AY150">
        <v>3.44</v>
      </c>
      <c r="AZ150" s="5">
        <f t="shared" si="79"/>
        <v>11.0788</v>
      </c>
      <c r="BA150">
        <v>29.17</v>
      </c>
      <c r="BB150" s="3">
        <f t="shared" si="80"/>
        <v>0.379801165581076</v>
      </c>
      <c r="BD150" s="4">
        <v>0.787166675</v>
      </c>
      <c r="BE150">
        <v>0.17</v>
      </c>
      <c r="BF150" s="5">
        <f t="shared" si="81"/>
        <v>0.617166675</v>
      </c>
      <c r="BG150">
        <v>4</v>
      </c>
      <c r="BH150" s="3">
        <f t="shared" si="82"/>
        <v>0.15429166875</v>
      </c>
      <c r="BJ150" s="4">
        <v>7.6617500125</v>
      </c>
      <c r="BK150">
        <v>4.8</v>
      </c>
      <c r="BL150" s="5">
        <f t="shared" si="83"/>
        <v>2.8617500125</v>
      </c>
      <c r="BM150">
        <v>8.9</v>
      </c>
      <c r="BN150" s="3">
        <f t="shared" si="84"/>
        <v>0.321544945224719</v>
      </c>
      <c r="BP150" s="4">
        <v>0.21425</v>
      </c>
      <c r="BQ150">
        <v>0.09</v>
      </c>
      <c r="BR150" s="5">
        <f t="shared" si="85"/>
        <v>0.12425</v>
      </c>
      <c r="BS150">
        <v>0.43</v>
      </c>
      <c r="BT150" s="3">
        <f t="shared" si="86"/>
        <v>0.288953488372093</v>
      </c>
      <c r="BV150" s="4">
        <v>6.43947495833334</v>
      </c>
      <c r="BW150">
        <v>6.18</v>
      </c>
      <c r="BX150" s="5">
        <f t="shared" si="87"/>
        <v>0.259474958333341</v>
      </c>
      <c r="BY150">
        <v>1.68</v>
      </c>
      <c r="BZ150" s="3">
        <f t="shared" si="88"/>
        <v>0.154449379960322</v>
      </c>
      <c r="CB150" s="10">
        <v>95.7</v>
      </c>
      <c r="CC150">
        <v>54.3</v>
      </c>
      <c r="CD150" s="12">
        <f t="shared" si="89"/>
        <v>41.4</v>
      </c>
      <c r="CE150">
        <v>71.3</v>
      </c>
      <c r="CF150" s="3">
        <f t="shared" si="90"/>
        <v>0.580645161290323</v>
      </c>
      <c r="CH150" s="13">
        <v>27</v>
      </c>
      <c r="CI150">
        <v>22.6</v>
      </c>
      <c r="CJ150">
        <f t="shared" si="91"/>
        <v>4.4</v>
      </c>
      <c r="CK150">
        <v>25.1</v>
      </c>
      <c r="CL150">
        <f t="shared" si="92"/>
        <v>0.175298804780876</v>
      </c>
      <c r="CN150" s="10">
        <v>4.7</v>
      </c>
      <c r="CO150">
        <v>3</v>
      </c>
      <c r="CP150" s="12">
        <f t="shared" si="93"/>
        <v>1.7</v>
      </c>
      <c r="CQ150">
        <v>3.4</v>
      </c>
      <c r="CR150" s="3">
        <f t="shared" si="94"/>
        <v>0.5</v>
      </c>
    </row>
    <row r="151" spans="2:96">
      <c r="B151" s="1">
        <v>57604</v>
      </c>
      <c r="C151">
        <v>32416</v>
      </c>
      <c r="D151" s="2">
        <f t="shared" si="95"/>
        <v>25188</v>
      </c>
      <c r="E151">
        <v>31904</v>
      </c>
      <c r="F151" s="3">
        <f t="shared" si="64"/>
        <v>0.789493480441324</v>
      </c>
      <c r="H151" s="1">
        <v>57509</v>
      </c>
      <c r="I151">
        <v>31145</v>
      </c>
      <c r="J151" s="2">
        <f t="shared" si="65"/>
        <v>26364</v>
      </c>
      <c r="K151">
        <v>32760</v>
      </c>
      <c r="L151" s="3">
        <f t="shared" si="66"/>
        <v>0.804761904761905</v>
      </c>
      <c r="N151" s="4">
        <v>274.7300033625</v>
      </c>
      <c r="O151">
        <v>201.27</v>
      </c>
      <c r="P151" s="5">
        <f t="shared" si="67"/>
        <v>73.4600033625</v>
      </c>
      <c r="Q151">
        <v>79.69</v>
      </c>
      <c r="R151" s="3">
        <f t="shared" si="68"/>
        <v>0.921822102679131</v>
      </c>
      <c r="T151" s="4">
        <v>162.0541706</v>
      </c>
      <c r="U151">
        <v>100.23</v>
      </c>
      <c r="V151" s="5">
        <f t="shared" si="69"/>
        <v>61.8241706</v>
      </c>
      <c r="W151">
        <v>410.93</v>
      </c>
      <c r="X151" s="3">
        <f t="shared" si="70"/>
        <v>0.150449396734237</v>
      </c>
      <c r="Z151" s="4">
        <v>32.0095833541666</v>
      </c>
      <c r="AA151">
        <v>13.25</v>
      </c>
      <c r="AB151" s="5">
        <f t="shared" si="71"/>
        <v>18.7595833541666</v>
      </c>
      <c r="AC151">
        <v>33.93</v>
      </c>
      <c r="AD151" s="3">
        <f t="shared" si="72"/>
        <v>0.55289075609097</v>
      </c>
      <c r="AF151" s="4">
        <v>4.57</v>
      </c>
      <c r="AG151">
        <v>2.09</v>
      </c>
      <c r="AH151" s="5">
        <f t="shared" si="73"/>
        <v>2.48</v>
      </c>
      <c r="AI151">
        <v>3.85</v>
      </c>
      <c r="AJ151" s="3">
        <f t="shared" si="74"/>
        <v>0.644155844155844</v>
      </c>
      <c r="AL151" s="4">
        <v>6.65430834583333</v>
      </c>
      <c r="AM151">
        <v>6.1</v>
      </c>
      <c r="AN151" s="5">
        <f t="shared" si="75"/>
        <v>0.554308345833331</v>
      </c>
      <c r="AO151">
        <v>1.89</v>
      </c>
      <c r="AP151" s="3">
        <f t="shared" si="76"/>
        <v>0.293284839065254</v>
      </c>
      <c r="AR151" s="4">
        <v>0.384583333333333</v>
      </c>
      <c r="AS151">
        <v>0.02</v>
      </c>
      <c r="AT151" s="5">
        <f t="shared" si="77"/>
        <v>0.364583333333333</v>
      </c>
      <c r="AU151">
        <v>2.84</v>
      </c>
      <c r="AV151" s="3">
        <f t="shared" si="78"/>
        <v>0.12837441314554</v>
      </c>
      <c r="AX151" s="4">
        <v>16.5572000208333</v>
      </c>
      <c r="AY151">
        <v>3.44</v>
      </c>
      <c r="AZ151" s="5">
        <f t="shared" si="79"/>
        <v>13.1172000208333</v>
      </c>
      <c r="BA151">
        <v>29.17</v>
      </c>
      <c r="BB151" s="3">
        <f t="shared" si="80"/>
        <v>0.449681180007998</v>
      </c>
      <c r="BD151" s="4">
        <v>1.07058334583333</v>
      </c>
      <c r="BE151">
        <v>0.17</v>
      </c>
      <c r="BF151" s="5">
        <f t="shared" si="81"/>
        <v>0.90058334583333</v>
      </c>
      <c r="BG151">
        <v>4</v>
      </c>
      <c r="BH151" s="3">
        <f t="shared" si="82"/>
        <v>0.225145836458332</v>
      </c>
      <c r="BJ151" s="4">
        <v>8.01041665833333</v>
      </c>
      <c r="BK151">
        <v>4.8</v>
      </c>
      <c r="BL151" s="5">
        <f t="shared" si="83"/>
        <v>3.21041665833333</v>
      </c>
      <c r="BM151">
        <v>8.9</v>
      </c>
      <c r="BN151" s="3">
        <f t="shared" si="84"/>
        <v>0.360720972846442</v>
      </c>
      <c r="BP151" s="4">
        <v>0.159816666666667</v>
      </c>
      <c r="BQ151">
        <v>0.09</v>
      </c>
      <c r="BR151" s="5">
        <f t="shared" si="85"/>
        <v>0.069816666666667</v>
      </c>
      <c r="BS151">
        <v>0.43</v>
      </c>
      <c r="BT151" s="3">
        <f t="shared" si="86"/>
        <v>0.162364341085272</v>
      </c>
      <c r="BV151" s="4">
        <v>6.3986999625</v>
      </c>
      <c r="BW151">
        <v>6.18</v>
      </c>
      <c r="BX151" s="5">
        <f t="shared" si="87"/>
        <v>0.218699962500001</v>
      </c>
      <c r="BY151">
        <v>1.68</v>
      </c>
      <c r="BZ151" s="3">
        <f t="shared" si="88"/>
        <v>0.130178549107143</v>
      </c>
      <c r="CB151" s="1">
        <v>94.8</v>
      </c>
      <c r="CC151">
        <v>54.3</v>
      </c>
      <c r="CD151" s="12">
        <f t="shared" si="89"/>
        <v>40.5</v>
      </c>
      <c r="CE151">
        <v>71.3</v>
      </c>
      <c r="CF151" s="3">
        <f t="shared" si="90"/>
        <v>0.568022440392707</v>
      </c>
      <c r="CH151" s="13">
        <v>25.8</v>
      </c>
      <c r="CI151">
        <v>22.6</v>
      </c>
      <c r="CJ151">
        <f t="shared" si="91"/>
        <v>3.2</v>
      </c>
      <c r="CK151">
        <v>25.1</v>
      </c>
      <c r="CL151">
        <f t="shared" si="92"/>
        <v>0.127490039840637</v>
      </c>
      <c r="CN151" s="13">
        <v>4.3</v>
      </c>
      <c r="CO151">
        <v>3</v>
      </c>
      <c r="CP151" s="12">
        <f t="shared" si="93"/>
        <v>1.3</v>
      </c>
      <c r="CQ151">
        <v>3.4</v>
      </c>
      <c r="CR151" s="3">
        <f t="shared" si="94"/>
        <v>0.382352941176471</v>
      </c>
    </row>
    <row r="152" spans="2:96">
      <c r="B152" s="1">
        <v>51023</v>
      </c>
      <c r="C152">
        <v>32416</v>
      </c>
      <c r="D152" s="2">
        <f t="shared" si="95"/>
        <v>18607</v>
      </c>
      <c r="E152">
        <v>31904</v>
      </c>
      <c r="F152" s="3">
        <f t="shared" si="64"/>
        <v>0.583218405215647</v>
      </c>
      <c r="H152" s="1">
        <v>50911</v>
      </c>
      <c r="I152">
        <v>31145</v>
      </c>
      <c r="J152" s="2">
        <f t="shared" si="65"/>
        <v>19766</v>
      </c>
      <c r="K152">
        <v>32760</v>
      </c>
      <c r="L152" s="3">
        <f t="shared" si="66"/>
        <v>0.603357753357753</v>
      </c>
      <c r="N152" s="4">
        <v>263.119998933333</v>
      </c>
      <c r="O152">
        <v>201.27</v>
      </c>
      <c r="P152" s="5">
        <f t="shared" si="67"/>
        <v>61.849998933333</v>
      </c>
      <c r="Q152">
        <v>79.69</v>
      </c>
      <c r="R152" s="3">
        <f t="shared" si="68"/>
        <v>0.776132500104568</v>
      </c>
      <c r="T152" s="4">
        <v>208.324999491667</v>
      </c>
      <c r="U152">
        <v>100.23</v>
      </c>
      <c r="V152" s="5">
        <f t="shared" si="69"/>
        <v>108.094999491667</v>
      </c>
      <c r="W152">
        <v>410.93</v>
      </c>
      <c r="X152" s="3">
        <f t="shared" si="70"/>
        <v>0.263049666589606</v>
      </c>
      <c r="Z152" s="4">
        <v>25.4006250666666</v>
      </c>
      <c r="AA152">
        <v>13.25</v>
      </c>
      <c r="AB152" s="5">
        <f t="shared" si="71"/>
        <v>12.1506250666666</v>
      </c>
      <c r="AC152">
        <v>33.93</v>
      </c>
      <c r="AD152" s="3">
        <f t="shared" si="72"/>
        <v>0.358108607918261</v>
      </c>
      <c r="AF152" s="15">
        <v>4.65</v>
      </c>
      <c r="AG152">
        <v>2.09</v>
      </c>
      <c r="AH152" s="5">
        <f t="shared" si="73"/>
        <v>2.56</v>
      </c>
      <c r="AI152">
        <v>3.85</v>
      </c>
      <c r="AJ152" s="3">
        <f t="shared" si="74"/>
        <v>0.664935064935065</v>
      </c>
      <c r="AL152" s="4">
        <v>6.52164177916667</v>
      </c>
      <c r="AM152">
        <v>6.1</v>
      </c>
      <c r="AN152" s="5">
        <f t="shared" si="75"/>
        <v>0.42164177916667</v>
      </c>
      <c r="AO152">
        <v>1.89</v>
      </c>
      <c r="AP152" s="3">
        <f t="shared" si="76"/>
        <v>0.223090888447974</v>
      </c>
      <c r="AR152" s="4">
        <v>0.89</v>
      </c>
      <c r="AS152">
        <v>0.02</v>
      </c>
      <c r="AT152" s="5">
        <f t="shared" si="77"/>
        <v>0.87</v>
      </c>
      <c r="AU152">
        <v>2.84</v>
      </c>
      <c r="AV152" s="3">
        <f t="shared" si="78"/>
        <v>0.306338028169014</v>
      </c>
      <c r="AX152" s="4">
        <v>9.11300008333333</v>
      </c>
      <c r="AY152">
        <v>3.44</v>
      </c>
      <c r="AZ152" s="5">
        <f t="shared" si="79"/>
        <v>5.67300008333333</v>
      </c>
      <c r="BA152">
        <v>29.17</v>
      </c>
      <c r="BB152" s="3">
        <f t="shared" si="80"/>
        <v>0.194480633641869</v>
      </c>
      <c r="BD152" s="4">
        <v>1.7125000125</v>
      </c>
      <c r="BE152">
        <v>0.17</v>
      </c>
      <c r="BF152" s="5">
        <f t="shared" si="81"/>
        <v>1.5425000125</v>
      </c>
      <c r="BG152">
        <v>4</v>
      </c>
      <c r="BH152" s="3">
        <f t="shared" si="82"/>
        <v>0.385625003125</v>
      </c>
      <c r="BJ152" s="4">
        <v>9.26775</v>
      </c>
      <c r="BK152">
        <v>4.8</v>
      </c>
      <c r="BL152" s="5">
        <f t="shared" si="83"/>
        <v>4.46775</v>
      </c>
      <c r="BM152">
        <v>8.9</v>
      </c>
      <c r="BN152" s="3">
        <f t="shared" si="84"/>
        <v>0.501994382022472</v>
      </c>
      <c r="BP152" s="4">
        <v>0.15405</v>
      </c>
      <c r="BQ152">
        <v>0.09</v>
      </c>
      <c r="BR152" s="5">
        <f t="shared" si="85"/>
        <v>0.06405</v>
      </c>
      <c r="BS152">
        <v>0.43</v>
      </c>
      <c r="BT152" s="3">
        <f t="shared" si="86"/>
        <v>0.148953488372093</v>
      </c>
      <c r="BV152" s="4">
        <v>6.30198334583333</v>
      </c>
      <c r="BW152">
        <v>6.18</v>
      </c>
      <c r="BX152" s="5">
        <f t="shared" si="87"/>
        <v>0.12198334583333</v>
      </c>
      <c r="BY152">
        <v>1.68</v>
      </c>
      <c r="BZ152" s="3">
        <f t="shared" si="88"/>
        <v>0.0726091344246013</v>
      </c>
      <c r="CB152" s="1">
        <v>95.3</v>
      </c>
      <c r="CC152">
        <v>54.3</v>
      </c>
      <c r="CD152" s="12">
        <f t="shared" si="89"/>
        <v>41</v>
      </c>
      <c r="CE152">
        <v>71.3</v>
      </c>
      <c r="CF152" s="3">
        <f t="shared" si="90"/>
        <v>0.575035063113605</v>
      </c>
      <c r="CH152" s="13">
        <v>27.2</v>
      </c>
      <c r="CI152">
        <v>22.6</v>
      </c>
      <c r="CJ152">
        <f t="shared" si="91"/>
        <v>4.6</v>
      </c>
      <c r="CK152">
        <v>25.1</v>
      </c>
      <c r="CL152">
        <f t="shared" si="92"/>
        <v>0.183266932270916</v>
      </c>
      <c r="CN152" s="13">
        <v>4.2</v>
      </c>
      <c r="CO152">
        <v>3</v>
      </c>
      <c r="CP152" s="12">
        <f t="shared" si="93"/>
        <v>1.2</v>
      </c>
      <c r="CQ152">
        <v>3.4</v>
      </c>
      <c r="CR152" s="3">
        <f t="shared" si="94"/>
        <v>0.352941176470588</v>
      </c>
    </row>
    <row r="153" spans="2:96">
      <c r="B153" s="1">
        <v>51264</v>
      </c>
      <c r="C153">
        <v>32416</v>
      </c>
      <c r="D153" s="2">
        <f t="shared" si="95"/>
        <v>18848</v>
      </c>
      <c r="E153">
        <v>31904</v>
      </c>
      <c r="F153" s="3">
        <f t="shared" si="64"/>
        <v>0.590772316950853</v>
      </c>
      <c r="H153" s="1">
        <v>51105</v>
      </c>
      <c r="I153">
        <v>31145</v>
      </c>
      <c r="J153" s="2">
        <f t="shared" si="65"/>
        <v>19960</v>
      </c>
      <c r="K153">
        <v>32760</v>
      </c>
      <c r="L153" s="3">
        <f t="shared" si="66"/>
        <v>0.609279609279609</v>
      </c>
      <c r="N153" s="4">
        <v>269.2299989</v>
      </c>
      <c r="O153">
        <v>201.27</v>
      </c>
      <c r="P153" s="5">
        <f t="shared" si="67"/>
        <v>67.9599989</v>
      </c>
      <c r="Q153">
        <v>79.69</v>
      </c>
      <c r="R153" s="3">
        <f t="shared" si="68"/>
        <v>0.852804604090852</v>
      </c>
      <c r="T153" s="4">
        <v>153.041666666667</v>
      </c>
      <c r="U153">
        <v>100.23</v>
      </c>
      <c r="V153" s="5">
        <f t="shared" si="69"/>
        <v>52.811666666667</v>
      </c>
      <c r="W153">
        <v>410.93</v>
      </c>
      <c r="X153" s="3">
        <f t="shared" si="70"/>
        <v>0.128517427947989</v>
      </c>
      <c r="Z153" s="4">
        <v>24.18624995</v>
      </c>
      <c r="AA153">
        <v>13.25</v>
      </c>
      <c r="AB153" s="5">
        <f t="shared" si="71"/>
        <v>10.93624995</v>
      </c>
      <c r="AC153">
        <v>33.93</v>
      </c>
      <c r="AD153" s="3">
        <f t="shared" si="72"/>
        <v>0.322318006189213</v>
      </c>
      <c r="AF153" s="4">
        <v>4.38</v>
      </c>
      <c r="AG153">
        <v>2.09</v>
      </c>
      <c r="AH153" s="5">
        <f t="shared" si="73"/>
        <v>2.29</v>
      </c>
      <c r="AI153">
        <v>3.85</v>
      </c>
      <c r="AJ153" s="3">
        <f t="shared" si="74"/>
        <v>0.594805194805195</v>
      </c>
      <c r="AL153" s="4">
        <v>7.96</v>
      </c>
      <c r="AM153">
        <v>6.1</v>
      </c>
      <c r="AN153" s="5">
        <f t="shared" si="75"/>
        <v>1.86</v>
      </c>
      <c r="AO153">
        <v>1.89</v>
      </c>
      <c r="AP153" s="3">
        <f t="shared" si="76"/>
        <v>0.984126984126984</v>
      </c>
      <c r="AR153" s="4">
        <v>1.68041665833333</v>
      </c>
      <c r="AS153">
        <v>0.02</v>
      </c>
      <c r="AT153" s="5">
        <f t="shared" si="77"/>
        <v>1.66041665833333</v>
      </c>
      <c r="AU153">
        <v>2.84</v>
      </c>
      <c r="AV153" s="3">
        <f t="shared" si="78"/>
        <v>0.584653752934271</v>
      </c>
      <c r="AX153" s="4">
        <v>7.1708</v>
      </c>
      <c r="AY153">
        <v>3.44</v>
      </c>
      <c r="AZ153" s="5">
        <f t="shared" si="79"/>
        <v>3.7308</v>
      </c>
      <c r="BA153">
        <v>29.17</v>
      </c>
      <c r="BB153" s="3">
        <f t="shared" si="80"/>
        <v>0.127898525882756</v>
      </c>
      <c r="BD153" s="4">
        <v>1.01433332083333</v>
      </c>
      <c r="BE153">
        <v>0.17</v>
      </c>
      <c r="BF153" s="5">
        <f t="shared" si="81"/>
        <v>0.84433332083333</v>
      </c>
      <c r="BG153">
        <v>4</v>
      </c>
      <c r="BH153" s="3">
        <f t="shared" si="82"/>
        <v>0.211083330208333</v>
      </c>
      <c r="BJ153" s="9">
        <v>8.98674995416667</v>
      </c>
      <c r="BK153">
        <v>4.8</v>
      </c>
      <c r="BL153" s="5">
        <f t="shared" si="83"/>
        <v>4.18674995416667</v>
      </c>
      <c r="BM153">
        <v>8.9</v>
      </c>
      <c r="BN153" s="3">
        <f t="shared" si="84"/>
        <v>0.470421343164794</v>
      </c>
      <c r="BP153" s="9">
        <v>0.166775</v>
      </c>
      <c r="BQ153">
        <v>0.09</v>
      </c>
      <c r="BR153" s="5">
        <f t="shared" si="85"/>
        <v>0.076775</v>
      </c>
      <c r="BS153">
        <v>0.43</v>
      </c>
      <c r="BT153" s="3">
        <f t="shared" si="86"/>
        <v>0.178546511627907</v>
      </c>
      <c r="BV153" s="4">
        <v>6.79665012916667</v>
      </c>
      <c r="BW153">
        <v>6.18</v>
      </c>
      <c r="BX153" s="5">
        <f t="shared" si="87"/>
        <v>0.61665012916667</v>
      </c>
      <c r="BY153">
        <v>1.68</v>
      </c>
      <c r="BZ153" s="3">
        <f t="shared" si="88"/>
        <v>0.367053648313494</v>
      </c>
      <c r="CB153" s="10">
        <v>107.2</v>
      </c>
      <c r="CC153">
        <v>54.3</v>
      </c>
      <c r="CD153" s="12">
        <f t="shared" si="89"/>
        <v>52.9</v>
      </c>
      <c r="CE153">
        <v>71.3</v>
      </c>
      <c r="CF153" s="3">
        <f t="shared" si="90"/>
        <v>0.741935483870968</v>
      </c>
      <c r="CH153" s="13">
        <v>29.8</v>
      </c>
      <c r="CI153">
        <v>22.6</v>
      </c>
      <c r="CJ153">
        <f t="shared" si="91"/>
        <v>7.2</v>
      </c>
      <c r="CK153">
        <v>25.1</v>
      </c>
      <c r="CL153">
        <f t="shared" si="92"/>
        <v>0.286852589641434</v>
      </c>
      <c r="CN153" s="11">
        <v>4.7</v>
      </c>
      <c r="CO153">
        <v>3</v>
      </c>
      <c r="CP153" s="12">
        <f t="shared" si="93"/>
        <v>1.7</v>
      </c>
      <c r="CQ153">
        <v>3.4</v>
      </c>
      <c r="CR153" s="3">
        <f t="shared" si="94"/>
        <v>0.5</v>
      </c>
    </row>
    <row r="154" spans="2:96">
      <c r="B154" s="1">
        <v>52019</v>
      </c>
      <c r="C154">
        <v>32416</v>
      </c>
      <c r="D154" s="2">
        <f t="shared" si="95"/>
        <v>19603</v>
      </c>
      <c r="E154">
        <v>31904</v>
      </c>
      <c r="F154" s="3">
        <f t="shared" si="64"/>
        <v>0.614437061183551</v>
      </c>
      <c r="H154" s="1">
        <v>51509</v>
      </c>
      <c r="I154">
        <v>31145</v>
      </c>
      <c r="J154" s="2">
        <f t="shared" si="65"/>
        <v>20364</v>
      </c>
      <c r="K154">
        <v>32760</v>
      </c>
      <c r="L154" s="3">
        <f t="shared" si="66"/>
        <v>0.621611721611722</v>
      </c>
      <c r="N154" s="4">
        <v>261.723333354167</v>
      </c>
      <c r="O154">
        <v>201.27</v>
      </c>
      <c r="P154" s="5">
        <f t="shared" si="67"/>
        <v>60.453333354167</v>
      </c>
      <c r="Q154">
        <v>79.69</v>
      </c>
      <c r="R154" s="3">
        <f t="shared" si="68"/>
        <v>0.758606266208646</v>
      </c>
      <c r="T154" s="4">
        <v>144.091667816667</v>
      </c>
      <c r="U154">
        <v>100.23</v>
      </c>
      <c r="V154" s="5">
        <f t="shared" si="69"/>
        <v>43.861667816667</v>
      </c>
      <c r="W154">
        <v>410.93</v>
      </c>
      <c r="X154" s="3">
        <f t="shared" si="70"/>
        <v>0.106737565562668</v>
      </c>
      <c r="Z154" s="4">
        <v>29.736875075</v>
      </c>
      <c r="AA154">
        <v>13.25</v>
      </c>
      <c r="AB154" s="5">
        <f t="shared" si="71"/>
        <v>16.486875075</v>
      </c>
      <c r="AC154">
        <v>33.93</v>
      </c>
      <c r="AD154" s="3">
        <f t="shared" si="72"/>
        <v>0.485908490274094</v>
      </c>
      <c r="AF154" s="4">
        <v>3.28</v>
      </c>
      <c r="AG154">
        <v>2.09</v>
      </c>
      <c r="AH154" s="5">
        <f t="shared" si="73"/>
        <v>1.19</v>
      </c>
      <c r="AI154">
        <v>3.85</v>
      </c>
      <c r="AJ154" s="3">
        <f t="shared" si="74"/>
        <v>0.309090909090909</v>
      </c>
      <c r="AL154" s="4">
        <v>7.94</v>
      </c>
      <c r="AM154">
        <v>6.1</v>
      </c>
      <c r="AN154" s="5">
        <f t="shared" si="75"/>
        <v>1.84</v>
      </c>
      <c r="AO154">
        <v>1.89</v>
      </c>
      <c r="AP154" s="3">
        <f t="shared" si="76"/>
        <v>0.973544973544974</v>
      </c>
      <c r="AR154" s="4">
        <v>1.4616666625</v>
      </c>
      <c r="AS154">
        <v>0.02</v>
      </c>
      <c r="AT154" s="5">
        <f t="shared" si="77"/>
        <v>1.4416666625</v>
      </c>
      <c r="AU154">
        <v>2.84</v>
      </c>
      <c r="AV154" s="3">
        <f t="shared" si="78"/>
        <v>0.507629106514085</v>
      </c>
      <c r="AX154" s="4">
        <v>16.4948000541666</v>
      </c>
      <c r="AY154">
        <v>3.44</v>
      </c>
      <c r="AZ154" s="5">
        <f t="shared" si="79"/>
        <v>13.0548000541666</v>
      </c>
      <c r="BA154">
        <v>29.17</v>
      </c>
      <c r="BB154" s="3">
        <f t="shared" si="80"/>
        <v>0.447541997057477</v>
      </c>
      <c r="BD154" s="4">
        <v>1.94841669166667</v>
      </c>
      <c r="BE154">
        <v>0.17</v>
      </c>
      <c r="BF154" s="5">
        <f t="shared" si="81"/>
        <v>1.77841669166667</v>
      </c>
      <c r="BG154">
        <v>4</v>
      </c>
      <c r="BH154" s="3">
        <f t="shared" si="82"/>
        <v>0.444604172916668</v>
      </c>
      <c r="BJ154" s="9">
        <v>6.22199994583333</v>
      </c>
      <c r="BK154">
        <v>4.8</v>
      </c>
      <c r="BL154" s="5">
        <f t="shared" si="83"/>
        <v>1.42199994583333</v>
      </c>
      <c r="BM154">
        <v>8.9</v>
      </c>
      <c r="BN154" s="3">
        <f t="shared" si="84"/>
        <v>0.159775274812734</v>
      </c>
      <c r="BP154" s="9">
        <v>0.3284</v>
      </c>
      <c r="BQ154">
        <v>0.09</v>
      </c>
      <c r="BR154" s="5">
        <f t="shared" si="85"/>
        <v>0.2384</v>
      </c>
      <c r="BS154">
        <v>0.43</v>
      </c>
      <c r="BT154" s="3">
        <f t="shared" si="86"/>
        <v>0.554418604651163</v>
      </c>
      <c r="BV154" s="4">
        <v>6.515366625</v>
      </c>
      <c r="BW154">
        <v>6.18</v>
      </c>
      <c r="BX154" s="5">
        <f t="shared" si="87"/>
        <v>0.335366625000001</v>
      </c>
      <c r="BY154">
        <v>1.68</v>
      </c>
      <c r="BZ154" s="3">
        <f t="shared" si="88"/>
        <v>0.199622991071429</v>
      </c>
      <c r="CB154" s="10">
        <v>106.3</v>
      </c>
      <c r="CC154">
        <v>54.3</v>
      </c>
      <c r="CD154" s="12">
        <f t="shared" si="89"/>
        <v>52</v>
      </c>
      <c r="CE154">
        <v>71.3</v>
      </c>
      <c r="CF154" s="3">
        <f t="shared" si="90"/>
        <v>0.729312762973352</v>
      </c>
      <c r="CH154" s="13">
        <v>31.3</v>
      </c>
      <c r="CI154">
        <v>22.6</v>
      </c>
      <c r="CJ154">
        <f t="shared" si="91"/>
        <v>8.7</v>
      </c>
      <c r="CK154">
        <v>25.1</v>
      </c>
      <c r="CL154">
        <f t="shared" si="92"/>
        <v>0.346613545816733</v>
      </c>
      <c r="CN154" s="10">
        <v>6.1</v>
      </c>
      <c r="CO154">
        <v>3</v>
      </c>
      <c r="CP154" s="12">
        <f t="shared" si="93"/>
        <v>3.1</v>
      </c>
      <c r="CQ154">
        <v>3.4</v>
      </c>
      <c r="CR154" s="3">
        <f t="shared" si="94"/>
        <v>0.911764705882353</v>
      </c>
    </row>
    <row r="155" spans="2:96">
      <c r="B155" s="1">
        <v>53894</v>
      </c>
      <c r="C155">
        <v>32416</v>
      </c>
      <c r="D155" s="2">
        <f t="shared" si="95"/>
        <v>21478</v>
      </c>
      <c r="E155">
        <v>31904</v>
      </c>
      <c r="F155" s="3">
        <f t="shared" si="64"/>
        <v>0.673207121364092</v>
      </c>
      <c r="H155" s="1">
        <v>53468</v>
      </c>
      <c r="I155">
        <v>31145</v>
      </c>
      <c r="J155" s="2">
        <f t="shared" si="65"/>
        <v>22323</v>
      </c>
      <c r="K155">
        <v>32760</v>
      </c>
      <c r="L155" s="3">
        <f t="shared" si="66"/>
        <v>0.681410256410256</v>
      </c>
      <c r="N155" s="4">
        <v>277.503332775</v>
      </c>
      <c r="O155">
        <v>201.27</v>
      </c>
      <c r="P155" s="5">
        <f t="shared" si="67"/>
        <v>76.233332775</v>
      </c>
      <c r="Q155">
        <v>79.69</v>
      </c>
      <c r="R155" s="3">
        <f t="shared" si="68"/>
        <v>0.956623576044673</v>
      </c>
      <c r="T155" s="4">
        <v>182.954165625</v>
      </c>
      <c r="U155">
        <v>100.23</v>
      </c>
      <c r="V155" s="5">
        <f t="shared" si="69"/>
        <v>82.724165625</v>
      </c>
      <c r="W155">
        <v>410.93</v>
      </c>
      <c r="X155" s="3">
        <f t="shared" si="70"/>
        <v>0.201309628464702</v>
      </c>
      <c r="Z155" s="4">
        <v>26.4568750791666</v>
      </c>
      <c r="AA155">
        <v>13.25</v>
      </c>
      <c r="AB155" s="5">
        <f t="shared" si="71"/>
        <v>13.2068750791666</v>
      </c>
      <c r="AC155">
        <v>33.93</v>
      </c>
      <c r="AD155" s="3">
        <f t="shared" si="72"/>
        <v>0.3892388764859</v>
      </c>
      <c r="AF155" s="4">
        <v>4.01</v>
      </c>
      <c r="AG155">
        <v>2.09</v>
      </c>
      <c r="AH155" s="5">
        <f t="shared" si="73"/>
        <v>1.92</v>
      </c>
      <c r="AI155">
        <v>3.85</v>
      </c>
      <c r="AJ155" s="3">
        <f t="shared" si="74"/>
        <v>0.498701298701299</v>
      </c>
      <c r="AL155" s="4">
        <v>7.86</v>
      </c>
      <c r="AM155">
        <v>6.1</v>
      </c>
      <c r="AN155" s="5">
        <f t="shared" si="75"/>
        <v>1.76</v>
      </c>
      <c r="AO155">
        <v>1.89</v>
      </c>
      <c r="AP155" s="3">
        <f t="shared" si="76"/>
        <v>0.931216931216932</v>
      </c>
      <c r="AR155" s="4">
        <v>1.3056250125</v>
      </c>
      <c r="AS155">
        <v>0.02</v>
      </c>
      <c r="AT155" s="5">
        <f t="shared" si="77"/>
        <v>1.2856250125</v>
      </c>
      <c r="AU155">
        <v>2.84</v>
      </c>
      <c r="AV155" s="3">
        <f t="shared" si="78"/>
        <v>0.452684863556338</v>
      </c>
      <c r="AX155" s="4">
        <v>8.22813320416667</v>
      </c>
      <c r="AY155">
        <v>3.44</v>
      </c>
      <c r="AZ155" s="5">
        <f t="shared" si="79"/>
        <v>4.78813320416667</v>
      </c>
      <c r="BA155">
        <v>29.17</v>
      </c>
      <c r="BB155" s="3">
        <f t="shared" si="80"/>
        <v>0.164145807479145</v>
      </c>
      <c r="BD155" s="4">
        <v>1.5690833375</v>
      </c>
      <c r="BE155">
        <v>0.17</v>
      </c>
      <c r="BF155" s="5">
        <f t="shared" si="81"/>
        <v>1.3990833375</v>
      </c>
      <c r="BG155">
        <v>4</v>
      </c>
      <c r="BH155" s="3">
        <f t="shared" si="82"/>
        <v>0.349770834375</v>
      </c>
      <c r="BJ155" s="9">
        <v>11.1022499416666</v>
      </c>
      <c r="BK155">
        <v>4.8</v>
      </c>
      <c r="BL155" s="5">
        <f t="shared" si="83"/>
        <v>6.3022499416666</v>
      </c>
      <c r="BM155">
        <v>8.9</v>
      </c>
      <c r="BN155" s="3">
        <f t="shared" si="84"/>
        <v>0.708117970973775</v>
      </c>
      <c r="BP155" s="9">
        <v>0.281208333333333</v>
      </c>
      <c r="BQ155">
        <v>0.09</v>
      </c>
      <c r="BR155" s="5">
        <f t="shared" si="85"/>
        <v>0.191208333333333</v>
      </c>
      <c r="BS155">
        <v>0.43</v>
      </c>
      <c r="BT155" s="3">
        <f t="shared" si="86"/>
        <v>0.444670542635658</v>
      </c>
      <c r="BV155" s="4">
        <v>6.4657833625</v>
      </c>
      <c r="BW155">
        <v>6.18</v>
      </c>
      <c r="BX155" s="5">
        <f t="shared" si="87"/>
        <v>0.2857833625</v>
      </c>
      <c r="BY155">
        <v>1.68</v>
      </c>
      <c r="BZ155" s="3">
        <f t="shared" si="88"/>
        <v>0.170109144345238</v>
      </c>
      <c r="CB155" s="10">
        <v>106.9</v>
      </c>
      <c r="CC155">
        <v>54.3</v>
      </c>
      <c r="CD155" s="12">
        <f t="shared" si="89"/>
        <v>52.6</v>
      </c>
      <c r="CE155">
        <v>71.3</v>
      </c>
      <c r="CF155" s="3">
        <f t="shared" si="90"/>
        <v>0.737727910238429</v>
      </c>
      <c r="CH155" s="13">
        <v>30.6</v>
      </c>
      <c r="CI155">
        <v>22.6</v>
      </c>
      <c r="CJ155">
        <f t="shared" si="91"/>
        <v>8</v>
      </c>
      <c r="CK155">
        <v>25.1</v>
      </c>
      <c r="CL155">
        <f t="shared" si="92"/>
        <v>0.318725099601594</v>
      </c>
      <c r="CN155" s="10">
        <v>5.8</v>
      </c>
      <c r="CO155">
        <v>3</v>
      </c>
      <c r="CP155" s="12">
        <f t="shared" si="93"/>
        <v>2.8</v>
      </c>
      <c r="CQ155">
        <v>3.4</v>
      </c>
      <c r="CR155" s="3">
        <f t="shared" si="94"/>
        <v>0.823529411764706</v>
      </c>
    </row>
    <row r="156" spans="2:96">
      <c r="B156" s="1">
        <v>51849</v>
      </c>
      <c r="C156">
        <v>32416</v>
      </c>
      <c r="D156" s="2">
        <f t="shared" si="95"/>
        <v>19433</v>
      </c>
      <c r="E156">
        <v>31904</v>
      </c>
      <c r="F156" s="3">
        <f t="shared" si="64"/>
        <v>0.609108575727182</v>
      </c>
      <c r="H156" s="1">
        <v>51508</v>
      </c>
      <c r="I156">
        <v>31145</v>
      </c>
      <c r="J156" s="2">
        <f t="shared" si="65"/>
        <v>20363</v>
      </c>
      <c r="K156">
        <v>32760</v>
      </c>
      <c r="L156" s="3">
        <f t="shared" si="66"/>
        <v>0.621581196581197</v>
      </c>
      <c r="N156" s="4">
        <v>272.9999961875</v>
      </c>
      <c r="O156">
        <v>201.27</v>
      </c>
      <c r="P156" s="5">
        <f t="shared" si="67"/>
        <v>71.7299961875</v>
      </c>
      <c r="Q156">
        <v>79.69</v>
      </c>
      <c r="R156" s="3">
        <f t="shared" si="68"/>
        <v>0.900112889791693</v>
      </c>
      <c r="T156" s="4">
        <v>153.808332445833</v>
      </c>
      <c r="U156">
        <v>100.23</v>
      </c>
      <c r="V156" s="5">
        <f t="shared" si="69"/>
        <v>53.578332445833</v>
      </c>
      <c r="W156">
        <v>410.93</v>
      </c>
      <c r="X156" s="3">
        <f t="shared" si="70"/>
        <v>0.130383112563777</v>
      </c>
      <c r="Z156" s="4">
        <v>29.183541725</v>
      </c>
      <c r="AA156">
        <v>13.25</v>
      </c>
      <c r="AB156" s="5">
        <f t="shared" si="71"/>
        <v>15.933541725</v>
      </c>
      <c r="AC156">
        <v>33.93</v>
      </c>
      <c r="AD156" s="3">
        <f t="shared" si="72"/>
        <v>0.469600404509284</v>
      </c>
      <c r="AF156" s="4">
        <v>5.05</v>
      </c>
      <c r="AG156">
        <v>2.09</v>
      </c>
      <c r="AH156" s="5">
        <f t="shared" si="73"/>
        <v>2.96</v>
      </c>
      <c r="AI156">
        <v>3.85</v>
      </c>
      <c r="AJ156" s="3">
        <f t="shared" si="74"/>
        <v>0.768831168831169</v>
      </c>
      <c r="AL156" s="4">
        <v>7.78</v>
      </c>
      <c r="AM156">
        <v>6.1</v>
      </c>
      <c r="AN156" s="5">
        <f t="shared" si="75"/>
        <v>1.68</v>
      </c>
      <c r="AO156">
        <v>1.89</v>
      </c>
      <c r="AP156" s="3">
        <f t="shared" si="76"/>
        <v>0.888888888888889</v>
      </c>
      <c r="AR156" s="4">
        <v>1.37250000416667</v>
      </c>
      <c r="AS156">
        <v>0.02</v>
      </c>
      <c r="AT156" s="5">
        <f t="shared" si="77"/>
        <v>1.35250000416667</v>
      </c>
      <c r="AU156">
        <v>2.84</v>
      </c>
      <c r="AV156" s="3">
        <f t="shared" si="78"/>
        <v>0.476232395833334</v>
      </c>
      <c r="AX156" s="4">
        <v>6.44799995</v>
      </c>
      <c r="AY156">
        <v>3.44</v>
      </c>
      <c r="AZ156" s="5">
        <f t="shared" si="79"/>
        <v>3.00799995</v>
      </c>
      <c r="BA156">
        <v>29.17</v>
      </c>
      <c r="BB156" s="3">
        <f t="shared" si="80"/>
        <v>0.103119641755228</v>
      </c>
      <c r="BD156" s="4">
        <v>1.54874998333333</v>
      </c>
      <c r="BE156">
        <v>0.17</v>
      </c>
      <c r="BF156" s="5">
        <f t="shared" si="81"/>
        <v>1.37874998333333</v>
      </c>
      <c r="BG156">
        <v>4</v>
      </c>
      <c r="BH156" s="3">
        <f t="shared" si="82"/>
        <v>0.344687495833333</v>
      </c>
      <c r="BJ156" s="9">
        <v>6.72108333333333</v>
      </c>
      <c r="BK156">
        <v>4.8</v>
      </c>
      <c r="BL156" s="5">
        <f t="shared" si="83"/>
        <v>1.92108333333333</v>
      </c>
      <c r="BM156">
        <v>8.9</v>
      </c>
      <c r="BN156" s="3">
        <f t="shared" si="84"/>
        <v>0.215852059925093</v>
      </c>
      <c r="BP156" s="9">
        <v>0.259175</v>
      </c>
      <c r="BQ156">
        <v>0.09</v>
      </c>
      <c r="BR156" s="5">
        <f t="shared" si="85"/>
        <v>0.169175</v>
      </c>
      <c r="BS156">
        <v>0.43</v>
      </c>
      <c r="BT156" s="3">
        <f t="shared" si="86"/>
        <v>0.39343023255814</v>
      </c>
      <c r="BV156" s="4">
        <v>6.458491625</v>
      </c>
      <c r="BW156">
        <v>6.18</v>
      </c>
      <c r="BX156" s="5">
        <f t="shared" si="87"/>
        <v>0.278491625</v>
      </c>
      <c r="BY156">
        <v>1.68</v>
      </c>
      <c r="BZ156" s="3">
        <f t="shared" si="88"/>
        <v>0.165768824404762</v>
      </c>
      <c r="CB156" s="10">
        <v>108.4</v>
      </c>
      <c r="CC156">
        <v>54.3</v>
      </c>
      <c r="CD156" s="12">
        <f t="shared" si="89"/>
        <v>54.1</v>
      </c>
      <c r="CE156">
        <v>71.3</v>
      </c>
      <c r="CF156" s="3">
        <f t="shared" si="90"/>
        <v>0.758765778401122</v>
      </c>
      <c r="CH156" s="13">
        <v>31.4</v>
      </c>
      <c r="CI156">
        <v>22.6</v>
      </c>
      <c r="CJ156">
        <f t="shared" si="91"/>
        <v>8.8</v>
      </c>
      <c r="CK156">
        <v>25.1</v>
      </c>
      <c r="CL156">
        <f t="shared" si="92"/>
        <v>0.350597609561753</v>
      </c>
      <c r="CN156" s="10">
        <v>5.5</v>
      </c>
      <c r="CO156">
        <v>3</v>
      </c>
      <c r="CP156" s="12">
        <f t="shared" si="93"/>
        <v>2.5</v>
      </c>
      <c r="CQ156">
        <v>3.4</v>
      </c>
      <c r="CR156" s="3">
        <f t="shared" si="94"/>
        <v>0.735294117647059</v>
      </c>
    </row>
    <row r="157" spans="2:96">
      <c r="B157" s="1">
        <v>46203</v>
      </c>
      <c r="C157">
        <v>32416</v>
      </c>
      <c r="D157" s="2">
        <f t="shared" si="95"/>
        <v>13787</v>
      </c>
      <c r="E157">
        <v>31904</v>
      </c>
      <c r="F157" s="3">
        <f t="shared" si="64"/>
        <v>0.432140170511535</v>
      </c>
      <c r="H157" s="1">
        <v>45977</v>
      </c>
      <c r="I157">
        <v>31145</v>
      </c>
      <c r="J157" s="2">
        <f t="shared" si="65"/>
        <v>14832</v>
      </c>
      <c r="K157">
        <v>32760</v>
      </c>
      <c r="L157" s="3">
        <f t="shared" si="66"/>
        <v>0.452747252747253</v>
      </c>
      <c r="N157" s="4">
        <v>274.479999541667</v>
      </c>
      <c r="O157">
        <v>201.27</v>
      </c>
      <c r="P157" s="5">
        <f t="shared" si="67"/>
        <v>73.209999541667</v>
      </c>
      <c r="Q157">
        <v>79.69</v>
      </c>
      <c r="R157" s="3">
        <f t="shared" si="68"/>
        <v>0.918684898251562</v>
      </c>
      <c r="T157" s="4">
        <v>191.3708330875</v>
      </c>
      <c r="U157">
        <v>100.23</v>
      </c>
      <c r="V157" s="5">
        <f t="shared" si="69"/>
        <v>91.1408330875</v>
      </c>
      <c r="W157">
        <v>410.93</v>
      </c>
      <c r="X157" s="3">
        <f t="shared" si="70"/>
        <v>0.221791626523982</v>
      </c>
      <c r="Z157" s="4">
        <v>33.89229165</v>
      </c>
      <c r="AA157">
        <v>13.25</v>
      </c>
      <c r="AB157" s="5">
        <f t="shared" si="71"/>
        <v>20.64229165</v>
      </c>
      <c r="AC157">
        <v>33.93</v>
      </c>
      <c r="AD157" s="3">
        <f t="shared" si="72"/>
        <v>0.608378769525494</v>
      </c>
      <c r="AF157" s="4">
        <v>4.58</v>
      </c>
      <c r="AG157">
        <v>2.09</v>
      </c>
      <c r="AH157" s="5">
        <f t="shared" si="73"/>
        <v>2.49</v>
      </c>
      <c r="AI157">
        <v>3.85</v>
      </c>
      <c r="AJ157" s="3">
        <f t="shared" si="74"/>
        <v>0.646753246753247</v>
      </c>
      <c r="AL157" s="4">
        <v>7.76</v>
      </c>
      <c r="AM157">
        <v>6.1</v>
      </c>
      <c r="AN157" s="5">
        <f t="shared" si="75"/>
        <v>1.66</v>
      </c>
      <c r="AO157">
        <v>1.89</v>
      </c>
      <c r="AP157" s="3">
        <f t="shared" si="76"/>
        <v>0.878306878306878</v>
      </c>
      <c r="AR157" s="4">
        <v>1.3927083375</v>
      </c>
      <c r="AS157">
        <v>0.02</v>
      </c>
      <c r="AT157" s="5">
        <f t="shared" si="77"/>
        <v>1.3727083375</v>
      </c>
      <c r="AU157">
        <v>2.84</v>
      </c>
      <c r="AV157" s="3">
        <f t="shared" si="78"/>
        <v>0.483348006161972</v>
      </c>
      <c r="AX157" s="4">
        <v>8.1076666625</v>
      </c>
      <c r="AY157">
        <v>3.44</v>
      </c>
      <c r="AZ157" s="5">
        <f t="shared" si="79"/>
        <v>4.6676666625</v>
      </c>
      <c r="BA157">
        <v>29.17</v>
      </c>
      <c r="BB157" s="3">
        <f t="shared" si="80"/>
        <v>0.160015998028797</v>
      </c>
      <c r="BD157" s="4">
        <v>1.816833325</v>
      </c>
      <c r="BE157">
        <v>0.17</v>
      </c>
      <c r="BF157" s="5">
        <f t="shared" si="81"/>
        <v>1.646833325</v>
      </c>
      <c r="BG157">
        <v>4</v>
      </c>
      <c r="BH157" s="3">
        <f t="shared" si="82"/>
        <v>0.41170833125</v>
      </c>
      <c r="BJ157" s="9">
        <v>9.28758324583333</v>
      </c>
      <c r="BK157">
        <v>4.8</v>
      </c>
      <c r="BL157" s="5">
        <f t="shared" si="83"/>
        <v>4.48758324583333</v>
      </c>
      <c r="BM157">
        <v>8.9</v>
      </c>
      <c r="BN157" s="3">
        <f t="shared" si="84"/>
        <v>0.504222836610487</v>
      </c>
      <c r="BP157" s="9">
        <v>0.2541</v>
      </c>
      <c r="BQ157">
        <v>0.09</v>
      </c>
      <c r="BR157" s="5">
        <f t="shared" si="85"/>
        <v>0.1641</v>
      </c>
      <c r="BS157">
        <v>0.43</v>
      </c>
      <c r="BT157" s="3">
        <f t="shared" si="86"/>
        <v>0.381627906976744</v>
      </c>
      <c r="BV157" s="4">
        <v>6.50159999166667</v>
      </c>
      <c r="BW157">
        <v>6.18</v>
      </c>
      <c r="BX157" s="5">
        <f t="shared" si="87"/>
        <v>0.321599991666671</v>
      </c>
      <c r="BY157">
        <v>1.68</v>
      </c>
      <c r="BZ157" s="3">
        <f t="shared" si="88"/>
        <v>0.191428566468256</v>
      </c>
      <c r="CB157" s="10">
        <v>105.7</v>
      </c>
      <c r="CC157">
        <v>54.3</v>
      </c>
      <c r="CD157" s="12">
        <f t="shared" si="89"/>
        <v>51.4</v>
      </c>
      <c r="CE157">
        <v>71.3</v>
      </c>
      <c r="CF157" s="3">
        <f t="shared" si="90"/>
        <v>0.720897615708275</v>
      </c>
      <c r="CH157" s="13">
        <v>33.8</v>
      </c>
      <c r="CI157">
        <v>22.6</v>
      </c>
      <c r="CJ157">
        <f t="shared" si="91"/>
        <v>11.2</v>
      </c>
      <c r="CK157">
        <v>25.1</v>
      </c>
      <c r="CL157">
        <f t="shared" si="92"/>
        <v>0.446215139442231</v>
      </c>
      <c r="CN157" s="10">
        <v>5</v>
      </c>
      <c r="CO157">
        <v>3</v>
      </c>
      <c r="CP157" s="12">
        <f t="shared" si="93"/>
        <v>2</v>
      </c>
      <c r="CQ157">
        <v>3.4</v>
      </c>
      <c r="CR157" s="3">
        <f t="shared" si="94"/>
        <v>0.588235294117647</v>
      </c>
    </row>
    <row r="158" spans="2:96">
      <c r="B158" s="1">
        <v>47514</v>
      </c>
      <c r="C158">
        <v>32416</v>
      </c>
      <c r="D158" s="2">
        <f t="shared" si="95"/>
        <v>15098</v>
      </c>
      <c r="E158">
        <v>31904</v>
      </c>
      <c r="F158" s="3">
        <f t="shared" si="64"/>
        <v>0.473232196589769</v>
      </c>
      <c r="H158" s="1">
        <v>47100</v>
      </c>
      <c r="I158">
        <v>31145</v>
      </c>
      <c r="J158" s="2">
        <f t="shared" si="65"/>
        <v>15955</v>
      </c>
      <c r="K158">
        <v>32760</v>
      </c>
      <c r="L158" s="3">
        <f t="shared" si="66"/>
        <v>0.487026862026862</v>
      </c>
      <c r="N158" s="4">
        <v>263.363328925</v>
      </c>
      <c r="O158">
        <v>201.27</v>
      </c>
      <c r="P158" s="5">
        <f t="shared" si="67"/>
        <v>62.093328925</v>
      </c>
      <c r="Q158">
        <v>79.69</v>
      </c>
      <c r="R158" s="3">
        <f t="shared" si="68"/>
        <v>0.779185957146443</v>
      </c>
      <c r="T158" s="4">
        <v>295.479163808333</v>
      </c>
      <c r="U158">
        <v>100.23</v>
      </c>
      <c r="V158" s="5">
        <f t="shared" si="69"/>
        <v>195.249163808333</v>
      </c>
      <c r="W158">
        <v>410.93</v>
      </c>
      <c r="X158" s="3">
        <f t="shared" si="70"/>
        <v>0.475139716760356</v>
      </c>
      <c r="Z158" s="4">
        <v>25.2587500208333</v>
      </c>
      <c r="AA158">
        <v>13.25</v>
      </c>
      <c r="AB158" s="5">
        <f t="shared" si="71"/>
        <v>12.0087500208333</v>
      </c>
      <c r="AC158">
        <v>33.93</v>
      </c>
      <c r="AD158" s="3">
        <f t="shared" si="72"/>
        <v>0.353927203679142</v>
      </c>
      <c r="AF158" s="4">
        <v>3.79267672323982</v>
      </c>
      <c r="AG158">
        <v>2.09</v>
      </c>
      <c r="AH158" s="5">
        <f t="shared" si="73"/>
        <v>1.70267672323982</v>
      </c>
      <c r="AI158">
        <v>3.85</v>
      </c>
      <c r="AJ158" s="3">
        <f t="shared" si="74"/>
        <v>0.442253694348005</v>
      </c>
      <c r="AL158" s="4">
        <v>7.81</v>
      </c>
      <c r="AM158">
        <v>6.1</v>
      </c>
      <c r="AN158" s="5">
        <f t="shared" si="75"/>
        <v>1.71</v>
      </c>
      <c r="AO158">
        <v>1.89</v>
      </c>
      <c r="AP158" s="3">
        <f t="shared" si="76"/>
        <v>0.904761904761905</v>
      </c>
      <c r="AR158" s="4">
        <v>0.77125004166667</v>
      </c>
      <c r="AS158">
        <v>0.02</v>
      </c>
      <c r="AT158" s="5">
        <f t="shared" si="77"/>
        <v>0.75125004166667</v>
      </c>
      <c r="AU158">
        <v>2.84</v>
      </c>
      <c r="AV158" s="3">
        <f t="shared" si="78"/>
        <v>0.264524662558687</v>
      </c>
      <c r="AX158" s="4">
        <v>12.2349334666666</v>
      </c>
      <c r="AY158">
        <v>3.44</v>
      </c>
      <c r="AZ158" s="5">
        <f t="shared" si="79"/>
        <v>8.7949334666666</v>
      </c>
      <c r="BA158">
        <v>29.17</v>
      </c>
      <c r="BB158" s="3">
        <f t="shared" si="80"/>
        <v>0.301506118157923</v>
      </c>
      <c r="BD158" s="4">
        <v>2.07024997083333</v>
      </c>
      <c r="BE158">
        <v>0.17</v>
      </c>
      <c r="BF158" s="5">
        <f t="shared" si="81"/>
        <v>1.90024997083333</v>
      </c>
      <c r="BG158">
        <v>4</v>
      </c>
      <c r="BH158" s="3">
        <f t="shared" si="82"/>
        <v>0.475062492708333</v>
      </c>
      <c r="BJ158" s="9">
        <v>9.81499989583333</v>
      </c>
      <c r="BK158">
        <v>4.8</v>
      </c>
      <c r="BL158" s="5">
        <f t="shared" si="83"/>
        <v>5.01499989583333</v>
      </c>
      <c r="BM158">
        <v>8.9</v>
      </c>
      <c r="BN158" s="3">
        <f t="shared" si="84"/>
        <v>0.563483134363295</v>
      </c>
      <c r="BP158" s="9">
        <v>0.269583333333333</v>
      </c>
      <c r="BQ158">
        <v>0.09</v>
      </c>
      <c r="BR158" s="5">
        <f t="shared" si="85"/>
        <v>0.179583333333333</v>
      </c>
      <c r="BS158">
        <v>0.43</v>
      </c>
      <c r="BT158" s="3">
        <f t="shared" si="86"/>
        <v>0.417635658914728</v>
      </c>
      <c r="BV158" s="4">
        <v>6.54745000833333</v>
      </c>
      <c r="BW158">
        <v>6.18</v>
      </c>
      <c r="BX158" s="5">
        <f t="shared" si="87"/>
        <v>0.36745000833333</v>
      </c>
      <c r="BY158">
        <v>1.68</v>
      </c>
      <c r="BZ158" s="3">
        <f t="shared" si="88"/>
        <v>0.218720243055554</v>
      </c>
      <c r="CB158" s="10">
        <v>105.4</v>
      </c>
      <c r="CC158">
        <v>54.3</v>
      </c>
      <c r="CD158" s="12">
        <f t="shared" si="89"/>
        <v>51.1</v>
      </c>
      <c r="CE158">
        <v>71.3</v>
      </c>
      <c r="CF158" s="3">
        <f t="shared" si="90"/>
        <v>0.716690042075736</v>
      </c>
      <c r="CH158" s="13">
        <v>31.6</v>
      </c>
      <c r="CI158">
        <v>22.6</v>
      </c>
      <c r="CJ158">
        <f t="shared" si="91"/>
        <v>9</v>
      </c>
      <c r="CK158">
        <v>25.1</v>
      </c>
      <c r="CL158">
        <f t="shared" si="92"/>
        <v>0.358565737051793</v>
      </c>
      <c r="CN158" s="10">
        <v>5.7</v>
      </c>
      <c r="CO158">
        <v>3</v>
      </c>
      <c r="CP158" s="12">
        <f t="shared" si="93"/>
        <v>2.7</v>
      </c>
      <c r="CQ158">
        <v>3.4</v>
      </c>
      <c r="CR158" s="3">
        <f t="shared" si="94"/>
        <v>0.794117647058824</v>
      </c>
    </row>
    <row r="159" spans="2:96">
      <c r="B159" s="1">
        <v>43268</v>
      </c>
      <c r="C159">
        <v>32416</v>
      </c>
      <c r="D159" s="2">
        <f t="shared" si="95"/>
        <v>10852</v>
      </c>
      <c r="E159">
        <v>31904</v>
      </c>
      <c r="F159" s="3">
        <f t="shared" si="64"/>
        <v>0.340145436308927</v>
      </c>
      <c r="H159" s="1">
        <v>42950</v>
      </c>
      <c r="I159">
        <v>31145</v>
      </c>
      <c r="J159" s="2">
        <f t="shared" si="65"/>
        <v>11805</v>
      </c>
      <c r="K159">
        <v>32760</v>
      </c>
      <c r="L159" s="3">
        <f t="shared" si="66"/>
        <v>0.360347985347985</v>
      </c>
      <c r="N159" s="4">
        <v>272.0566666875</v>
      </c>
      <c r="O159">
        <v>201.27</v>
      </c>
      <c r="P159" s="5">
        <f t="shared" si="67"/>
        <v>70.7866666875</v>
      </c>
      <c r="Q159">
        <v>79.69</v>
      </c>
      <c r="R159" s="3">
        <f t="shared" si="68"/>
        <v>0.88827540077174</v>
      </c>
      <c r="T159" s="4">
        <v>180.941666920833</v>
      </c>
      <c r="U159">
        <v>100.23</v>
      </c>
      <c r="V159" s="5">
        <f t="shared" si="69"/>
        <v>80.711666920833</v>
      </c>
      <c r="W159">
        <v>410.93</v>
      </c>
      <c r="X159" s="3">
        <f t="shared" si="70"/>
        <v>0.196412203832363</v>
      </c>
      <c r="Z159" s="4">
        <v>32.042291675</v>
      </c>
      <c r="AA159">
        <v>13.25</v>
      </c>
      <c r="AB159" s="5">
        <f t="shared" si="71"/>
        <v>18.792291675</v>
      </c>
      <c r="AC159">
        <v>33.93</v>
      </c>
      <c r="AD159" s="3">
        <f t="shared" si="72"/>
        <v>0.553854750221043</v>
      </c>
      <c r="AF159" s="4">
        <v>5.0711384227456</v>
      </c>
      <c r="AG159">
        <v>2.09</v>
      </c>
      <c r="AH159" s="5">
        <f t="shared" si="73"/>
        <v>2.9811384227456</v>
      </c>
      <c r="AI159">
        <v>3.85</v>
      </c>
      <c r="AJ159" s="3">
        <f t="shared" si="74"/>
        <v>0.77432166824561</v>
      </c>
      <c r="AL159" s="4">
        <v>7.85</v>
      </c>
      <c r="AM159">
        <v>6.1</v>
      </c>
      <c r="AN159" s="5">
        <f t="shared" si="75"/>
        <v>1.75</v>
      </c>
      <c r="AO159">
        <v>1.89</v>
      </c>
      <c r="AP159" s="3">
        <f t="shared" si="76"/>
        <v>0.925925925925926</v>
      </c>
      <c r="AR159" s="4">
        <v>1.60083335416667</v>
      </c>
      <c r="AS159">
        <v>0.02</v>
      </c>
      <c r="AT159" s="5">
        <f t="shared" si="77"/>
        <v>1.58083335416667</v>
      </c>
      <c r="AU159">
        <v>2.84</v>
      </c>
      <c r="AV159" s="3">
        <f t="shared" si="78"/>
        <v>0.556631462734743</v>
      </c>
      <c r="AX159" s="4">
        <v>31.4617336416667</v>
      </c>
      <c r="AY159">
        <v>3.44</v>
      </c>
      <c r="AZ159" s="5">
        <f t="shared" si="79"/>
        <v>28.0217336416667</v>
      </c>
      <c r="BA159">
        <v>29.17</v>
      </c>
      <c r="BB159" s="3">
        <f t="shared" si="80"/>
        <v>0.960635366529541</v>
      </c>
      <c r="BD159" s="4">
        <v>1.46125000416667</v>
      </c>
      <c r="BE159">
        <v>0.17</v>
      </c>
      <c r="BF159" s="5">
        <f t="shared" si="81"/>
        <v>1.29125000416667</v>
      </c>
      <c r="BG159">
        <v>4</v>
      </c>
      <c r="BH159" s="3">
        <f t="shared" si="82"/>
        <v>0.322812501041668</v>
      </c>
      <c r="BJ159" s="9">
        <v>9.96008324583333</v>
      </c>
      <c r="BK159">
        <v>4.8</v>
      </c>
      <c r="BL159" s="5">
        <f t="shared" si="83"/>
        <v>5.16008324583333</v>
      </c>
      <c r="BM159">
        <v>8.9</v>
      </c>
      <c r="BN159" s="3">
        <f t="shared" si="84"/>
        <v>0.579784634363295</v>
      </c>
      <c r="BP159" s="9">
        <v>0.376866666666667</v>
      </c>
      <c r="BQ159">
        <v>0.09</v>
      </c>
      <c r="BR159" s="5">
        <f t="shared" si="85"/>
        <v>0.286866666666667</v>
      </c>
      <c r="BS159">
        <v>0.43</v>
      </c>
      <c r="BT159" s="3">
        <f t="shared" si="86"/>
        <v>0.667131782945737</v>
      </c>
      <c r="BV159" s="4">
        <v>7.26069164166667</v>
      </c>
      <c r="BW159">
        <v>6.18</v>
      </c>
      <c r="BX159" s="5">
        <f t="shared" si="87"/>
        <v>1.08069164166667</v>
      </c>
      <c r="BY159">
        <v>1.68</v>
      </c>
      <c r="BZ159" s="3">
        <f t="shared" si="88"/>
        <v>0.643268834325399</v>
      </c>
      <c r="CB159" s="10">
        <v>105.2</v>
      </c>
      <c r="CC159">
        <v>54.3</v>
      </c>
      <c r="CD159" s="12">
        <f t="shared" si="89"/>
        <v>50.9</v>
      </c>
      <c r="CE159">
        <v>71.3</v>
      </c>
      <c r="CF159" s="3">
        <f t="shared" si="90"/>
        <v>0.713884992987377</v>
      </c>
      <c r="CH159" s="14">
        <v>32.54</v>
      </c>
      <c r="CI159">
        <v>22.6</v>
      </c>
      <c r="CJ159">
        <f t="shared" si="91"/>
        <v>9.94</v>
      </c>
      <c r="CK159">
        <v>25.1</v>
      </c>
      <c r="CL159">
        <f t="shared" si="92"/>
        <v>0.39601593625498</v>
      </c>
      <c r="CN159" s="10">
        <v>5.6</v>
      </c>
      <c r="CO159">
        <v>3</v>
      </c>
      <c r="CP159" s="12">
        <f t="shared" si="93"/>
        <v>2.6</v>
      </c>
      <c r="CQ159">
        <v>3.4</v>
      </c>
      <c r="CR159" s="3">
        <f t="shared" si="94"/>
        <v>0.764705882352941</v>
      </c>
    </row>
    <row r="160" spans="2:96">
      <c r="B160" s="1">
        <v>41052</v>
      </c>
      <c r="C160">
        <v>32416</v>
      </c>
      <c r="D160" s="2">
        <f t="shared" si="95"/>
        <v>8636</v>
      </c>
      <c r="E160">
        <v>31904</v>
      </c>
      <c r="F160" s="3">
        <f t="shared" si="64"/>
        <v>0.270687061183551</v>
      </c>
      <c r="H160" s="1">
        <v>40897</v>
      </c>
      <c r="I160">
        <v>31145</v>
      </c>
      <c r="J160" s="2">
        <f t="shared" si="65"/>
        <v>9752</v>
      </c>
      <c r="K160">
        <v>32760</v>
      </c>
      <c r="L160" s="3">
        <f t="shared" si="66"/>
        <v>0.297680097680098</v>
      </c>
      <c r="N160" s="4">
        <v>280.96000035</v>
      </c>
      <c r="O160">
        <v>201.27</v>
      </c>
      <c r="P160" s="5">
        <f t="shared" si="67"/>
        <v>79.69000035</v>
      </c>
      <c r="Q160">
        <v>79.69</v>
      </c>
      <c r="R160" s="3">
        <f t="shared" si="68"/>
        <v>1.00000000439202</v>
      </c>
      <c r="T160" s="4">
        <v>184.141666245833</v>
      </c>
      <c r="U160">
        <v>100.23</v>
      </c>
      <c r="V160" s="5">
        <f t="shared" si="69"/>
        <v>83.911666245833</v>
      </c>
      <c r="W160">
        <v>410.93</v>
      </c>
      <c r="X160" s="3">
        <f t="shared" si="70"/>
        <v>0.204199416557158</v>
      </c>
      <c r="Z160" s="4">
        <v>29.222708375</v>
      </c>
      <c r="AA160">
        <v>13.25</v>
      </c>
      <c r="AB160" s="5">
        <f t="shared" si="71"/>
        <v>15.972708375</v>
      </c>
      <c r="AC160">
        <v>33.93</v>
      </c>
      <c r="AD160" s="3">
        <f t="shared" si="72"/>
        <v>0.47075474137931</v>
      </c>
      <c r="AF160" s="4">
        <v>3.78376007042431</v>
      </c>
      <c r="AG160">
        <v>2.09</v>
      </c>
      <c r="AH160" s="5">
        <f t="shared" si="73"/>
        <v>1.69376007042431</v>
      </c>
      <c r="AI160">
        <v>3.85</v>
      </c>
      <c r="AJ160" s="3">
        <f t="shared" si="74"/>
        <v>0.439937680629691</v>
      </c>
      <c r="AL160" s="4">
        <v>7.92</v>
      </c>
      <c r="AM160">
        <v>6.1</v>
      </c>
      <c r="AN160" s="5">
        <f t="shared" si="75"/>
        <v>1.82</v>
      </c>
      <c r="AO160">
        <v>1.89</v>
      </c>
      <c r="AP160" s="3">
        <f t="shared" si="76"/>
        <v>0.962962962962963</v>
      </c>
      <c r="AR160" s="4">
        <v>1.621875025</v>
      </c>
      <c r="AS160">
        <v>0.02</v>
      </c>
      <c r="AT160" s="5">
        <f t="shared" si="77"/>
        <v>1.601875025</v>
      </c>
      <c r="AU160">
        <v>2.84</v>
      </c>
      <c r="AV160" s="3">
        <f t="shared" si="78"/>
        <v>0.564040501760563</v>
      </c>
      <c r="AX160" s="4">
        <v>20.3926667458333</v>
      </c>
      <c r="AY160">
        <v>3.44</v>
      </c>
      <c r="AZ160" s="5">
        <f t="shared" si="79"/>
        <v>16.9526667458333</v>
      </c>
      <c r="BA160">
        <v>29.17</v>
      </c>
      <c r="BB160" s="3">
        <f t="shared" si="80"/>
        <v>0.581167869243514</v>
      </c>
      <c r="BD160" s="4">
        <v>3.15166665</v>
      </c>
      <c r="BE160">
        <v>0.17</v>
      </c>
      <c r="BF160" s="5">
        <f t="shared" si="81"/>
        <v>2.98166665</v>
      </c>
      <c r="BG160">
        <v>4</v>
      </c>
      <c r="BH160" s="3">
        <f t="shared" si="82"/>
        <v>0.7454166625</v>
      </c>
      <c r="BJ160" s="9">
        <v>10.4777500208333</v>
      </c>
      <c r="BK160">
        <v>4.8</v>
      </c>
      <c r="BL160" s="5">
        <f t="shared" si="83"/>
        <v>5.6777500208333</v>
      </c>
      <c r="BM160">
        <v>8.9</v>
      </c>
      <c r="BN160" s="3">
        <f t="shared" si="84"/>
        <v>0.637949440543067</v>
      </c>
      <c r="BP160" s="9">
        <v>0.365891666666667</v>
      </c>
      <c r="BQ160">
        <v>0.09</v>
      </c>
      <c r="BR160" s="5">
        <f t="shared" si="85"/>
        <v>0.275891666666667</v>
      </c>
      <c r="BS160">
        <v>0.43</v>
      </c>
      <c r="BT160" s="3">
        <f t="shared" si="86"/>
        <v>0.641608527131784</v>
      </c>
      <c r="BV160" s="4">
        <v>7.30753339583333</v>
      </c>
      <c r="BW160">
        <v>6.18</v>
      </c>
      <c r="BX160" s="5">
        <f t="shared" si="87"/>
        <v>1.12753339583333</v>
      </c>
      <c r="BY160">
        <v>1.68</v>
      </c>
      <c r="BZ160" s="3">
        <f t="shared" si="88"/>
        <v>0.671150830853173</v>
      </c>
      <c r="CB160" s="10">
        <v>108.7</v>
      </c>
      <c r="CC160">
        <v>54.3</v>
      </c>
      <c r="CD160" s="12">
        <f t="shared" si="89"/>
        <v>54.4</v>
      </c>
      <c r="CE160">
        <v>71.3</v>
      </c>
      <c r="CF160" s="3">
        <f t="shared" si="90"/>
        <v>0.762973352033661</v>
      </c>
      <c r="CH160" s="13">
        <v>33.7</v>
      </c>
      <c r="CI160">
        <v>22.6</v>
      </c>
      <c r="CJ160">
        <f t="shared" si="91"/>
        <v>11.1</v>
      </c>
      <c r="CK160">
        <v>25.1</v>
      </c>
      <c r="CL160">
        <f t="shared" si="92"/>
        <v>0.442231075697211</v>
      </c>
      <c r="CN160" s="11">
        <v>5.3</v>
      </c>
      <c r="CO160">
        <v>3</v>
      </c>
      <c r="CP160" s="12">
        <f t="shared" si="93"/>
        <v>2.3</v>
      </c>
      <c r="CQ160">
        <v>3.4</v>
      </c>
      <c r="CR160" s="3">
        <f t="shared" si="94"/>
        <v>0.676470588235294</v>
      </c>
    </row>
    <row r="161" spans="2:96">
      <c r="B161" s="1">
        <v>40754</v>
      </c>
      <c r="C161">
        <v>32416</v>
      </c>
      <c r="D161" s="2">
        <f t="shared" si="95"/>
        <v>8338</v>
      </c>
      <c r="E161">
        <v>31904</v>
      </c>
      <c r="F161" s="3">
        <f t="shared" si="64"/>
        <v>0.261346539618857</v>
      </c>
      <c r="H161" s="1">
        <v>40432</v>
      </c>
      <c r="I161">
        <v>31145</v>
      </c>
      <c r="J161" s="2">
        <f t="shared" si="65"/>
        <v>9287</v>
      </c>
      <c r="K161">
        <v>32760</v>
      </c>
      <c r="L161" s="3">
        <f t="shared" si="66"/>
        <v>0.283485958485958</v>
      </c>
      <c r="N161" s="4">
        <v>273.3200028625</v>
      </c>
      <c r="O161">
        <v>201.27</v>
      </c>
      <c r="P161" s="5">
        <f t="shared" si="67"/>
        <v>72.0500028625</v>
      </c>
      <c r="Q161">
        <v>79.69</v>
      </c>
      <c r="R161" s="3">
        <f t="shared" si="68"/>
        <v>0.904128533849919</v>
      </c>
      <c r="T161" s="4">
        <v>198.362501154166</v>
      </c>
      <c r="U161">
        <v>100.23</v>
      </c>
      <c r="V161" s="5">
        <f t="shared" si="69"/>
        <v>98.132501154166</v>
      </c>
      <c r="W161">
        <v>410.93</v>
      </c>
      <c r="X161" s="3">
        <f t="shared" si="70"/>
        <v>0.238805882155516</v>
      </c>
      <c r="Z161" s="4">
        <v>28.8764583541666</v>
      </c>
      <c r="AA161">
        <v>13.25</v>
      </c>
      <c r="AB161" s="5">
        <f t="shared" si="71"/>
        <v>15.6264583541666</v>
      </c>
      <c r="AC161">
        <v>33.93</v>
      </c>
      <c r="AD161" s="3">
        <f t="shared" si="72"/>
        <v>0.460549907284604</v>
      </c>
      <c r="AF161" s="4">
        <v>3.37095814103881</v>
      </c>
      <c r="AG161">
        <v>2.09</v>
      </c>
      <c r="AH161" s="5">
        <f t="shared" si="73"/>
        <v>1.28095814103881</v>
      </c>
      <c r="AI161">
        <v>3.85</v>
      </c>
      <c r="AJ161" s="3">
        <f t="shared" si="74"/>
        <v>0.332716400269821</v>
      </c>
      <c r="AL161" s="4">
        <v>7.28</v>
      </c>
      <c r="AM161">
        <v>6.1</v>
      </c>
      <c r="AN161" s="5">
        <f t="shared" si="75"/>
        <v>1.18</v>
      </c>
      <c r="AO161">
        <v>1.89</v>
      </c>
      <c r="AP161" s="3">
        <f t="shared" si="76"/>
        <v>0.624338624338625</v>
      </c>
      <c r="AR161" s="4">
        <v>1.24125012083333</v>
      </c>
      <c r="AS161">
        <v>0.02</v>
      </c>
      <c r="AT161" s="5">
        <f t="shared" si="77"/>
        <v>1.22125012083333</v>
      </c>
      <c r="AU161">
        <v>2.84</v>
      </c>
      <c r="AV161" s="3">
        <f t="shared" si="78"/>
        <v>0.43001764818075</v>
      </c>
      <c r="AX161" s="4">
        <v>3.652999975</v>
      </c>
      <c r="AY161">
        <v>3.44</v>
      </c>
      <c r="AZ161" s="5">
        <f t="shared" si="79"/>
        <v>0.212999975</v>
      </c>
      <c r="BA161">
        <v>29.17</v>
      </c>
      <c r="BB161" s="3">
        <f t="shared" si="80"/>
        <v>0.0073020217689407</v>
      </c>
      <c r="BD161" s="4">
        <v>3.35591666666667</v>
      </c>
      <c r="BE161">
        <v>0.17</v>
      </c>
      <c r="BF161" s="5">
        <f t="shared" si="81"/>
        <v>3.18591666666667</v>
      </c>
      <c r="BG161">
        <v>4</v>
      </c>
      <c r="BH161" s="3">
        <f t="shared" si="82"/>
        <v>0.796479166666668</v>
      </c>
      <c r="BJ161" s="9">
        <v>9.30558331666667</v>
      </c>
      <c r="BK161">
        <v>4.8</v>
      </c>
      <c r="BL161" s="5">
        <f t="shared" si="83"/>
        <v>4.50558331666667</v>
      </c>
      <c r="BM161">
        <v>8.9</v>
      </c>
      <c r="BN161" s="3">
        <f t="shared" si="84"/>
        <v>0.506245316479401</v>
      </c>
      <c r="BP161" s="9">
        <v>0.37725</v>
      </c>
      <c r="BQ161">
        <v>0.09</v>
      </c>
      <c r="BR161" s="5">
        <f t="shared" si="85"/>
        <v>0.28725</v>
      </c>
      <c r="BS161">
        <v>0.43</v>
      </c>
      <c r="BT161" s="3">
        <f t="shared" si="86"/>
        <v>0.668023255813953</v>
      </c>
      <c r="BV161" s="4">
        <v>7.05407498333333</v>
      </c>
      <c r="BW161">
        <v>6.18</v>
      </c>
      <c r="BX161" s="5">
        <f t="shared" si="87"/>
        <v>0.874074983333331</v>
      </c>
      <c r="BY161">
        <v>1.68</v>
      </c>
      <c r="BZ161" s="3">
        <f t="shared" si="88"/>
        <v>0.520282728174602</v>
      </c>
      <c r="CB161" s="10">
        <v>106.4</v>
      </c>
      <c r="CC161">
        <v>54.3</v>
      </c>
      <c r="CD161" s="12">
        <f t="shared" si="89"/>
        <v>52.1</v>
      </c>
      <c r="CE161">
        <v>71.3</v>
      </c>
      <c r="CF161" s="3">
        <f t="shared" si="90"/>
        <v>0.730715287517532</v>
      </c>
      <c r="CH161" s="13">
        <v>28.5</v>
      </c>
      <c r="CI161">
        <v>22.6</v>
      </c>
      <c r="CJ161">
        <f t="shared" si="91"/>
        <v>5.9</v>
      </c>
      <c r="CK161">
        <v>25.1</v>
      </c>
      <c r="CL161">
        <f t="shared" si="92"/>
        <v>0.235059760956175</v>
      </c>
      <c r="CN161" s="10">
        <v>5.7</v>
      </c>
      <c r="CO161">
        <v>3</v>
      </c>
      <c r="CP161" s="12">
        <f t="shared" si="93"/>
        <v>2.7</v>
      </c>
      <c r="CQ161">
        <v>3.4</v>
      </c>
      <c r="CR161" s="3">
        <f t="shared" si="94"/>
        <v>0.794117647058824</v>
      </c>
    </row>
    <row r="162" spans="2:96">
      <c r="B162" s="1">
        <v>40356</v>
      </c>
      <c r="C162">
        <v>32416</v>
      </c>
      <c r="D162" s="2">
        <f t="shared" si="95"/>
        <v>7940</v>
      </c>
      <c r="E162">
        <v>31904</v>
      </c>
      <c r="F162" s="3">
        <f t="shared" si="64"/>
        <v>0.248871614844534</v>
      </c>
      <c r="H162" s="1">
        <v>39677</v>
      </c>
      <c r="I162">
        <v>31145</v>
      </c>
      <c r="J162" s="2">
        <f t="shared" si="65"/>
        <v>8532</v>
      </c>
      <c r="K162">
        <v>32760</v>
      </c>
      <c r="L162" s="3">
        <f t="shared" si="66"/>
        <v>0.26043956043956</v>
      </c>
      <c r="N162" s="4">
        <v>258.17667135</v>
      </c>
      <c r="O162">
        <v>201.27</v>
      </c>
      <c r="P162" s="5">
        <f t="shared" si="67"/>
        <v>56.90667135</v>
      </c>
      <c r="Q162">
        <v>79.69</v>
      </c>
      <c r="R162" s="3">
        <f t="shared" si="68"/>
        <v>0.714100531434308</v>
      </c>
      <c r="T162" s="4">
        <v>176.579165458333</v>
      </c>
      <c r="U162">
        <v>100.23</v>
      </c>
      <c r="V162" s="5">
        <f t="shared" si="69"/>
        <v>76.349165458333</v>
      </c>
      <c r="W162">
        <v>410.93</v>
      </c>
      <c r="X162" s="3">
        <f t="shared" si="70"/>
        <v>0.185796036936541</v>
      </c>
      <c r="Z162" s="4">
        <v>27.5729166916666</v>
      </c>
      <c r="AA162">
        <v>13.25</v>
      </c>
      <c r="AB162" s="5">
        <f t="shared" si="71"/>
        <v>14.3229166916666</v>
      </c>
      <c r="AC162">
        <v>33.93</v>
      </c>
      <c r="AD162" s="3">
        <f t="shared" si="72"/>
        <v>0.422131349592296</v>
      </c>
      <c r="AF162" s="4">
        <v>4.87345147507938</v>
      </c>
      <c r="AG162">
        <v>2.09</v>
      </c>
      <c r="AH162" s="5">
        <f t="shared" si="73"/>
        <v>2.78345147507938</v>
      </c>
      <c r="AI162">
        <v>3.85</v>
      </c>
      <c r="AJ162" s="3">
        <f t="shared" si="74"/>
        <v>0.722974409111527</v>
      </c>
      <c r="AL162" s="4">
        <v>7.84</v>
      </c>
      <c r="AM162">
        <v>6.1</v>
      </c>
      <c r="AN162" s="5">
        <f t="shared" si="75"/>
        <v>1.74</v>
      </c>
      <c r="AO162">
        <v>1.89</v>
      </c>
      <c r="AP162" s="3">
        <f t="shared" si="76"/>
        <v>0.920634920634921</v>
      </c>
      <c r="AR162" s="4">
        <v>1.65791668333333</v>
      </c>
      <c r="AS162">
        <v>0.02</v>
      </c>
      <c r="AT162" s="5">
        <f t="shared" si="77"/>
        <v>1.63791668333333</v>
      </c>
      <c r="AU162">
        <v>2.84</v>
      </c>
      <c r="AV162" s="3">
        <f t="shared" si="78"/>
        <v>0.57673122652582</v>
      </c>
      <c r="AX162" s="4">
        <v>5.58046667083333</v>
      </c>
      <c r="AY162">
        <v>3.44</v>
      </c>
      <c r="AZ162" s="5">
        <f t="shared" si="79"/>
        <v>2.14046667083333</v>
      </c>
      <c r="BA162">
        <v>29.17</v>
      </c>
      <c r="BB162" s="3">
        <f t="shared" si="80"/>
        <v>0.0733790425379955</v>
      </c>
      <c r="BD162" s="4">
        <v>2.82099998333333</v>
      </c>
      <c r="BE162">
        <v>0.17</v>
      </c>
      <c r="BF162" s="5">
        <f t="shared" si="81"/>
        <v>2.65099998333333</v>
      </c>
      <c r="BG162">
        <v>4</v>
      </c>
      <c r="BH162" s="3">
        <f t="shared" si="82"/>
        <v>0.662749995833332</v>
      </c>
      <c r="BJ162" s="9">
        <v>7.9285832875</v>
      </c>
      <c r="BK162">
        <v>4.8</v>
      </c>
      <c r="BL162" s="5">
        <f t="shared" si="83"/>
        <v>3.1285832875</v>
      </c>
      <c r="BM162">
        <v>8.9</v>
      </c>
      <c r="BN162" s="3">
        <f t="shared" si="84"/>
        <v>0.351526212078652</v>
      </c>
      <c r="BP162" s="9">
        <v>0.379816666666667</v>
      </c>
      <c r="BQ162">
        <v>0.09</v>
      </c>
      <c r="BR162" s="5">
        <f t="shared" si="85"/>
        <v>0.289816666666667</v>
      </c>
      <c r="BS162">
        <v>0.43</v>
      </c>
      <c r="BT162" s="3">
        <f t="shared" si="86"/>
        <v>0.673992248062016</v>
      </c>
      <c r="BV162" s="4">
        <v>7.10954994166667</v>
      </c>
      <c r="BW162">
        <v>6.18</v>
      </c>
      <c r="BX162" s="5">
        <f t="shared" si="87"/>
        <v>0.929549941666671</v>
      </c>
      <c r="BY162">
        <v>1.68</v>
      </c>
      <c r="BZ162" s="3">
        <f t="shared" si="88"/>
        <v>0.553303536706352</v>
      </c>
      <c r="CB162" s="10">
        <v>105.6</v>
      </c>
      <c r="CC162">
        <v>54.3</v>
      </c>
      <c r="CD162" s="12">
        <f t="shared" si="89"/>
        <v>51.3</v>
      </c>
      <c r="CE162">
        <v>71.3</v>
      </c>
      <c r="CF162" s="3">
        <f t="shared" si="90"/>
        <v>0.719495091164095</v>
      </c>
      <c r="CH162" s="13">
        <v>29.7</v>
      </c>
      <c r="CI162">
        <v>22.6</v>
      </c>
      <c r="CJ162">
        <f t="shared" si="91"/>
        <v>7.1</v>
      </c>
      <c r="CK162">
        <v>25.1</v>
      </c>
      <c r="CL162">
        <f t="shared" si="92"/>
        <v>0.282868525896414</v>
      </c>
      <c r="CN162" s="10">
        <v>5.9</v>
      </c>
      <c r="CO162">
        <v>3</v>
      </c>
      <c r="CP162" s="12">
        <f t="shared" si="93"/>
        <v>2.9</v>
      </c>
      <c r="CQ162">
        <v>3.4</v>
      </c>
      <c r="CR162" s="3">
        <f t="shared" si="94"/>
        <v>0.852941176470588</v>
      </c>
    </row>
    <row r="163" spans="2:96">
      <c r="B163" s="1">
        <v>42546</v>
      </c>
      <c r="C163">
        <v>32416</v>
      </c>
      <c r="D163" s="2">
        <f t="shared" si="95"/>
        <v>10130</v>
      </c>
      <c r="E163">
        <v>31904</v>
      </c>
      <c r="F163" s="3">
        <f t="shared" si="64"/>
        <v>0.317515045135406</v>
      </c>
      <c r="H163" s="1">
        <v>42117</v>
      </c>
      <c r="I163">
        <v>31145</v>
      </c>
      <c r="J163" s="2">
        <f t="shared" si="65"/>
        <v>10972</v>
      </c>
      <c r="K163">
        <v>32760</v>
      </c>
      <c r="L163" s="3">
        <f t="shared" si="66"/>
        <v>0.334920634920635</v>
      </c>
      <c r="N163" s="4">
        <v>257.546669</v>
      </c>
      <c r="O163">
        <v>201.27</v>
      </c>
      <c r="P163" s="5">
        <f t="shared" si="67"/>
        <v>56.276669</v>
      </c>
      <c r="Q163">
        <v>79.69</v>
      </c>
      <c r="R163" s="3">
        <f t="shared" si="68"/>
        <v>0.706194867611996</v>
      </c>
      <c r="T163" s="4">
        <v>138.091666854167</v>
      </c>
      <c r="U163">
        <v>100.23</v>
      </c>
      <c r="V163" s="5">
        <f t="shared" si="69"/>
        <v>37.861666854167</v>
      </c>
      <c r="W163">
        <v>410.93</v>
      </c>
      <c r="X163" s="3">
        <f t="shared" si="70"/>
        <v>0.0921365362815248</v>
      </c>
      <c r="Z163" s="4">
        <v>24.2216666083333</v>
      </c>
      <c r="AA163">
        <v>13.25</v>
      </c>
      <c r="AB163" s="5">
        <f t="shared" si="71"/>
        <v>10.9716666083333</v>
      </c>
      <c r="AC163">
        <v>33.93</v>
      </c>
      <c r="AD163" s="3">
        <f t="shared" si="72"/>
        <v>0.323361821642597</v>
      </c>
      <c r="AF163" s="4">
        <v>4.42214381027783</v>
      </c>
      <c r="AG163">
        <v>2.09</v>
      </c>
      <c r="AH163" s="5">
        <f t="shared" si="73"/>
        <v>2.33214381027783</v>
      </c>
      <c r="AI163">
        <v>3.85</v>
      </c>
      <c r="AJ163" s="3">
        <f t="shared" si="74"/>
        <v>0.605751639033203</v>
      </c>
      <c r="AL163" s="4">
        <v>7.98</v>
      </c>
      <c r="AM163">
        <v>6.1</v>
      </c>
      <c r="AN163" s="5">
        <f t="shared" si="75"/>
        <v>1.88</v>
      </c>
      <c r="AO163">
        <v>1.89</v>
      </c>
      <c r="AP163" s="3">
        <f t="shared" si="76"/>
        <v>0.994708994708995</v>
      </c>
      <c r="AR163" s="4">
        <v>1.06062497083333</v>
      </c>
      <c r="AS163">
        <v>0.02</v>
      </c>
      <c r="AT163" s="5">
        <f t="shared" si="77"/>
        <v>1.04062497083333</v>
      </c>
      <c r="AU163">
        <v>2.84</v>
      </c>
      <c r="AV163" s="3">
        <f t="shared" si="78"/>
        <v>0.366417243251173</v>
      </c>
      <c r="AX163" s="4">
        <v>12.4089335041667</v>
      </c>
      <c r="AY163">
        <v>3.44</v>
      </c>
      <c r="AZ163" s="5">
        <f t="shared" si="79"/>
        <v>8.9689335041667</v>
      </c>
      <c r="BA163">
        <v>29.17</v>
      </c>
      <c r="BB163" s="3">
        <f t="shared" si="80"/>
        <v>0.3074711520112</v>
      </c>
      <c r="BD163" s="4">
        <v>2.902083275</v>
      </c>
      <c r="BE163">
        <v>0.17</v>
      </c>
      <c r="BF163" s="5">
        <f t="shared" si="81"/>
        <v>2.732083275</v>
      </c>
      <c r="BG163">
        <v>4</v>
      </c>
      <c r="BH163" s="3">
        <f t="shared" si="82"/>
        <v>0.68302081875</v>
      </c>
      <c r="BJ163" s="9">
        <v>12.7734166583333</v>
      </c>
      <c r="BK163">
        <v>4.8</v>
      </c>
      <c r="BL163" s="5">
        <f t="shared" si="83"/>
        <v>7.9734166583333</v>
      </c>
      <c r="BM163">
        <v>8.9</v>
      </c>
      <c r="BN163" s="3">
        <f t="shared" si="84"/>
        <v>0.895889512172281</v>
      </c>
      <c r="BP163" s="9">
        <v>0.3081666625</v>
      </c>
      <c r="BQ163">
        <v>0.09</v>
      </c>
      <c r="BR163" s="5">
        <f t="shared" si="85"/>
        <v>0.2181666625</v>
      </c>
      <c r="BS163">
        <v>0.43</v>
      </c>
      <c r="BT163" s="3">
        <f t="shared" si="86"/>
        <v>0.507364331395349</v>
      </c>
      <c r="BV163" s="4">
        <v>7.20107497916667</v>
      </c>
      <c r="BW163">
        <v>6.18</v>
      </c>
      <c r="BX163" s="5">
        <f t="shared" si="87"/>
        <v>1.02107497916667</v>
      </c>
      <c r="BY163">
        <v>1.68</v>
      </c>
      <c r="BZ163" s="3">
        <f t="shared" si="88"/>
        <v>0.607782725694446</v>
      </c>
      <c r="CB163" s="10">
        <v>107.2</v>
      </c>
      <c r="CC163">
        <v>54.3</v>
      </c>
      <c r="CD163" s="12">
        <f t="shared" si="89"/>
        <v>52.9</v>
      </c>
      <c r="CE163">
        <v>71.3</v>
      </c>
      <c r="CF163" s="3">
        <f t="shared" si="90"/>
        <v>0.741935483870968</v>
      </c>
      <c r="CH163" s="13">
        <v>28.4</v>
      </c>
      <c r="CI163">
        <v>22.6</v>
      </c>
      <c r="CJ163">
        <f t="shared" si="91"/>
        <v>5.8</v>
      </c>
      <c r="CK163">
        <v>25.1</v>
      </c>
      <c r="CL163">
        <f t="shared" si="92"/>
        <v>0.231075697211155</v>
      </c>
      <c r="CN163" s="10">
        <v>6</v>
      </c>
      <c r="CO163">
        <v>3</v>
      </c>
      <c r="CP163" s="12">
        <f t="shared" si="93"/>
        <v>3</v>
      </c>
      <c r="CQ163">
        <v>3.4</v>
      </c>
      <c r="CR163" s="3">
        <f t="shared" si="94"/>
        <v>0.882352941176471</v>
      </c>
    </row>
    <row r="164" spans="2:96">
      <c r="B164" s="1">
        <v>42659</v>
      </c>
      <c r="C164">
        <v>32416</v>
      </c>
      <c r="D164" s="2">
        <f t="shared" si="95"/>
        <v>10243</v>
      </c>
      <c r="E164">
        <v>31904</v>
      </c>
      <c r="F164" s="3">
        <f t="shared" si="64"/>
        <v>0.321056920762287</v>
      </c>
      <c r="H164" s="1">
        <v>42240</v>
      </c>
      <c r="I164">
        <v>31145</v>
      </c>
      <c r="J164" s="2">
        <f t="shared" si="65"/>
        <v>11095</v>
      </c>
      <c r="K164">
        <v>32760</v>
      </c>
      <c r="L164" s="3">
        <f t="shared" si="66"/>
        <v>0.338675213675214</v>
      </c>
      <c r="N164" s="4">
        <v>254.760004675</v>
      </c>
      <c r="O164">
        <v>201.27</v>
      </c>
      <c r="P164" s="5">
        <f t="shared" si="67"/>
        <v>53.490004675</v>
      </c>
      <c r="Q164">
        <v>79.69</v>
      </c>
      <c r="R164" s="3">
        <f t="shared" si="68"/>
        <v>0.671226059417744</v>
      </c>
      <c r="T164" s="4">
        <v>172.737500516667</v>
      </c>
      <c r="U164">
        <v>100.23</v>
      </c>
      <c r="V164" s="5">
        <f t="shared" si="69"/>
        <v>72.507500516667</v>
      </c>
      <c r="W164">
        <v>410.93</v>
      </c>
      <c r="X164" s="3">
        <f t="shared" si="70"/>
        <v>0.176447328052629</v>
      </c>
      <c r="Z164" s="4">
        <v>26.1408333833333</v>
      </c>
      <c r="AA164">
        <v>13.25</v>
      </c>
      <c r="AB164" s="5">
        <f t="shared" si="71"/>
        <v>12.8908333833333</v>
      </c>
      <c r="AC164">
        <v>33.93</v>
      </c>
      <c r="AD164" s="3">
        <f t="shared" si="72"/>
        <v>0.379924355535906</v>
      </c>
      <c r="AF164" s="4">
        <v>3.55709354069537</v>
      </c>
      <c r="AG164">
        <v>2.09</v>
      </c>
      <c r="AH164" s="5">
        <f t="shared" si="73"/>
        <v>1.46709354069537</v>
      </c>
      <c r="AI164">
        <v>3.85</v>
      </c>
      <c r="AJ164" s="3">
        <f t="shared" si="74"/>
        <v>0.381063257323473</v>
      </c>
      <c r="AL164" s="4">
        <v>7.73</v>
      </c>
      <c r="AM164">
        <v>6.1</v>
      </c>
      <c r="AN164" s="5">
        <f t="shared" si="75"/>
        <v>1.63</v>
      </c>
      <c r="AO164">
        <v>1.89</v>
      </c>
      <c r="AP164" s="3">
        <f t="shared" si="76"/>
        <v>0.862433862433863</v>
      </c>
      <c r="AR164" s="4">
        <v>1.65375000416667</v>
      </c>
      <c r="AS164">
        <v>0.02</v>
      </c>
      <c r="AT164" s="5">
        <f t="shared" si="77"/>
        <v>1.63375000416667</v>
      </c>
      <c r="AU164">
        <v>2.84</v>
      </c>
      <c r="AV164" s="3">
        <f t="shared" si="78"/>
        <v>0.57526408597418</v>
      </c>
      <c r="AX164" s="4">
        <v>26.3579334625</v>
      </c>
      <c r="AY164">
        <v>3.44</v>
      </c>
      <c r="AZ164" s="5">
        <f t="shared" si="79"/>
        <v>22.9179334625</v>
      </c>
      <c r="BA164">
        <v>29.17</v>
      </c>
      <c r="BB164" s="3">
        <f t="shared" si="80"/>
        <v>0.785667928093932</v>
      </c>
      <c r="BD164" s="4">
        <v>1.375249975</v>
      </c>
      <c r="BE164">
        <v>0.17</v>
      </c>
      <c r="BF164" s="5">
        <f t="shared" si="81"/>
        <v>1.205249975</v>
      </c>
      <c r="BG164">
        <v>4</v>
      </c>
      <c r="BH164" s="3">
        <f t="shared" si="82"/>
        <v>0.30131249375</v>
      </c>
      <c r="BJ164" s="9">
        <v>12.7512499208333</v>
      </c>
      <c r="BK164">
        <v>4.8</v>
      </c>
      <c r="BL164" s="5">
        <f t="shared" si="83"/>
        <v>7.9512499208333</v>
      </c>
      <c r="BM164">
        <v>8.9</v>
      </c>
      <c r="BN164" s="3">
        <f t="shared" si="84"/>
        <v>0.89339886750936</v>
      </c>
      <c r="BP164" s="9">
        <v>0.204733333333333</v>
      </c>
      <c r="BQ164">
        <v>0.09</v>
      </c>
      <c r="BR164" s="5">
        <f t="shared" si="85"/>
        <v>0.114733333333333</v>
      </c>
      <c r="BS164">
        <v>0.43</v>
      </c>
      <c r="BT164" s="3">
        <f t="shared" si="86"/>
        <v>0.266821705426356</v>
      </c>
      <c r="BV164" s="4">
        <v>7.278366625</v>
      </c>
      <c r="BW164">
        <v>6.18</v>
      </c>
      <c r="BX164" s="5">
        <f t="shared" si="87"/>
        <v>1.098366625</v>
      </c>
      <c r="BY164">
        <v>1.68</v>
      </c>
      <c r="BZ164" s="3">
        <f t="shared" si="88"/>
        <v>0.653789657738096</v>
      </c>
      <c r="CB164" s="10">
        <v>106.2</v>
      </c>
      <c r="CC164">
        <v>54.3</v>
      </c>
      <c r="CD164" s="12">
        <f t="shared" si="89"/>
        <v>51.9</v>
      </c>
      <c r="CE164">
        <v>71.3</v>
      </c>
      <c r="CF164" s="3">
        <f t="shared" si="90"/>
        <v>0.727910238429173</v>
      </c>
      <c r="CH164" s="14">
        <v>29.54</v>
      </c>
      <c r="CI164">
        <v>22.6</v>
      </c>
      <c r="CJ164">
        <f t="shared" si="91"/>
        <v>6.94</v>
      </c>
      <c r="CK164">
        <v>25.1</v>
      </c>
      <c r="CL164">
        <f t="shared" si="92"/>
        <v>0.276494023904382</v>
      </c>
      <c r="CN164" s="10">
        <v>6.2</v>
      </c>
      <c r="CO164">
        <v>3</v>
      </c>
      <c r="CP164" s="12">
        <f t="shared" si="93"/>
        <v>3.2</v>
      </c>
      <c r="CQ164">
        <v>3.4</v>
      </c>
      <c r="CR164" s="3">
        <f t="shared" si="94"/>
        <v>0.941176470588235</v>
      </c>
    </row>
    <row r="165" spans="2:96">
      <c r="B165" s="1">
        <v>37816</v>
      </c>
      <c r="C165">
        <v>32416</v>
      </c>
      <c r="D165" s="2">
        <f t="shared" si="95"/>
        <v>5400</v>
      </c>
      <c r="E165">
        <v>31904</v>
      </c>
      <c r="F165" s="3">
        <f t="shared" si="64"/>
        <v>0.16925777331996</v>
      </c>
      <c r="H165" s="1">
        <v>37169</v>
      </c>
      <c r="I165">
        <v>31145</v>
      </c>
      <c r="J165" s="2">
        <f t="shared" si="65"/>
        <v>6024</v>
      </c>
      <c r="K165">
        <v>32760</v>
      </c>
      <c r="L165" s="3">
        <f t="shared" si="66"/>
        <v>0.183882783882784</v>
      </c>
      <c r="N165" s="4">
        <v>261.2333367625</v>
      </c>
      <c r="O165">
        <v>201.27</v>
      </c>
      <c r="P165" s="5">
        <f t="shared" si="67"/>
        <v>59.9633367625</v>
      </c>
      <c r="Q165">
        <v>79.69</v>
      </c>
      <c r="R165" s="3">
        <f t="shared" si="68"/>
        <v>0.752457482275066</v>
      </c>
      <c r="T165" s="4">
        <v>184.991667745833</v>
      </c>
      <c r="U165">
        <v>100.23</v>
      </c>
      <c r="V165" s="5">
        <f t="shared" si="69"/>
        <v>84.761667745833</v>
      </c>
      <c r="W165">
        <v>410.93</v>
      </c>
      <c r="X165" s="3">
        <f t="shared" si="70"/>
        <v>0.206267899023758</v>
      </c>
      <c r="Z165" s="4">
        <v>32.991666675</v>
      </c>
      <c r="AA165">
        <v>13.25</v>
      </c>
      <c r="AB165" s="5">
        <f t="shared" si="71"/>
        <v>19.741666675</v>
      </c>
      <c r="AC165">
        <v>33.93</v>
      </c>
      <c r="AD165" s="3">
        <f t="shared" si="72"/>
        <v>0.581835151046272</v>
      </c>
      <c r="AF165" s="4">
        <v>5.89469640803306</v>
      </c>
      <c r="AG165">
        <v>2.09</v>
      </c>
      <c r="AH165" s="5">
        <f t="shared" si="73"/>
        <v>3.80469640803306</v>
      </c>
      <c r="AI165">
        <v>3.85</v>
      </c>
      <c r="AJ165" s="3">
        <f t="shared" si="74"/>
        <v>0.98823283325534</v>
      </c>
      <c r="AL165" s="4">
        <v>7.79</v>
      </c>
      <c r="AM165">
        <v>6.1</v>
      </c>
      <c r="AN165" s="5">
        <f t="shared" si="75"/>
        <v>1.69</v>
      </c>
      <c r="AO165">
        <v>1.89</v>
      </c>
      <c r="AP165" s="3">
        <f t="shared" si="76"/>
        <v>0.894179894179894</v>
      </c>
      <c r="AR165" s="4">
        <v>1.56145835833333</v>
      </c>
      <c r="AS165">
        <v>0.02</v>
      </c>
      <c r="AT165" s="5">
        <f t="shared" si="77"/>
        <v>1.54145835833333</v>
      </c>
      <c r="AU165">
        <v>2.84</v>
      </c>
      <c r="AV165" s="3">
        <f t="shared" si="78"/>
        <v>0.542767027582158</v>
      </c>
      <c r="AX165" s="4">
        <v>25.7737997166667</v>
      </c>
      <c r="AY165">
        <v>3.44</v>
      </c>
      <c r="AZ165" s="5">
        <f t="shared" si="79"/>
        <v>22.3337997166667</v>
      </c>
      <c r="BA165">
        <v>29.17</v>
      </c>
      <c r="BB165" s="3">
        <f t="shared" si="80"/>
        <v>0.76564277396869</v>
      </c>
      <c r="BD165" s="4">
        <v>3.18008333333333</v>
      </c>
      <c r="BE165">
        <v>0.17</v>
      </c>
      <c r="BF165" s="5">
        <f t="shared" si="81"/>
        <v>3.01008333333333</v>
      </c>
      <c r="BG165">
        <v>4</v>
      </c>
      <c r="BH165" s="3">
        <f t="shared" si="82"/>
        <v>0.752520833333333</v>
      </c>
      <c r="BJ165" s="9">
        <v>12.893083325</v>
      </c>
      <c r="BK165">
        <v>4.8</v>
      </c>
      <c r="BL165" s="5">
        <f t="shared" si="83"/>
        <v>8.093083325</v>
      </c>
      <c r="BM165">
        <v>8.9</v>
      </c>
      <c r="BN165" s="3">
        <f t="shared" si="84"/>
        <v>0.90933520505618</v>
      </c>
      <c r="BP165" s="9">
        <v>0.36325</v>
      </c>
      <c r="BQ165">
        <v>0.09</v>
      </c>
      <c r="BR165" s="5">
        <f t="shared" si="85"/>
        <v>0.27325</v>
      </c>
      <c r="BS165">
        <v>0.43</v>
      </c>
      <c r="BT165" s="3">
        <f t="shared" si="86"/>
        <v>0.63546511627907</v>
      </c>
      <c r="BV165" s="4">
        <v>7.22674164583334</v>
      </c>
      <c r="BW165">
        <v>6.18</v>
      </c>
      <c r="BX165" s="5">
        <f t="shared" si="87"/>
        <v>1.04674164583334</v>
      </c>
      <c r="BY165">
        <v>1.68</v>
      </c>
      <c r="BZ165" s="3">
        <f t="shared" si="88"/>
        <v>0.623060503472227</v>
      </c>
      <c r="CB165" s="10">
        <v>105.5</v>
      </c>
      <c r="CC165">
        <v>54.3</v>
      </c>
      <c r="CD165" s="12">
        <f t="shared" si="89"/>
        <v>51.2</v>
      </c>
      <c r="CE165">
        <v>71.3</v>
      </c>
      <c r="CF165" s="3">
        <f t="shared" si="90"/>
        <v>0.718092566619916</v>
      </c>
      <c r="CH165" s="13">
        <v>30.2</v>
      </c>
      <c r="CI165">
        <v>22.6</v>
      </c>
      <c r="CJ165">
        <f t="shared" si="91"/>
        <v>7.6</v>
      </c>
      <c r="CK165">
        <v>25.1</v>
      </c>
      <c r="CL165">
        <f t="shared" si="92"/>
        <v>0.302788844621514</v>
      </c>
      <c r="CN165" s="10">
        <v>6.3</v>
      </c>
      <c r="CO165">
        <v>3</v>
      </c>
      <c r="CP165" s="12">
        <f t="shared" si="93"/>
        <v>3.3</v>
      </c>
      <c r="CQ165">
        <v>3.4</v>
      </c>
      <c r="CR165" s="3">
        <f t="shared" si="94"/>
        <v>0.970588235294118</v>
      </c>
    </row>
    <row r="166" spans="2:96">
      <c r="B166" s="1">
        <v>39547</v>
      </c>
      <c r="C166">
        <v>32416</v>
      </c>
      <c r="D166" s="2">
        <f t="shared" si="95"/>
        <v>7131</v>
      </c>
      <c r="E166">
        <v>31904</v>
      </c>
      <c r="F166" s="3">
        <f t="shared" si="64"/>
        <v>0.223514292878636</v>
      </c>
      <c r="H166" s="1">
        <v>39039</v>
      </c>
      <c r="I166">
        <v>31145</v>
      </c>
      <c r="J166" s="2">
        <f t="shared" si="65"/>
        <v>7894</v>
      </c>
      <c r="K166">
        <v>32760</v>
      </c>
      <c r="L166" s="3">
        <f t="shared" si="66"/>
        <v>0.240964590964591</v>
      </c>
      <c r="N166" s="4">
        <v>251.586668654167</v>
      </c>
      <c r="O166">
        <v>201.27</v>
      </c>
      <c r="P166" s="5">
        <f t="shared" si="67"/>
        <v>50.316668654167</v>
      </c>
      <c r="Q166">
        <v>79.69</v>
      </c>
      <c r="R166" s="3">
        <f t="shared" si="68"/>
        <v>0.631405052756519</v>
      </c>
      <c r="T166" s="4">
        <v>140.6666671375</v>
      </c>
      <c r="U166">
        <v>100.23</v>
      </c>
      <c r="V166" s="5">
        <f t="shared" si="69"/>
        <v>40.4366671375</v>
      </c>
      <c r="W166">
        <v>410.93</v>
      </c>
      <c r="X166" s="3">
        <f t="shared" si="70"/>
        <v>0.0984028110322926</v>
      </c>
      <c r="Z166" s="4">
        <v>22.2254166625</v>
      </c>
      <c r="AA166">
        <v>13.25</v>
      </c>
      <c r="AB166" s="5">
        <f t="shared" si="71"/>
        <v>8.9754166625</v>
      </c>
      <c r="AC166">
        <v>33.93</v>
      </c>
      <c r="AD166" s="3">
        <f t="shared" si="72"/>
        <v>0.264527458370174</v>
      </c>
      <c r="AF166" s="4">
        <v>4.40102734012212</v>
      </c>
      <c r="AG166">
        <v>2.09</v>
      </c>
      <c r="AH166" s="5">
        <f t="shared" si="73"/>
        <v>2.31102734012212</v>
      </c>
      <c r="AI166">
        <v>3.85</v>
      </c>
      <c r="AJ166" s="3">
        <f t="shared" si="74"/>
        <v>0.600266841590161</v>
      </c>
      <c r="AL166" s="4">
        <v>7.81</v>
      </c>
      <c r="AM166">
        <v>6.1</v>
      </c>
      <c r="AN166" s="5">
        <f t="shared" si="75"/>
        <v>1.71</v>
      </c>
      <c r="AO166">
        <v>1.89</v>
      </c>
      <c r="AP166" s="3">
        <f t="shared" si="76"/>
        <v>0.904761904761905</v>
      </c>
      <c r="AR166" s="4">
        <v>1.66270835</v>
      </c>
      <c r="AS166">
        <v>0.02</v>
      </c>
      <c r="AT166" s="5">
        <f t="shared" si="77"/>
        <v>1.64270835</v>
      </c>
      <c r="AU166">
        <v>2.84</v>
      </c>
      <c r="AV166" s="3">
        <f t="shared" si="78"/>
        <v>0.578418433098592</v>
      </c>
      <c r="AX166" s="4">
        <v>17.1136000666666</v>
      </c>
      <c r="AY166">
        <v>3.44</v>
      </c>
      <c r="AZ166" s="5">
        <f t="shared" si="79"/>
        <v>13.6736000666666</v>
      </c>
      <c r="BA166">
        <v>29.17</v>
      </c>
      <c r="BB166" s="3">
        <f t="shared" si="80"/>
        <v>0.46875557307736</v>
      </c>
      <c r="BD166" s="4">
        <v>2.64300001666667</v>
      </c>
      <c r="BE166">
        <v>0.17</v>
      </c>
      <c r="BF166" s="5">
        <f t="shared" si="81"/>
        <v>2.47300001666667</v>
      </c>
      <c r="BG166">
        <v>4</v>
      </c>
      <c r="BH166" s="3">
        <f t="shared" si="82"/>
        <v>0.618250004166668</v>
      </c>
      <c r="BJ166" s="9">
        <v>11.2284166416667</v>
      </c>
      <c r="BK166">
        <v>4.8</v>
      </c>
      <c r="BL166" s="5">
        <f t="shared" si="83"/>
        <v>6.4284166416667</v>
      </c>
      <c r="BM166">
        <v>8.9</v>
      </c>
      <c r="BN166" s="3">
        <f t="shared" si="84"/>
        <v>0.722294004681652</v>
      </c>
      <c r="BP166" s="9">
        <v>0.337733333333333</v>
      </c>
      <c r="BQ166">
        <v>0.09</v>
      </c>
      <c r="BR166" s="5">
        <f t="shared" si="85"/>
        <v>0.247733333333333</v>
      </c>
      <c r="BS166">
        <v>0.43</v>
      </c>
      <c r="BT166" s="3">
        <f t="shared" si="86"/>
        <v>0.576124031007751</v>
      </c>
      <c r="BV166" s="4">
        <v>7.22674160833333</v>
      </c>
      <c r="BW166">
        <v>6.18</v>
      </c>
      <c r="BX166" s="5">
        <f t="shared" si="87"/>
        <v>1.04674160833333</v>
      </c>
      <c r="BY166">
        <v>1.68</v>
      </c>
      <c r="BZ166" s="3">
        <f t="shared" si="88"/>
        <v>0.623060481150792</v>
      </c>
      <c r="CB166" s="10">
        <v>107.3</v>
      </c>
      <c r="CC166">
        <v>54.3</v>
      </c>
      <c r="CD166" s="12">
        <f t="shared" si="89"/>
        <v>53</v>
      </c>
      <c r="CE166">
        <v>71.3</v>
      </c>
      <c r="CF166" s="3">
        <f t="shared" si="90"/>
        <v>0.743338008415147</v>
      </c>
      <c r="CH166" s="13">
        <v>29.7</v>
      </c>
      <c r="CI166">
        <v>22.6</v>
      </c>
      <c r="CJ166">
        <f t="shared" si="91"/>
        <v>7.1</v>
      </c>
      <c r="CK166">
        <v>25.1</v>
      </c>
      <c r="CL166">
        <f t="shared" si="92"/>
        <v>0.282868525896414</v>
      </c>
      <c r="CN166" s="10">
        <v>5.8</v>
      </c>
      <c r="CO166">
        <v>3</v>
      </c>
      <c r="CP166" s="12">
        <f t="shared" si="93"/>
        <v>2.8</v>
      </c>
      <c r="CQ166">
        <v>3.4</v>
      </c>
      <c r="CR166" s="3">
        <f t="shared" si="94"/>
        <v>0.823529411764706</v>
      </c>
    </row>
    <row r="167" spans="2:96">
      <c r="B167" s="1">
        <v>40658</v>
      </c>
      <c r="C167">
        <v>32416</v>
      </c>
      <c r="D167" s="2">
        <f t="shared" si="95"/>
        <v>8242</v>
      </c>
      <c r="E167">
        <v>31904</v>
      </c>
      <c r="F167" s="3">
        <f t="shared" si="64"/>
        <v>0.258337512537613</v>
      </c>
      <c r="H167" s="1">
        <v>40145</v>
      </c>
      <c r="I167">
        <v>31145</v>
      </c>
      <c r="J167" s="2">
        <f t="shared" si="65"/>
        <v>9000</v>
      </c>
      <c r="K167">
        <v>32760</v>
      </c>
      <c r="L167" s="3">
        <f t="shared" si="66"/>
        <v>0.274725274725275</v>
      </c>
      <c r="N167" s="4">
        <v>265.539999629167</v>
      </c>
      <c r="O167">
        <v>201.27</v>
      </c>
      <c r="P167" s="5">
        <f t="shared" si="67"/>
        <v>64.269999629167</v>
      </c>
      <c r="Q167">
        <v>79.69</v>
      </c>
      <c r="R167" s="3">
        <f t="shared" si="68"/>
        <v>0.806500183575945</v>
      </c>
      <c r="T167" s="4">
        <v>189.8458334625</v>
      </c>
      <c r="U167">
        <v>100.23</v>
      </c>
      <c r="V167" s="5">
        <f t="shared" si="69"/>
        <v>89.6158334625</v>
      </c>
      <c r="W167">
        <v>410.93</v>
      </c>
      <c r="X167" s="3">
        <f t="shared" si="70"/>
        <v>0.218080533089577</v>
      </c>
      <c r="Z167" s="4">
        <v>32.0191666458333</v>
      </c>
      <c r="AA167">
        <v>13.25</v>
      </c>
      <c r="AB167" s="5">
        <f t="shared" si="71"/>
        <v>18.7691666458333</v>
      </c>
      <c r="AC167">
        <v>33.93</v>
      </c>
      <c r="AD167" s="3">
        <f t="shared" si="72"/>
        <v>0.553173199110914</v>
      </c>
      <c r="AF167" s="4">
        <v>5.93723505150405</v>
      </c>
      <c r="AG167">
        <v>2.09</v>
      </c>
      <c r="AH167" s="5">
        <f t="shared" si="73"/>
        <v>3.84723505150405</v>
      </c>
      <c r="AI167">
        <v>3.85</v>
      </c>
      <c r="AJ167" s="3">
        <f t="shared" si="74"/>
        <v>0.999281831559494</v>
      </c>
      <c r="AL167" s="4">
        <v>7.76</v>
      </c>
      <c r="AM167">
        <v>6.1</v>
      </c>
      <c r="AN167" s="5">
        <f t="shared" si="75"/>
        <v>1.66</v>
      </c>
      <c r="AO167">
        <v>1.89</v>
      </c>
      <c r="AP167" s="3">
        <f t="shared" si="76"/>
        <v>0.878306878306878</v>
      </c>
      <c r="AR167" s="4">
        <v>1.58479168333333</v>
      </c>
      <c r="AS167">
        <v>0.02</v>
      </c>
      <c r="AT167" s="5">
        <f t="shared" si="77"/>
        <v>1.56479168333333</v>
      </c>
      <c r="AU167">
        <v>2.84</v>
      </c>
      <c r="AV167" s="3">
        <f t="shared" si="78"/>
        <v>0.550982987089201</v>
      </c>
      <c r="AX167" s="4">
        <v>17.7202667625</v>
      </c>
      <c r="AY167">
        <v>3.44</v>
      </c>
      <c r="AZ167" s="5">
        <f t="shared" si="79"/>
        <v>14.2802667625</v>
      </c>
      <c r="BA167">
        <v>29.17</v>
      </c>
      <c r="BB167" s="3">
        <f t="shared" si="80"/>
        <v>0.489553197206034</v>
      </c>
      <c r="BD167" s="4">
        <v>1.06558334166667</v>
      </c>
      <c r="BE167">
        <v>0.17</v>
      </c>
      <c r="BF167" s="5">
        <f t="shared" si="81"/>
        <v>0.89558334166667</v>
      </c>
      <c r="BG167">
        <v>4</v>
      </c>
      <c r="BH167" s="3">
        <f t="shared" si="82"/>
        <v>0.223895835416667</v>
      </c>
      <c r="BJ167" s="9">
        <v>9.8319167375</v>
      </c>
      <c r="BK167">
        <v>4.8</v>
      </c>
      <c r="BL167" s="5">
        <f t="shared" si="83"/>
        <v>5.0319167375</v>
      </c>
      <c r="BM167">
        <v>8.9</v>
      </c>
      <c r="BN167" s="3">
        <f t="shared" si="84"/>
        <v>0.565383903089888</v>
      </c>
      <c r="BP167" s="9">
        <v>0.291025</v>
      </c>
      <c r="BQ167">
        <v>0.09</v>
      </c>
      <c r="BR167" s="5">
        <f t="shared" si="85"/>
        <v>0.201025</v>
      </c>
      <c r="BS167">
        <v>0.43</v>
      </c>
      <c r="BT167" s="3">
        <f t="shared" si="86"/>
        <v>0.4675</v>
      </c>
      <c r="BV167" s="4">
        <v>7.2171166375</v>
      </c>
      <c r="BW167">
        <v>6.18</v>
      </c>
      <c r="BX167" s="5">
        <f t="shared" si="87"/>
        <v>1.0371166375</v>
      </c>
      <c r="BY167">
        <v>1.68</v>
      </c>
      <c r="BZ167" s="3">
        <f t="shared" si="88"/>
        <v>0.617331331845238</v>
      </c>
      <c r="CB167" s="10">
        <v>104.8</v>
      </c>
      <c r="CC167">
        <v>54.3</v>
      </c>
      <c r="CD167" s="12">
        <f t="shared" si="89"/>
        <v>50.5</v>
      </c>
      <c r="CE167">
        <v>71.3</v>
      </c>
      <c r="CF167" s="3">
        <f t="shared" si="90"/>
        <v>0.708274894810659</v>
      </c>
      <c r="CH167" s="13">
        <v>28.6</v>
      </c>
      <c r="CI167">
        <v>22.6</v>
      </c>
      <c r="CJ167">
        <f t="shared" si="91"/>
        <v>6</v>
      </c>
      <c r="CK167">
        <v>25.1</v>
      </c>
      <c r="CL167">
        <f t="shared" si="92"/>
        <v>0.239043824701195</v>
      </c>
      <c r="CN167" s="11">
        <v>5.9</v>
      </c>
      <c r="CO167">
        <v>3</v>
      </c>
      <c r="CP167" s="12">
        <f t="shared" si="93"/>
        <v>2.9</v>
      </c>
      <c r="CQ167">
        <v>3.4</v>
      </c>
      <c r="CR167" s="3">
        <f t="shared" si="94"/>
        <v>0.852941176470588</v>
      </c>
    </row>
    <row r="168" spans="2:96">
      <c r="B168" s="1">
        <v>43689</v>
      </c>
      <c r="C168">
        <v>32416</v>
      </c>
      <c r="D168" s="2">
        <f t="shared" si="95"/>
        <v>11273</v>
      </c>
      <c r="E168">
        <v>31904</v>
      </c>
      <c r="F168" s="3">
        <f t="shared" si="64"/>
        <v>0.353341273821464</v>
      </c>
      <c r="H168" s="1">
        <v>43258</v>
      </c>
      <c r="I168">
        <v>31145</v>
      </c>
      <c r="J168" s="2">
        <f t="shared" si="65"/>
        <v>12113</v>
      </c>
      <c r="K168">
        <v>32760</v>
      </c>
      <c r="L168" s="3">
        <f t="shared" si="66"/>
        <v>0.369749694749695</v>
      </c>
      <c r="N168" s="4">
        <v>254.2900002875</v>
      </c>
      <c r="O168">
        <v>201.27</v>
      </c>
      <c r="P168" s="5">
        <f t="shared" si="67"/>
        <v>53.0200002875</v>
      </c>
      <c r="Q168">
        <v>79.69</v>
      </c>
      <c r="R168" s="3">
        <f t="shared" si="68"/>
        <v>0.665328150175681</v>
      </c>
      <c r="T168" s="4">
        <v>138.083332379166</v>
      </c>
      <c r="U168">
        <v>100.23</v>
      </c>
      <c r="V168" s="5">
        <f t="shared" si="69"/>
        <v>37.853332379166</v>
      </c>
      <c r="W168">
        <v>410.93</v>
      </c>
      <c r="X168" s="3">
        <f t="shared" si="70"/>
        <v>0.0921162542991896</v>
      </c>
      <c r="Z168" s="4">
        <v>31.61729165</v>
      </c>
      <c r="AA168">
        <v>13.25</v>
      </c>
      <c r="AB168" s="5">
        <f t="shared" si="71"/>
        <v>18.36729165</v>
      </c>
      <c r="AC168">
        <v>33.93</v>
      </c>
      <c r="AD168" s="3">
        <f t="shared" si="72"/>
        <v>0.541328961096375</v>
      </c>
      <c r="AF168" s="4">
        <v>4.65037408236009</v>
      </c>
      <c r="AG168">
        <v>2.09</v>
      </c>
      <c r="AH168" s="5">
        <f t="shared" si="73"/>
        <v>2.56037408236009</v>
      </c>
      <c r="AI168">
        <v>3.85</v>
      </c>
      <c r="AJ168" s="3">
        <f t="shared" si="74"/>
        <v>0.665032229184439</v>
      </c>
      <c r="AL168" s="4">
        <v>7.85</v>
      </c>
      <c r="AM168">
        <v>6.1</v>
      </c>
      <c r="AN168" s="5">
        <f t="shared" si="75"/>
        <v>1.75</v>
      </c>
      <c r="AO168">
        <v>1.89</v>
      </c>
      <c r="AP168" s="3">
        <f t="shared" si="76"/>
        <v>0.925925925925926</v>
      </c>
      <c r="AR168" s="4">
        <v>0.94125</v>
      </c>
      <c r="AS168">
        <v>0.02</v>
      </c>
      <c r="AT168" s="5">
        <f t="shared" si="77"/>
        <v>0.92125</v>
      </c>
      <c r="AU168">
        <v>2.84</v>
      </c>
      <c r="AV168" s="3">
        <f t="shared" si="78"/>
        <v>0.324383802816901</v>
      </c>
      <c r="AX168" s="4">
        <v>7.40220009583333</v>
      </c>
      <c r="AY168">
        <v>3.44</v>
      </c>
      <c r="AZ168" s="5">
        <f t="shared" si="79"/>
        <v>3.96220009583333</v>
      </c>
      <c r="BA168">
        <v>29.17</v>
      </c>
      <c r="BB168" s="3">
        <f t="shared" si="80"/>
        <v>0.135831336847217</v>
      </c>
      <c r="BD168" s="4">
        <v>0.68425</v>
      </c>
      <c r="BE168">
        <v>0.17</v>
      </c>
      <c r="BF168" s="5">
        <f t="shared" si="81"/>
        <v>0.51425</v>
      </c>
      <c r="BG168">
        <v>4</v>
      </c>
      <c r="BH168" s="3">
        <f t="shared" si="82"/>
        <v>0.1285625</v>
      </c>
      <c r="BJ168" s="9">
        <v>11.036416725</v>
      </c>
      <c r="BK168">
        <v>4.8</v>
      </c>
      <c r="BL168" s="5">
        <f t="shared" si="83"/>
        <v>6.236416725</v>
      </c>
      <c r="BM168">
        <v>8.9</v>
      </c>
      <c r="BN168" s="3">
        <f t="shared" si="84"/>
        <v>0.700720980337079</v>
      </c>
      <c r="BP168" s="9">
        <v>0.243216666666667</v>
      </c>
      <c r="BQ168">
        <v>0.09</v>
      </c>
      <c r="BR168" s="5">
        <f t="shared" si="85"/>
        <v>0.153216666666667</v>
      </c>
      <c r="BS168">
        <v>0.43</v>
      </c>
      <c r="BT168" s="3">
        <f t="shared" si="86"/>
        <v>0.356317829457365</v>
      </c>
      <c r="BV168" s="4">
        <v>6.5164332375</v>
      </c>
      <c r="BW168">
        <v>6.18</v>
      </c>
      <c r="BX168" s="5">
        <f t="shared" si="87"/>
        <v>0.336433237500001</v>
      </c>
      <c r="BY168">
        <v>1.68</v>
      </c>
      <c r="BZ168" s="3">
        <f t="shared" si="88"/>
        <v>0.200257879464286</v>
      </c>
      <c r="CB168" s="10">
        <v>103.6</v>
      </c>
      <c r="CC168">
        <v>54.3</v>
      </c>
      <c r="CD168" s="12">
        <f t="shared" si="89"/>
        <v>49.3</v>
      </c>
      <c r="CE168">
        <v>71.3</v>
      </c>
      <c r="CF168" s="3">
        <f t="shared" si="90"/>
        <v>0.691444600280505</v>
      </c>
      <c r="CH168" s="13">
        <v>30.5</v>
      </c>
      <c r="CI168">
        <v>22.6</v>
      </c>
      <c r="CJ168">
        <f t="shared" si="91"/>
        <v>7.9</v>
      </c>
      <c r="CK168">
        <v>25.1</v>
      </c>
      <c r="CL168">
        <f t="shared" si="92"/>
        <v>0.314741035856574</v>
      </c>
      <c r="CN168" s="10">
        <v>5.5</v>
      </c>
      <c r="CO168">
        <v>3</v>
      </c>
      <c r="CP168" s="12">
        <f t="shared" si="93"/>
        <v>2.5</v>
      </c>
      <c r="CQ168">
        <v>3.4</v>
      </c>
      <c r="CR168" s="3">
        <f t="shared" si="94"/>
        <v>0.735294117647059</v>
      </c>
    </row>
    <row r="169" spans="2:96">
      <c r="B169" s="1">
        <v>43987</v>
      </c>
      <c r="C169">
        <v>32416</v>
      </c>
      <c r="D169" s="2">
        <f t="shared" si="95"/>
        <v>11571</v>
      </c>
      <c r="E169">
        <v>31904</v>
      </c>
      <c r="F169" s="3">
        <f t="shared" si="64"/>
        <v>0.362681795386158</v>
      </c>
      <c r="H169" s="1">
        <v>43436</v>
      </c>
      <c r="I169">
        <v>31145</v>
      </c>
      <c r="J169" s="2">
        <f t="shared" si="65"/>
        <v>12291</v>
      </c>
      <c r="K169">
        <v>32760</v>
      </c>
      <c r="L169" s="3">
        <f t="shared" si="66"/>
        <v>0.37518315018315</v>
      </c>
      <c r="N169" s="4">
        <v>259.946666720833</v>
      </c>
      <c r="O169">
        <v>201.27</v>
      </c>
      <c r="P169" s="5">
        <f t="shared" si="67"/>
        <v>58.676666720833</v>
      </c>
      <c r="Q169">
        <v>79.69</v>
      </c>
      <c r="R169" s="3">
        <f t="shared" si="68"/>
        <v>0.736311541232689</v>
      </c>
      <c r="T169" s="4">
        <v>164.1999995</v>
      </c>
      <c r="U169">
        <v>100.23</v>
      </c>
      <c r="V169" s="5">
        <f t="shared" si="69"/>
        <v>63.9699995</v>
      </c>
      <c r="W169">
        <v>410.93</v>
      </c>
      <c r="X169" s="3">
        <f t="shared" si="70"/>
        <v>0.155671280996763</v>
      </c>
      <c r="Z169" s="4">
        <v>29.5429166791666</v>
      </c>
      <c r="AA169">
        <v>13.25</v>
      </c>
      <c r="AB169" s="5">
        <f t="shared" si="71"/>
        <v>16.2929166791666</v>
      </c>
      <c r="AC169">
        <v>33.93</v>
      </c>
      <c r="AD169" s="3">
        <f t="shared" si="72"/>
        <v>0.480192062457017</v>
      </c>
      <c r="AF169" s="4">
        <v>3.76713159843109</v>
      </c>
      <c r="AG169">
        <v>2.09</v>
      </c>
      <c r="AH169" s="5">
        <f t="shared" si="73"/>
        <v>1.67713159843109</v>
      </c>
      <c r="AI169">
        <v>3.85</v>
      </c>
      <c r="AJ169" s="3">
        <f t="shared" si="74"/>
        <v>0.435618596995088</v>
      </c>
      <c r="AL169" s="4">
        <v>7.65</v>
      </c>
      <c r="AM169">
        <v>6.1</v>
      </c>
      <c r="AN169" s="5">
        <f t="shared" si="75"/>
        <v>1.55</v>
      </c>
      <c r="AO169">
        <v>1.89</v>
      </c>
      <c r="AP169" s="3">
        <f t="shared" si="76"/>
        <v>0.820105820105821</v>
      </c>
      <c r="AR169" s="4">
        <v>1.59812499583333</v>
      </c>
      <c r="AS169">
        <v>0.02</v>
      </c>
      <c r="AT169" s="5">
        <f t="shared" si="77"/>
        <v>1.57812499583333</v>
      </c>
      <c r="AU169">
        <v>2.84</v>
      </c>
      <c r="AV169" s="3">
        <f t="shared" si="78"/>
        <v>0.555677815434271</v>
      </c>
      <c r="AX169" s="4">
        <v>19.1637333</v>
      </c>
      <c r="AY169">
        <v>3.44</v>
      </c>
      <c r="AZ169" s="5">
        <f t="shared" si="79"/>
        <v>15.7237333</v>
      </c>
      <c r="BA169">
        <v>29.17</v>
      </c>
      <c r="BB169" s="3">
        <f t="shared" si="80"/>
        <v>0.539037823105931</v>
      </c>
      <c r="BD169" s="4">
        <v>1.113916675</v>
      </c>
      <c r="BE169">
        <v>0.17</v>
      </c>
      <c r="BF169" s="5">
        <f t="shared" si="81"/>
        <v>0.943916675</v>
      </c>
      <c r="BG169">
        <v>4</v>
      </c>
      <c r="BH169" s="3">
        <f t="shared" si="82"/>
        <v>0.23597916875</v>
      </c>
      <c r="BJ169" s="9">
        <v>10.0102499541667</v>
      </c>
      <c r="BK169">
        <v>4.8</v>
      </c>
      <c r="BL169" s="5">
        <f t="shared" si="83"/>
        <v>5.2102499541667</v>
      </c>
      <c r="BM169">
        <v>8.9</v>
      </c>
      <c r="BN169" s="3">
        <f t="shared" si="84"/>
        <v>0.585421343164798</v>
      </c>
      <c r="BP169" s="9">
        <v>0.242783333333333</v>
      </c>
      <c r="BQ169">
        <v>0.09</v>
      </c>
      <c r="BR169" s="5">
        <f t="shared" si="85"/>
        <v>0.152783333333333</v>
      </c>
      <c r="BS169">
        <v>0.43</v>
      </c>
      <c r="BT169" s="3">
        <f t="shared" si="86"/>
        <v>0.355310077519379</v>
      </c>
      <c r="BV169" s="4">
        <v>7.86579992916667</v>
      </c>
      <c r="BW169">
        <v>6.18</v>
      </c>
      <c r="BX169" s="5">
        <f t="shared" si="87"/>
        <v>1.68579992916667</v>
      </c>
      <c r="BY169">
        <v>1.68</v>
      </c>
      <c r="BZ169" s="3">
        <f t="shared" si="88"/>
        <v>1.00345233878968</v>
      </c>
      <c r="CB169" s="10">
        <v>104.3</v>
      </c>
      <c r="CC169">
        <v>54.3</v>
      </c>
      <c r="CD169" s="12">
        <f t="shared" si="89"/>
        <v>50</v>
      </c>
      <c r="CE169">
        <v>71.3</v>
      </c>
      <c r="CF169" s="3">
        <f t="shared" si="90"/>
        <v>0.701262272089762</v>
      </c>
      <c r="CH169" s="13">
        <v>31.6</v>
      </c>
      <c r="CI169">
        <v>22.6</v>
      </c>
      <c r="CJ169">
        <f t="shared" si="91"/>
        <v>9</v>
      </c>
      <c r="CK169">
        <v>25.1</v>
      </c>
      <c r="CL169">
        <f t="shared" si="92"/>
        <v>0.358565737051793</v>
      </c>
      <c r="CN169" s="10">
        <v>5.7</v>
      </c>
      <c r="CO169">
        <v>3</v>
      </c>
      <c r="CP169" s="12">
        <f t="shared" si="93"/>
        <v>2.7</v>
      </c>
      <c r="CQ169">
        <v>3.4</v>
      </c>
      <c r="CR169" s="3">
        <f t="shared" si="94"/>
        <v>0.794117647058824</v>
      </c>
    </row>
    <row r="170" spans="2:96">
      <c r="B170" s="1">
        <v>44659</v>
      </c>
      <c r="C170">
        <v>32416</v>
      </c>
      <c r="D170" s="2">
        <f t="shared" si="95"/>
        <v>12243</v>
      </c>
      <c r="E170">
        <v>31904</v>
      </c>
      <c r="F170" s="3">
        <f t="shared" si="64"/>
        <v>0.383744984954865</v>
      </c>
      <c r="H170" s="1">
        <v>44011</v>
      </c>
      <c r="I170">
        <v>31145</v>
      </c>
      <c r="J170" s="2">
        <f t="shared" si="65"/>
        <v>12866</v>
      </c>
      <c r="K170">
        <v>32760</v>
      </c>
      <c r="L170" s="3">
        <f t="shared" si="66"/>
        <v>0.392735042735043</v>
      </c>
      <c r="N170" s="4">
        <v>260.3866678875</v>
      </c>
      <c r="O170">
        <v>201.27</v>
      </c>
      <c r="P170" s="5">
        <f t="shared" si="67"/>
        <v>59.1166678875</v>
      </c>
      <c r="Q170">
        <v>79.69</v>
      </c>
      <c r="R170" s="3">
        <f t="shared" si="68"/>
        <v>0.74183295127996</v>
      </c>
      <c r="T170" s="4">
        <v>176.7666676875</v>
      </c>
      <c r="U170">
        <v>100.23</v>
      </c>
      <c r="V170" s="5">
        <f t="shared" si="69"/>
        <v>76.5366676875</v>
      </c>
      <c r="W170">
        <v>410.93</v>
      </c>
      <c r="X170" s="3">
        <f t="shared" si="70"/>
        <v>0.18625232445307</v>
      </c>
      <c r="Z170" s="4">
        <v>27.580625</v>
      </c>
      <c r="AA170">
        <v>13.25</v>
      </c>
      <c r="AB170" s="5">
        <f t="shared" si="71"/>
        <v>14.330625</v>
      </c>
      <c r="AC170">
        <v>33.93</v>
      </c>
      <c r="AD170" s="3">
        <f t="shared" si="72"/>
        <v>0.422358532272325</v>
      </c>
      <c r="AF170" s="6">
        <v>4.37</v>
      </c>
      <c r="AG170">
        <v>2.09</v>
      </c>
      <c r="AH170" s="5">
        <f t="shared" si="73"/>
        <v>2.28</v>
      </c>
      <c r="AI170">
        <v>3.85</v>
      </c>
      <c r="AJ170" s="3">
        <f t="shared" si="74"/>
        <v>0.592207792207792</v>
      </c>
      <c r="AL170" s="4">
        <v>7.85</v>
      </c>
      <c r="AM170">
        <v>6.1</v>
      </c>
      <c r="AN170" s="5">
        <f t="shared" si="75"/>
        <v>1.75</v>
      </c>
      <c r="AO170">
        <v>1.89</v>
      </c>
      <c r="AP170" s="3">
        <f t="shared" si="76"/>
        <v>0.925925925925926</v>
      </c>
      <c r="AR170" s="4">
        <v>1.498541675</v>
      </c>
      <c r="AS170">
        <v>0.02</v>
      </c>
      <c r="AT170" s="5">
        <f t="shared" si="77"/>
        <v>1.478541675</v>
      </c>
      <c r="AU170">
        <v>2.84</v>
      </c>
      <c r="AV170" s="3">
        <f t="shared" si="78"/>
        <v>0.52061326584507</v>
      </c>
      <c r="AX170" s="4">
        <v>8.87726668333333</v>
      </c>
      <c r="AY170">
        <v>3.44</v>
      </c>
      <c r="AZ170" s="5">
        <f t="shared" si="79"/>
        <v>5.43726668333333</v>
      </c>
      <c r="BA170">
        <v>29.17</v>
      </c>
      <c r="BB170" s="3">
        <f t="shared" si="80"/>
        <v>0.186399269226374</v>
      </c>
      <c r="BD170" s="4">
        <v>0.6765</v>
      </c>
      <c r="BE170">
        <v>0.17</v>
      </c>
      <c r="BF170" s="5">
        <f t="shared" si="81"/>
        <v>0.5065</v>
      </c>
      <c r="BG170">
        <v>4</v>
      </c>
      <c r="BH170" s="3">
        <f t="shared" si="82"/>
        <v>0.126625</v>
      </c>
      <c r="BJ170" s="9">
        <v>11.9419999041667</v>
      </c>
      <c r="BK170">
        <v>4.8</v>
      </c>
      <c r="BL170" s="5">
        <f t="shared" si="83"/>
        <v>7.1419999041667</v>
      </c>
      <c r="BM170">
        <v>8.9</v>
      </c>
      <c r="BN170" s="3">
        <f t="shared" si="84"/>
        <v>0.802471899344573</v>
      </c>
      <c r="BP170" s="9">
        <v>0.239908333333333</v>
      </c>
      <c r="BQ170">
        <v>0.09</v>
      </c>
      <c r="BR170" s="5">
        <f t="shared" si="85"/>
        <v>0.149908333333333</v>
      </c>
      <c r="BS170">
        <v>0.43</v>
      </c>
      <c r="BT170" s="3">
        <f t="shared" si="86"/>
        <v>0.348624031007751</v>
      </c>
      <c r="BV170" s="4">
        <v>6.9268667125</v>
      </c>
      <c r="BW170">
        <v>6.18</v>
      </c>
      <c r="BX170" s="5">
        <f t="shared" si="87"/>
        <v>0.7468667125</v>
      </c>
      <c r="BY170">
        <v>1.68</v>
      </c>
      <c r="BZ170" s="3">
        <f t="shared" si="88"/>
        <v>0.444563519345238</v>
      </c>
      <c r="CB170" s="10">
        <v>105.5</v>
      </c>
      <c r="CC170">
        <v>54.3</v>
      </c>
      <c r="CD170" s="12">
        <f t="shared" si="89"/>
        <v>51.2</v>
      </c>
      <c r="CE170">
        <v>71.3</v>
      </c>
      <c r="CF170" s="3">
        <f t="shared" si="90"/>
        <v>0.718092566619916</v>
      </c>
      <c r="CH170" s="13">
        <v>32.7</v>
      </c>
      <c r="CI170">
        <v>22.6</v>
      </c>
      <c r="CJ170">
        <f t="shared" si="91"/>
        <v>10.1</v>
      </c>
      <c r="CK170">
        <v>25.1</v>
      </c>
      <c r="CL170">
        <f t="shared" si="92"/>
        <v>0.402390438247012</v>
      </c>
      <c r="CN170" s="10">
        <v>5.8</v>
      </c>
      <c r="CO170">
        <v>3</v>
      </c>
      <c r="CP170" s="12">
        <f t="shared" si="93"/>
        <v>2.8</v>
      </c>
      <c r="CQ170">
        <v>3.4</v>
      </c>
      <c r="CR170" s="3">
        <f t="shared" si="94"/>
        <v>0.823529411764706</v>
      </c>
    </row>
    <row r="171" spans="2:96">
      <c r="B171" s="1">
        <v>52179</v>
      </c>
      <c r="C171">
        <v>32416</v>
      </c>
      <c r="D171" s="2">
        <f t="shared" si="95"/>
        <v>19763</v>
      </c>
      <c r="E171">
        <v>31904</v>
      </c>
      <c r="F171" s="3">
        <f t="shared" si="64"/>
        <v>0.619452106318957</v>
      </c>
      <c r="H171" s="1">
        <v>51938</v>
      </c>
      <c r="I171">
        <v>31145</v>
      </c>
      <c r="J171" s="2">
        <f t="shared" si="65"/>
        <v>20793</v>
      </c>
      <c r="K171">
        <v>32760</v>
      </c>
      <c r="L171" s="3">
        <f t="shared" si="66"/>
        <v>0.63470695970696</v>
      </c>
      <c r="N171" s="4">
        <v>268.510005954167</v>
      </c>
      <c r="O171">
        <v>201.27</v>
      </c>
      <c r="P171" s="5">
        <f t="shared" si="67"/>
        <v>67.240005954167</v>
      </c>
      <c r="Q171">
        <v>79.69</v>
      </c>
      <c r="R171" s="3">
        <f t="shared" si="68"/>
        <v>0.843769681944623</v>
      </c>
      <c r="T171" s="4">
        <v>165.1375017125</v>
      </c>
      <c r="U171">
        <v>100.23</v>
      </c>
      <c r="V171" s="5">
        <f t="shared" si="69"/>
        <v>64.9075017125</v>
      </c>
      <c r="W171">
        <v>410.93</v>
      </c>
      <c r="X171" s="3">
        <f t="shared" si="70"/>
        <v>0.157952696840094</v>
      </c>
      <c r="Z171" s="4">
        <v>27.8316666625</v>
      </c>
      <c r="AA171">
        <v>13.25</v>
      </c>
      <c r="AB171" s="5">
        <f t="shared" si="71"/>
        <v>14.5816666625</v>
      </c>
      <c r="AC171">
        <v>33.93</v>
      </c>
      <c r="AD171" s="3">
        <f t="shared" si="72"/>
        <v>0.429757343427645</v>
      </c>
      <c r="AF171" s="6">
        <v>3.74</v>
      </c>
      <c r="AG171">
        <v>2.09</v>
      </c>
      <c r="AH171" s="5">
        <f t="shared" si="73"/>
        <v>1.65</v>
      </c>
      <c r="AI171">
        <v>3.85</v>
      </c>
      <c r="AJ171" s="3">
        <f t="shared" si="74"/>
        <v>0.428571428571429</v>
      </c>
      <c r="AL171" s="4">
        <v>7.92</v>
      </c>
      <c r="AM171">
        <v>6.1</v>
      </c>
      <c r="AN171" s="5">
        <f t="shared" si="75"/>
        <v>1.82</v>
      </c>
      <c r="AO171">
        <v>1.89</v>
      </c>
      <c r="AP171" s="3">
        <f t="shared" si="76"/>
        <v>0.962962962962963</v>
      </c>
      <c r="AR171" s="4">
        <v>1.68041665833333</v>
      </c>
      <c r="AS171">
        <v>0.02</v>
      </c>
      <c r="AT171" s="5">
        <f t="shared" si="77"/>
        <v>1.66041665833333</v>
      </c>
      <c r="AU171">
        <v>2.84</v>
      </c>
      <c r="AV171" s="3">
        <f t="shared" si="78"/>
        <v>0.584653752934271</v>
      </c>
      <c r="AX171" s="4">
        <v>10.458066625</v>
      </c>
      <c r="AY171">
        <v>3.44</v>
      </c>
      <c r="AZ171" s="5">
        <f t="shared" si="79"/>
        <v>7.018066625</v>
      </c>
      <c r="BA171">
        <v>29.17</v>
      </c>
      <c r="BB171" s="3">
        <f t="shared" si="80"/>
        <v>0.24059193092218</v>
      </c>
      <c r="BD171" s="4">
        <v>1.41383332083333</v>
      </c>
      <c r="BE171">
        <v>0.17</v>
      </c>
      <c r="BF171" s="5">
        <f t="shared" si="81"/>
        <v>1.24383332083333</v>
      </c>
      <c r="BG171">
        <v>4</v>
      </c>
      <c r="BH171" s="3">
        <f t="shared" si="82"/>
        <v>0.310958330208333</v>
      </c>
      <c r="BJ171" s="9">
        <v>11.6861667625</v>
      </c>
      <c r="BK171">
        <v>4.8</v>
      </c>
      <c r="BL171" s="5">
        <f t="shared" si="83"/>
        <v>6.8861667625</v>
      </c>
      <c r="BM171">
        <v>8.9</v>
      </c>
      <c r="BN171" s="3">
        <f t="shared" si="84"/>
        <v>0.77372660252809</v>
      </c>
      <c r="BP171" s="9">
        <v>0.259575</v>
      </c>
      <c r="BQ171">
        <v>0.09</v>
      </c>
      <c r="BR171" s="5">
        <f t="shared" si="85"/>
        <v>0.169575</v>
      </c>
      <c r="BS171">
        <v>0.43</v>
      </c>
      <c r="BT171" s="3">
        <f t="shared" si="86"/>
        <v>0.394360465116279</v>
      </c>
      <c r="BV171" s="4">
        <v>7.10733338333333</v>
      </c>
      <c r="BW171">
        <v>6.18</v>
      </c>
      <c r="BX171" s="5">
        <f t="shared" si="87"/>
        <v>0.92733338333333</v>
      </c>
      <c r="BY171">
        <v>1.68</v>
      </c>
      <c r="BZ171" s="3">
        <f t="shared" si="88"/>
        <v>0.55198415674603</v>
      </c>
      <c r="CB171" s="10">
        <v>106.1</v>
      </c>
      <c r="CC171">
        <v>54.3</v>
      </c>
      <c r="CD171" s="12">
        <f t="shared" si="89"/>
        <v>51.8</v>
      </c>
      <c r="CE171">
        <v>71.3</v>
      </c>
      <c r="CF171" s="3">
        <f t="shared" si="90"/>
        <v>0.726507713884993</v>
      </c>
      <c r="CH171" s="13">
        <v>30.9</v>
      </c>
      <c r="CI171">
        <v>22.6</v>
      </c>
      <c r="CJ171">
        <f t="shared" si="91"/>
        <v>8.3</v>
      </c>
      <c r="CK171">
        <v>25.1</v>
      </c>
      <c r="CL171">
        <f t="shared" si="92"/>
        <v>0.330677290836653</v>
      </c>
      <c r="CN171" s="11">
        <v>5.2</v>
      </c>
      <c r="CO171">
        <v>3</v>
      </c>
      <c r="CP171" s="12">
        <f t="shared" si="93"/>
        <v>2.2</v>
      </c>
      <c r="CQ171">
        <v>3.4</v>
      </c>
      <c r="CR171" s="3">
        <f t="shared" si="94"/>
        <v>0.647058823529412</v>
      </c>
    </row>
    <row r="172" spans="2:96">
      <c r="B172" s="1">
        <v>52346</v>
      </c>
      <c r="C172">
        <v>32416</v>
      </c>
      <c r="D172" s="2">
        <f t="shared" si="95"/>
        <v>19930</v>
      </c>
      <c r="E172">
        <v>31904</v>
      </c>
      <c r="F172" s="3">
        <f t="shared" si="64"/>
        <v>0.624686559679037</v>
      </c>
      <c r="H172" s="1">
        <v>51790</v>
      </c>
      <c r="I172">
        <v>31145</v>
      </c>
      <c r="J172" s="2">
        <f t="shared" si="65"/>
        <v>20645</v>
      </c>
      <c r="K172">
        <v>32760</v>
      </c>
      <c r="L172" s="3">
        <f t="shared" si="66"/>
        <v>0.630189255189255</v>
      </c>
      <c r="N172" s="4">
        <v>261.466664641667</v>
      </c>
      <c r="O172">
        <v>201.27</v>
      </c>
      <c r="P172" s="5">
        <f t="shared" si="67"/>
        <v>60.196664641667</v>
      </c>
      <c r="Q172">
        <v>79.69</v>
      </c>
      <c r="R172" s="3">
        <f t="shared" si="68"/>
        <v>0.755385426548714</v>
      </c>
      <c r="T172" s="4">
        <v>143.712499304167</v>
      </c>
      <c r="U172">
        <v>100.23</v>
      </c>
      <c r="V172" s="5">
        <f t="shared" si="69"/>
        <v>43.482499304167</v>
      </c>
      <c r="W172">
        <v>410.93</v>
      </c>
      <c r="X172" s="3">
        <f t="shared" si="70"/>
        <v>0.105814857285102</v>
      </c>
      <c r="Z172" s="4">
        <v>31.30645835</v>
      </c>
      <c r="AA172">
        <v>13.25</v>
      </c>
      <c r="AB172" s="5">
        <f t="shared" si="71"/>
        <v>18.05645835</v>
      </c>
      <c r="AC172">
        <v>33.93</v>
      </c>
      <c r="AD172" s="3">
        <f t="shared" si="72"/>
        <v>0.532167944297082</v>
      </c>
      <c r="AF172" s="6">
        <v>4.13</v>
      </c>
      <c r="AG172">
        <v>2.09</v>
      </c>
      <c r="AH172" s="5">
        <f t="shared" si="73"/>
        <v>2.04</v>
      </c>
      <c r="AI172">
        <v>3.85</v>
      </c>
      <c r="AJ172" s="3">
        <f t="shared" si="74"/>
        <v>0.52987012987013</v>
      </c>
      <c r="AL172" s="4">
        <v>7.79</v>
      </c>
      <c r="AM172">
        <v>6.1</v>
      </c>
      <c r="AN172" s="5">
        <f t="shared" si="75"/>
        <v>1.69</v>
      </c>
      <c r="AO172">
        <v>1.89</v>
      </c>
      <c r="AP172" s="3">
        <f t="shared" si="76"/>
        <v>0.894179894179894</v>
      </c>
      <c r="AR172" s="4">
        <v>1.4616666625</v>
      </c>
      <c r="AS172">
        <v>0.02</v>
      </c>
      <c r="AT172" s="5">
        <f t="shared" si="77"/>
        <v>1.4416666625</v>
      </c>
      <c r="AU172">
        <v>2.84</v>
      </c>
      <c r="AV172" s="3">
        <f t="shared" si="78"/>
        <v>0.507629106514085</v>
      </c>
      <c r="AX172" s="4">
        <v>9.00640006666667</v>
      </c>
      <c r="AY172">
        <v>3.44</v>
      </c>
      <c r="AZ172" s="5">
        <f t="shared" si="79"/>
        <v>5.56640006666667</v>
      </c>
      <c r="BA172">
        <v>29.17</v>
      </c>
      <c r="BB172" s="3">
        <f t="shared" si="80"/>
        <v>0.190826193577877</v>
      </c>
      <c r="BD172" s="4">
        <v>0.572583333333334</v>
      </c>
      <c r="BE172">
        <v>0.17</v>
      </c>
      <c r="BF172" s="5">
        <f t="shared" si="81"/>
        <v>0.402583333333334</v>
      </c>
      <c r="BG172">
        <v>4</v>
      </c>
      <c r="BH172" s="3">
        <f t="shared" si="82"/>
        <v>0.100645833333333</v>
      </c>
      <c r="BJ172" s="9">
        <v>8.35650002916667</v>
      </c>
      <c r="BK172">
        <v>4.8</v>
      </c>
      <c r="BL172" s="5">
        <f t="shared" si="83"/>
        <v>3.55650002916667</v>
      </c>
      <c r="BM172">
        <v>8.9</v>
      </c>
      <c r="BN172" s="3">
        <f t="shared" si="84"/>
        <v>0.399606744850188</v>
      </c>
      <c r="BP172" s="9">
        <v>0.259975</v>
      </c>
      <c r="BQ172">
        <v>0.09</v>
      </c>
      <c r="BR172" s="5">
        <f t="shared" si="85"/>
        <v>0.169975</v>
      </c>
      <c r="BS172">
        <v>0.43</v>
      </c>
      <c r="BT172" s="3">
        <f t="shared" si="86"/>
        <v>0.395290697674419</v>
      </c>
      <c r="BV172" s="4">
        <v>7.04701673333333</v>
      </c>
      <c r="BW172">
        <v>6.18</v>
      </c>
      <c r="BX172" s="5">
        <f t="shared" si="87"/>
        <v>0.867016733333331</v>
      </c>
      <c r="BY172">
        <v>1.68</v>
      </c>
      <c r="BZ172" s="3">
        <f t="shared" si="88"/>
        <v>0.516081388888887</v>
      </c>
      <c r="CB172" s="10">
        <v>109.7</v>
      </c>
      <c r="CC172">
        <v>54.3</v>
      </c>
      <c r="CD172" s="12">
        <f t="shared" si="89"/>
        <v>55.4</v>
      </c>
      <c r="CE172">
        <v>71.3</v>
      </c>
      <c r="CF172" s="3">
        <f t="shared" si="90"/>
        <v>0.776998597475456</v>
      </c>
      <c r="CH172" s="13">
        <v>28.6</v>
      </c>
      <c r="CI172">
        <v>22.6</v>
      </c>
      <c r="CJ172">
        <f t="shared" si="91"/>
        <v>6</v>
      </c>
      <c r="CK172">
        <v>25.1</v>
      </c>
      <c r="CL172">
        <f t="shared" si="92"/>
        <v>0.239043824701195</v>
      </c>
      <c r="CN172" s="10">
        <v>4.9</v>
      </c>
      <c r="CO172">
        <v>3</v>
      </c>
      <c r="CP172" s="12">
        <f t="shared" si="93"/>
        <v>1.9</v>
      </c>
      <c r="CQ172">
        <v>3.4</v>
      </c>
      <c r="CR172" s="3">
        <f t="shared" si="94"/>
        <v>0.558823529411765</v>
      </c>
    </row>
    <row r="173" spans="2:96">
      <c r="B173" s="1">
        <v>44856</v>
      </c>
      <c r="C173">
        <v>32416</v>
      </c>
      <c r="D173" s="2">
        <f t="shared" si="95"/>
        <v>12440</v>
      </c>
      <c r="E173">
        <v>31904</v>
      </c>
      <c r="F173" s="3">
        <f t="shared" si="64"/>
        <v>0.389919759277834</v>
      </c>
      <c r="H173" s="1">
        <v>44359</v>
      </c>
      <c r="I173">
        <v>31145</v>
      </c>
      <c r="J173" s="2">
        <f t="shared" si="65"/>
        <v>13214</v>
      </c>
      <c r="K173">
        <v>32760</v>
      </c>
      <c r="L173" s="3">
        <f t="shared" si="66"/>
        <v>0.403357753357753</v>
      </c>
      <c r="N173" s="4">
        <v>253.526668545833</v>
      </c>
      <c r="O173">
        <v>201.27</v>
      </c>
      <c r="P173" s="5">
        <f t="shared" si="67"/>
        <v>52.256668545833</v>
      </c>
      <c r="Q173">
        <v>79.69</v>
      </c>
      <c r="R173" s="3">
        <f t="shared" si="68"/>
        <v>0.655749385692471</v>
      </c>
      <c r="T173" s="4">
        <v>200.108334704167</v>
      </c>
      <c r="U173">
        <v>100.23</v>
      </c>
      <c r="V173" s="5">
        <f t="shared" si="69"/>
        <v>99.878334704167</v>
      </c>
      <c r="W173">
        <v>410.93</v>
      </c>
      <c r="X173" s="3">
        <f t="shared" si="70"/>
        <v>0.243054375937914</v>
      </c>
      <c r="Z173" s="4">
        <v>20.5806250041666</v>
      </c>
      <c r="AA173">
        <v>13.25</v>
      </c>
      <c r="AB173" s="5">
        <f t="shared" si="71"/>
        <v>7.3306250041666</v>
      </c>
      <c r="AC173">
        <v>33.93</v>
      </c>
      <c r="AD173" s="3">
        <f t="shared" si="72"/>
        <v>0.216051429536298</v>
      </c>
      <c r="AF173" s="6">
        <v>3.43</v>
      </c>
      <c r="AG173">
        <v>2.09</v>
      </c>
      <c r="AH173" s="5">
        <f t="shared" si="73"/>
        <v>1.34</v>
      </c>
      <c r="AI173">
        <v>3.85</v>
      </c>
      <c r="AJ173" s="3">
        <f t="shared" si="74"/>
        <v>0.348051948051948</v>
      </c>
      <c r="AL173" s="4">
        <v>7.92</v>
      </c>
      <c r="AM173">
        <v>6.1</v>
      </c>
      <c r="AN173" s="5">
        <f t="shared" si="75"/>
        <v>1.82</v>
      </c>
      <c r="AO173">
        <v>1.89</v>
      </c>
      <c r="AP173" s="3">
        <f t="shared" si="76"/>
        <v>0.962962962962963</v>
      </c>
      <c r="AR173" s="4">
        <v>1.3056250125</v>
      </c>
      <c r="AS173">
        <v>0.02</v>
      </c>
      <c r="AT173" s="5">
        <f t="shared" si="77"/>
        <v>1.2856250125</v>
      </c>
      <c r="AU173">
        <v>2.84</v>
      </c>
      <c r="AV173" s="3">
        <f t="shared" si="78"/>
        <v>0.452684863556338</v>
      </c>
      <c r="AX173" s="4">
        <v>15.1402000041666</v>
      </c>
      <c r="AY173">
        <v>3.44</v>
      </c>
      <c r="AZ173" s="5">
        <f t="shared" si="79"/>
        <v>11.7002000041666</v>
      </c>
      <c r="BA173">
        <v>29.17</v>
      </c>
      <c r="BB173" s="3">
        <f t="shared" si="80"/>
        <v>0.401103873985828</v>
      </c>
      <c r="BD173" s="4">
        <v>0.507666675</v>
      </c>
      <c r="BE173">
        <v>0.17</v>
      </c>
      <c r="BF173" s="5">
        <f t="shared" si="81"/>
        <v>0.337666675</v>
      </c>
      <c r="BG173">
        <v>4</v>
      </c>
      <c r="BH173" s="3">
        <f t="shared" si="82"/>
        <v>0.08441666875</v>
      </c>
      <c r="BJ173" s="9">
        <v>9.46224995</v>
      </c>
      <c r="BK173">
        <v>4.8</v>
      </c>
      <c r="BL173" s="5">
        <f t="shared" si="83"/>
        <v>4.66224995</v>
      </c>
      <c r="BM173">
        <v>8.9</v>
      </c>
      <c r="BN173" s="3">
        <f t="shared" si="84"/>
        <v>0.523848308988764</v>
      </c>
      <c r="BP173" s="9">
        <v>0.253975</v>
      </c>
      <c r="BQ173">
        <v>0.09</v>
      </c>
      <c r="BR173" s="5">
        <f t="shared" si="85"/>
        <v>0.163975</v>
      </c>
      <c r="BS173">
        <v>0.43</v>
      </c>
      <c r="BT173" s="3">
        <f t="shared" si="86"/>
        <v>0.381337209302326</v>
      </c>
      <c r="BV173" s="4">
        <v>7.08662503333333</v>
      </c>
      <c r="BW173">
        <v>6.18</v>
      </c>
      <c r="BX173" s="5">
        <f t="shared" si="87"/>
        <v>0.90662503333333</v>
      </c>
      <c r="BY173">
        <v>1.68</v>
      </c>
      <c r="BZ173" s="3">
        <f t="shared" si="88"/>
        <v>0.539657757936506</v>
      </c>
      <c r="CB173" s="10">
        <v>110.8</v>
      </c>
      <c r="CC173">
        <v>54.3</v>
      </c>
      <c r="CD173" s="12">
        <f t="shared" si="89"/>
        <v>56.5</v>
      </c>
      <c r="CE173">
        <v>71.3</v>
      </c>
      <c r="CF173" s="3">
        <f t="shared" si="90"/>
        <v>0.792426367461431</v>
      </c>
      <c r="CH173" s="13">
        <v>29.4</v>
      </c>
      <c r="CI173">
        <v>22.6</v>
      </c>
      <c r="CJ173">
        <f t="shared" si="91"/>
        <v>6.8</v>
      </c>
      <c r="CK173">
        <v>25.1</v>
      </c>
      <c r="CL173">
        <f t="shared" si="92"/>
        <v>0.270916334661354</v>
      </c>
      <c r="CN173" s="10">
        <v>6.1</v>
      </c>
      <c r="CO173">
        <v>3</v>
      </c>
      <c r="CP173" s="12">
        <f t="shared" si="93"/>
        <v>3.1</v>
      </c>
      <c r="CQ173">
        <v>3.4</v>
      </c>
      <c r="CR173" s="3">
        <f t="shared" si="94"/>
        <v>0.911764705882353</v>
      </c>
    </row>
    <row r="174" spans="2:96">
      <c r="B174" s="1">
        <v>51684</v>
      </c>
      <c r="C174">
        <v>32416</v>
      </c>
      <c r="D174" s="2">
        <f t="shared" si="95"/>
        <v>19268</v>
      </c>
      <c r="E174">
        <v>31904</v>
      </c>
      <c r="F174" s="3">
        <f t="shared" si="64"/>
        <v>0.603936810431294</v>
      </c>
      <c r="H174" s="1">
        <v>51230</v>
      </c>
      <c r="I174">
        <v>31145</v>
      </c>
      <c r="J174" s="2">
        <f t="shared" si="65"/>
        <v>20085</v>
      </c>
      <c r="K174">
        <v>32760</v>
      </c>
      <c r="L174" s="3">
        <f t="shared" si="66"/>
        <v>0.613095238095238</v>
      </c>
      <c r="N174" s="4">
        <v>261.960000358333</v>
      </c>
      <c r="O174">
        <v>201.27</v>
      </c>
      <c r="P174" s="5">
        <f t="shared" si="67"/>
        <v>60.690000358333</v>
      </c>
      <c r="Q174">
        <v>79.69</v>
      </c>
      <c r="R174" s="3">
        <f t="shared" si="68"/>
        <v>0.761576111912824</v>
      </c>
      <c r="T174" s="4">
        <v>174.937501283333</v>
      </c>
      <c r="U174">
        <v>100.23</v>
      </c>
      <c r="V174" s="5">
        <f t="shared" si="69"/>
        <v>74.707501283333</v>
      </c>
      <c r="W174">
        <v>410.93</v>
      </c>
      <c r="X174" s="3">
        <f t="shared" si="70"/>
        <v>0.181801039795909</v>
      </c>
      <c r="Z174" s="4">
        <v>30.6991666666666</v>
      </c>
      <c r="AA174">
        <v>13.25</v>
      </c>
      <c r="AB174" s="5">
        <f t="shared" si="71"/>
        <v>17.4491666666666</v>
      </c>
      <c r="AC174">
        <v>33.93</v>
      </c>
      <c r="AD174" s="3">
        <f t="shared" si="72"/>
        <v>0.5142695746144</v>
      </c>
      <c r="AF174" s="6">
        <v>5.05</v>
      </c>
      <c r="AG174">
        <v>2.09</v>
      </c>
      <c r="AH174" s="5">
        <f t="shared" si="73"/>
        <v>2.96</v>
      </c>
      <c r="AI174">
        <v>3.85</v>
      </c>
      <c r="AJ174" s="3">
        <f t="shared" si="74"/>
        <v>0.768831168831169</v>
      </c>
      <c r="AL174" s="4">
        <v>7.96</v>
      </c>
      <c r="AM174">
        <v>6.1</v>
      </c>
      <c r="AN174" s="5">
        <f t="shared" si="75"/>
        <v>1.86</v>
      </c>
      <c r="AO174">
        <v>1.89</v>
      </c>
      <c r="AP174" s="3">
        <f t="shared" si="76"/>
        <v>0.984126984126984</v>
      </c>
      <c r="AR174" s="4">
        <v>1.37250000416667</v>
      </c>
      <c r="AS174">
        <v>0.02</v>
      </c>
      <c r="AT174" s="5">
        <f t="shared" si="77"/>
        <v>1.35250000416667</v>
      </c>
      <c r="AU174">
        <v>2.84</v>
      </c>
      <c r="AV174" s="3">
        <f t="shared" si="78"/>
        <v>0.476232395833334</v>
      </c>
      <c r="AX174" s="4">
        <v>8.28793341666667</v>
      </c>
      <c r="AY174">
        <v>3.44</v>
      </c>
      <c r="AZ174" s="5">
        <f t="shared" si="79"/>
        <v>4.84793341666667</v>
      </c>
      <c r="BA174">
        <v>29.17</v>
      </c>
      <c r="BB174" s="3">
        <f t="shared" si="80"/>
        <v>0.166195866186722</v>
      </c>
      <c r="BD174" s="4">
        <v>0.428166666666667</v>
      </c>
      <c r="BE174">
        <v>0.17</v>
      </c>
      <c r="BF174" s="5">
        <f t="shared" si="81"/>
        <v>0.258166666666667</v>
      </c>
      <c r="BG174">
        <v>4</v>
      </c>
      <c r="BH174" s="3">
        <f t="shared" si="82"/>
        <v>0.0645416666666667</v>
      </c>
      <c r="BJ174" s="9">
        <v>8.67041665416667</v>
      </c>
      <c r="BK174">
        <v>4.8</v>
      </c>
      <c r="BL174" s="5">
        <f t="shared" si="83"/>
        <v>3.87041665416667</v>
      </c>
      <c r="BM174">
        <v>8.9</v>
      </c>
      <c r="BN174" s="3">
        <f t="shared" si="84"/>
        <v>0.434878275749064</v>
      </c>
      <c r="BP174" s="9">
        <v>0.314466666666667</v>
      </c>
      <c r="BQ174">
        <v>0.09</v>
      </c>
      <c r="BR174" s="5">
        <f t="shared" si="85"/>
        <v>0.224466666666667</v>
      </c>
      <c r="BS174">
        <v>0.43</v>
      </c>
      <c r="BT174" s="3">
        <f t="shared" si="86"/>
        <v>0.52201550387597</v>
      </c>
      <c r="BV174" s="4">
        <v>7.09782502083333</v>
      </c>
      <c r="BW174">
        <v>6.18</v>
      </c>
      <c r="BX174" s="5">
        <f t="shared" si="87"/>
        <v>0.91782502083333</v>
      </c>
      <c r="BY174">
        <v>1.68</v>
      </c>
      <c r="BZ174" s="3">
        <f t="shared" si="88"/>
        <v>0.546324417162697</v>
      </c>
      <c r="CB174" s="10">
        <v>110.6</v>
      </c>
      <c r="CC174">
        <v>54.3</v>
      </c>
      <c r="CD174" s="12">
        <f t="shared" si="89"/>
        <v>56.3</v>
      </c>
      <c r="CE174">
        <v>71.3</v>
      </c>
      <c r="CF174" s="3">
        <f t="shared" si="90"/>
        <v>0.789621318373071</v>
      </c>
      <c r="CH174" s="13">
        <v>31.5</v>
      </c>
      <c r="CI174">
        <v>22.6</v>
      </c>
      <c r="CJ174">
        <f t="shared" si="91"/>
        <v>8.9</v>
      </c>
      <c r="CK174">
        <v>25.1</v>
      </c>
      <c r="CL174">
        <f t="shared" si="92"/>
        <v>0.354581673306773</v>
      </c>
      <c r="CN174" s="10">
        <v>6.2</v>
      </c>
      <c r="CO174">
        <v>3</v>
      </c>
      <c r="CP174" s="12">
        <f t="shared" si="93"/>
        <v>3.2</v>
      </c>
      <c r="CQ174">
        <v>3.4</v>
      </c>
      <c r="CR174" s="3">
        <f t="shared" si="94"/>
        <v>0.941176470588235</v>
      </c>
    </row>
    <row r="175" spans="2:96">
      <c r="B175" s="1">
        <v>53951</v>
      </c>
      <c r="C175">
        <v>32416</v>
      </c>
      <c r="D175" s="2">
        <f t="shared" si="95"/>
        <v>21535</v>
      </c>
      <c r="E175">
        <v>31904</v>
      </c>
      <c r="F175" s="3">
        <f t="shared" si="64"/>
        <v>0.674993731193581</v>
      </c>
      <c r="H175" s="1">
        <v>53602</v>
      </c>
      <c r="I175">
        <v>31145</v>
      </c>
      <c r="J175" s="2">
        <f t="shared" si="65"/>
        <v>22457</v>
      </c>
      <c r="K175">
        <v>32760</v>
      </c>
      <c r="L175" s="3">
        <f t="shared" si="66"/>
        <v>0.685500610500611</v>
      </c>
      <c r="N175" s="4">
        <v>271.990000408333</v>
      </c>
      <c r="O175">
        <v>201.27</v>
      </c>
      <c r="P175" s="5">
        <f t="shared" si="67"/>
        <v>70.720000408333</v>
      </c>
      <c r="Q175">
        <v>79.69</v>
      </c>
      <c r="R175" s="3">
        <f t="shared" si="68"/>
        <v>0.887438830572631</v>
      </c>
      <c r="T175" s="4">
        <v>185.845833779166</v>
      </c>
      <c r="U175">
        <v>100.23</v>
      </c>
      <c r="V175" s="5">
        <f t="shared" si="69"/>
        <v>85.615833779166</v>
      </c>
      <c r="W175">
        <v>410.93</v>
      </c>
      <c r="X175" s="3">
        <f t="shared" si="70"/>
        <v>0.208346515900922</v>
      </c>
      <c r="Z175" s="4">
        <v>29.7918749916666</v>
      </c>
      <c r="AA175">
        <v>13.25</v>
      </c>
      <c r="AB175" s="5">
        <f t="shared" si="71"/>
        <v>16.5418749916666</v>
      </c>
      <c r="AC175">
        <v>33.93</v>
      </c>
      <c r="AD175" s="3">
        <f t="shared" si="72"/>
        <v>0.48752947219766</v>
      </c>
      <c r="AF175" s="6">
        <v>3.81</v>
      </c>
      <c r="AG175">
        <v>2.09</v>
      </c>
      <c r="AH175" s="5">
        <f t="shared" si="73"/>
        <v>1.72</v>
      </c>
      <c r="AI175">
        <v>3.85</v>
      </c>
      <c r="AJ175" s="3">
        <f t="shared" si="74"/>
        <v>0.446753246753247</v>
      </c>
      <c r="AL175" s="4">
        <v>7.94</v>
      </c>
      <c r="AM175">
        <v>6.1</v>
      </c>
      <c r="AN175" s="5">
        <f t="shared" si="75"/>
        <v>1.84</v>
      </c>
      <c r="AO175">
        <v>1.89</v>
      </c>
      <c r="AP175" s="3">
        <f t="shared" si="76"/>
        <v>0.973544973544974</v>
      </c>
      <c r="AR175" s="4">
        <v>1.3927083375</v>
      </c>
      <c r="AS175">
        <v>0.02</v>
      </c>
      <c r="AT175" s="5">
        <f t="shared" si="77"/>
        <v>1.3727083375</v>
      </c>
      <c r="AU175">
        <v>2.84</v>
      </c>
      <c r="AV175" s="3">
        <f t="shared" si="78"/>
        <v>0.483348006161972</v>
      </c>
      <c r="AX175" s="4">
        <v>9.73960001666667</v>
      </c>
      <c r="AY175">
        <v>3.44</v>
      </c>
      <c r="AZ175" s="5">
        <f t="shared" si="79"/>
        <v>6.29960001666667</v>
      </c>
      <c r="BA175">
        <v>29.17</v>
      </c>
      <c r="BB175" s="3">
        <f t="shared" si="80"/>
        <v>0.215961604959433</v>
      </c>
      <c r="BD175" s="4">
        <v>0.250333333333333</v>
      </c>
      <c r="BE175">
        <v>0.17</v>
      </c>
      <c r="BF175" s="5">
        <f t="shared" si="81"/>
        <v>0.080333333333333</v>
      </c>
      <c r="BG175">
        <v>4</v>
      </c>
      <c r="BH175" s="3">
        <f t="shared" si="82"/>
        <v>0.0200833333333333</v>
      </c>
      <c r="BJ175" s="9">
        <v>9.4136666625</v>
      </c>
      <c r="BK175">
        <v>4.8</v>
      </c>
      <c r="BL175" s="5">
        <f t="shared" si="83"/>
        <v>4.6136666625</v>
      </c>
      <c r="BM175">
        <v>8.9</v>
      </c>
      <c r="BN175" s="3">
        <f t="shared" si="84"/>
        <v>0.51838951264045</v>
      </c>
      <c r="BP175" s="9">
        <v>0.252575</v>
      </c>
      <c r="BQ175">
        <v>0.09</v>
      </c>
      <c r="BR175" s="5">
        <f t="shared" si="85"/>
        <v>0.162575</v>
      </c>
      <c r="BS175">
        <v>0.43</v>
      </c>
      <c r="BT175" s="3">
        <f t="shared" si="86"/>
        <v>0.378081395348837</v>
      </c>
      <c r="BV175" s="4">
        <v>7.1016166375</v>
      </c>
      <c r="BW175">
        <v>6.18</v>
      </c>
      <c r="BX175" s="5">
        <f t="shared" si="87"/>
        <v>0.921616637500001</v>
      </c>
      <c r="BY175">
        <v>1.68</v>
      </c>
      <c r="BZ175" s="3">
        <f t="shared" si="88"/>
        <v>0.548581331845238</v>
      </c>
      <c r="CB175" s="10">
        <v>109.2</v>
      </c>
      <c r="CC175">
        <v>54.3</v>
      </c>
      <c r="CD175" s="12">
        <f t="shared" si="89"/>
        <v>54.9</v>
      </c>
      <c r="CE175">
        <v>71.3</v>
      </c>
      <c r="CF175" s="3">
        <f t="shared" si="90"/>
        <v>0.769985974754558</v>
      </c>
      <c r="CH175" s="13">
        <v>30.6</v>
      </c>
      <c r="CI175">
        <v>22.6</v>
      </c>
      <c r="CJ175">
        <f t="shared" si="91"/>
        <v>8</v>
      </c>
      <c r="CK175">
        <v>25.1</v>
      </c>
      <c r="CL175">
        <f t="shared" si="92"/>
        <v>0.318725099601594</v>
      </c>
      <c r="CN175" s="10">
        <v>5.7</v>
      </c>
      <c r="CO175">
        <v>3</v>
      </c>
      <c r="CP175" s="12">
        <f t="shared" si="93"/>
        <v>2.7</v>
      </c>
      <c r="CQ175">
        <v>3.4</v>
      </c>
      <c r="CR175" s="3">
        <f t="shared" si="94"/>
        <v>0.794117647058824</v>
      </c>
    </row>
    <row r="176" spans="2:96">
      <c r="B176" s="1">
        <v>43576</v>
      </c>
      <c r="C176">
        <v>32416</v>
      </c>
      <c r="D176" s="2">
        <f t="shared" si="95"/>
        <v>11160</v>
      </c>
      <c r="E176">
        <v>31904</v>
      </c>
      <c r="F176" s="3">
        <f t="shared" si="64"/>
        <v>0.349799398194584</v>
      </c>
      <c r="H176" s="1">
        <v>43287</v>
      </c>
      <c r="I176">
        <v>31145</v>
      </c>
      <c r="J176" s="2">
        <f t="shared" si="65"/>
        <v>12142</v>
      </c>
      <c r="K176">
        <v>32760</v>
      </c>
      <c r="L176" s="3">
        <f t="shared" si="66"/>
        <v>0.370634920634921</v>
      </c>
      <c r="N176" s="4">
        <v>262.289999004167</v>
      </c>
      <c r="O176">
        <v>201.27</v>
      </c>
      <c r="P176" s="5">
        <f t="shared" si="67"/>
        <v>61.019999004167</v>
      </c>
      <c r="Q176">
        <v>79.69</v>
      </c>
      <c r="R176" s="3">
        <f t="shared" si="68"/>
        <v>0.765717141475304</v>
      </c>
      <c r="T176" s="4">
        <v>171.674999633333</v>
      </c>
      <c r="U176">
        <v>100.23</v>
      </c>
      <c r="V176" s="5">
        <f t="shared" si="69"/>
        <v>71.444999633333</v>
      </c>
      <c r="W176">
        <v>410.93</v>
      </c>
      <c r="X176" s="3">
        <f t="shared" si="70"/>
        <v>0.173861727382603</v>
      </c>
      <c r="Z176" s="4">
        <v>27.3939583416666</v>
      </c>
      <c r="AA176">
        <v>13.25</v>
      </c>
      <c r="AB176" s="5">
        <f t="shared" si="71"/>
        <v>14.1439583416666</v>
      </c>
      <c r="AC176">
        <v>33.93</v>
      </c>
      <c r="AD176" s="3">
        <f t="shared" si="72"/>
        <v>0.416857009775025</v>
      </c>
      <c r="AF176" s="6">
        <v>3.57</v>
      </c>
      <c r="AG176">
        <v>2.09</v>
      </c>
      <c r="AH176" s="5">
        <f t="shared" si="73"/>
        <v>1.48</v>
      </c>
      <c r="AI176">
        <v>3.85</v>
      </c>
      <c r="AJ176" s="3">
        <f t="shared" si="74"/>
        <v>0.384415584415584</v>
      </c>
      <c r="AL176" s="4">
        <v>7.86</v>
      </c>
      <c r="AM176">
        <v>6.1</v>
      </c>
      <c r="AN176" s="5">
        <f t="shared" si="75"/>
        <v>1.76</v>
      </c>
      <c r="AO176">
        <v>1.89</v>
      </c>
      <c r="AP176" s="3">
        <f t="shared" si="76"/>
        <v>0.931216931216932</v>
      </c>
      <c r="AR176" s="4">
        <v>0.77125004166667</v>
      </c>
      <c r="AS176">
        <v>0.02</v>
      </c>
      <c r="AT176" s="5">
        <f t="shared" si="77"/>
        <v>0.75125004166667</v>
      </c>
      <c r="AU176">
        <v>2.84</v>
      </c>
      <c r="AV176" s="3">
        <f t="shared" si="78"/>
        <v>0.264524662558687</v>
      </c>
      <c r="AX176" s="4">
        <v>8.2879333125</v>
      </c>
      <c r="AY176">
        <v>3.44</v>
      </c>
      <c r="AZ176" s="5">
        <f t="shared" si="79"/>
        <v>4.8479333125</v>
      </c>
      <c r="BA176">
        <v>29.17</v>
      </c>
      <c r="BB176" s="3">
        <f t="shared" si="80"/>
        <v>0.166195862615701</v>
      </c>
      <c r="BD176" s="4">
        <v>0.523333341666667</v>
      </c>
      <c r="BE176">
        <v>0.17</v>
      </c>
      <c r="BF176" s="5">
        <f t="shared" si="81"/>
        <v>0.353333341666667</v>
      </c>
      <c r="BG176">
        <v>4</v>
      </c>
      <c r="BH176" s="3">
        <f t="shared" si="82"/>
        <v>0.0883333354166667</v>
      </c>
      <c r="BJ176" s="9">
        <v>6.32999994166666</v>
      </c>
      <c r="BK176">
        <v>4.8</v>
      </c>
      <c r="BL176" s="5">
        <f t="shared" si="83"/>
        <v>1.52999994166666</v>
      </c>
      <c r="BM176">
        <v>8.9</v>
      </c>
      <c r="BN176" s="3">
        <f t="shared" si="84"/>
        <v>0.171910105805243</v>
      </c>
      <c r="BP176" s="9">
        <v>0.273116666666667</v>
      </c>
      <c r="BQ176">
        <v>0.09</v>
      </c>
      <c r="BR176" s="5">
        <f t="shared" si="85"/>
        <v>0.183116666666667</v>
      </c>
      <c r="BS176">
        <v>0.43</v>
      </c>
      <c r="BT176" s="3">
        <f t="shared" si="86"/>
        <v>0.425852713178295</v>
      </c>
      <c r="BV176" s="4">
        <v>7.13830840833333</v>
      </c>
      <c r="BW176">
        <v>6.18</v>
      </c>
      <c r="BX176" s="5">
        <f t="shared" si="87"/>
        <v>0.95830840833333</v>
      </c>
      <c r="BY176">
        <v>1.68</v>
      </c>
      <c r="BZ176" s="3">
        <f t="shared" si="88"/>
        <v>0.570421671626982</v>
      </c>
      <c r="CB176" s="10">
        <v>108.3</v>
      </c>
      <c r="CC176">
        <v>54.3</v>
      </c>
      <c r="CD176" s="12">
        <f t="shared" si="89"/>
        <v>54</v>
      </c>
      <c r="CE176">
        <v>71.3</v>
      </c>
      <c r="CF176" s="3">
        <f t="shared" si="90"/>
        <v>0.757363253856942</v>
      </c>
      <c r="CH176" s="13">
        <v>28.7</v>
      </c>
      <c r="CI176">
        <v>22.6</v>
      </c>
      <c r="CJ176">
        <f t="shared" si="91"/>
        <v>6.1</v>
      </c>
      <c r="CK176">
        <v>25.1</v>
      </c>
      <c r="CL176">
        <f t="shared" si="92"/>
        <v>0.243027888446215</v>
      </c>
      <c r="CN176" s="10">
        <v>5.5</v>
      </c>
      <c r="CO176">
        <v>3</v>
      </c>
      <c r="CP176" s="12">
        <f t="shared" si="93"/>
        <v>2.5</v>
      </c>
      <c r="CQ176">
        <v>3.4</v>
      </c>
      <c r="CR176" s="3">
        <f t="shared" si="94"/>
        <v>0.735294117647059</v>
      </c>
    </row>
    <row r="177" spans="2:96">
      <c r="B177" s="1">
        <v>38546</v>
      </c>
      <c r="C177">
        <v>32416</v>
      </c>
      <c r="D177" s="2">
        <f t="shared" si="95"/>
        <v>6130</v>
      </c>
      <c r="E177">
        <v>31904</v>
      </c>
      <c r="F177" s="3">
        <f t="shared" si="64"/>
        <v>0.192138916750251</v>
      </c>
      <c r="H177" s="1">
        <v>38001</v>
      </c>
      <c r="I177">
        <v>31145</v>
      </c>
      <c r="J177" s="2">
        <f t="shared" si="65"/>
        <v>6856</v>
      </c>
      <c r="K177">
        <v>32760</v>
      </c>
      <c r="L177" s="3">
        <f t="shared" si="66"/>
        <v>0.209279609279609</v>
      </c>
      <c r="N177" s="4">
        <v>268.213336941667</v>
      </c>
      <c r="O177">
        <v>201.27</v>
      </c>
      <c r="P177" s="5">
        <f t="shared" si="67"/>
        <v>66.943336941667</v>
      </c>
      <c r="Q177">
        <v>79.69</v>
      </c>
      <c r="R177" s="3">
        <f t="shared" si="68"/>
        <v>0.840046893483085</v>
      </c>
      <c r="T177" s="4">
        <v>162.5166668875</v>
      </c>
      <c r="U177">
        <v>100.23</v>
      </c>
      <c r="V177" s="5">
        <f t="shared" si="69"/>
        <v>62.2866668875</v>
      </c>
      <c r="W177">
        <v>410.93</v>
      </c>
      <c r="X177" s="3">
        <f t="shared" si="70"/>
        <v>0.151574883526391</v>
      </c>
      <c r="Z177" s="4">
        <v>19.0689583333333</v>
      </c>
      <c r="AA177">
        <v>13.25</v>
      </c>
      <c r="AB177" s="5">
        <f t="shared" si="71"/>
        <v>5.8189583333333</v>
      </c>
      <c r="AC177">
        <v>33.93</v>
      </c>
      <c r="AD177" s="3">
        <f t="shared" si="72"/>
        <v>0.171498919343746</v>
      </c>
      <c r="AF177" s="6">
        <v>4.38</v>
      </c>
      <c r="AG177">
        <v>2.09</v>
      </c>
      <c r="AH177" s="5">
        <f t="shared" si="73"/>
        <v>2.29</v>
      </c>
      <c r="AI177">
        <v>3.85</v>
      </c>
      <c r="AJ177" s="3">
        <f t="shared" si="74"/>
        <v>0.594805194805195</v>
      </c>
      <c r="AL177" s="4">
        <v>7.78</v>
      </c>
      <c r="AM177">
        <v>6.1</v>
      </c>
      <c r="AN177" s="5">
        <f t="shared" si="75"/>
        <v>1.68</v>
      </c>
      <c r="AO177">
        <v>1.89</v>
      </c>
      <c r="AP177" s="3">
        <f t="shared" si="76"/>
        <v>0.888888888888889</v>
      </c>
      <c r="AR177" s="4">
        <v>1.60083335416667</v>
      </c>
      <c r="AS177">
        <v>0.02</v>
      </c>
      <c r="AT177" s="5">
        <f t="shared" si="77"/>
        <v>1.58083335416667</v>
      </c>
      <c r="AU177">
        <v>2.84</v>
      </c>
      <c r="AV177" s="3">
        <f t="shared" si="78"/>
        <v>0.556631462734743</v>
      </c>
      <c r="AX177" s="4">
        <v>15.6333334458333</v>
      </c>
      <c r="AY177">
        <v>3.44</v>
      </c>
      <c r="AZ177" s="5">
        <f t="shared" si="79"/>
        <v>12.1933334458333</v>
      </c>
      <c r="BA177">
        <v>29.17</v>
      </c>
      <c r="BB177" s="3">
        <f t="shared" si="80"/>
        <v>0.418009374214374</v>
      </c>
      <c r="BD177" s="4">
        <v>0.351916666666667</v>
      </c>
      <c r="BE177">
        <v>0.17</v>
      </c>
      <c r="BF177" s="5">
        <f t="shared" si="81"/>
        <v>0.181916666666667</v>
      </c>
      <c r="BG177">
        <v>4</v>
      </c>
      <c r="BH177" s="3">
        <f t="shared" si="82"/>
        <v>0.0454791666666667</v>
      </c>
      <c r="BJ177" s="9">
        <v>8.07941665833333</v>
      </c>
      <c r="BK177">
        <v>4.8</v>
      </c>
      <c r="BL177" s="5">
        <f t="shared" si="83"/>
        <v>3.27941665833333</v>
      </c>
      <c r="BM177">
        <v>8.9</v>
      </c>
      <c r="BN177" s="3">
        <f t="shared" si="84"/>
        <v>0.368473781835206</v>
      </c>
      <c r="BP177" s="9">
        <v>0.269725</v>
      </c>
      <c r="BQ177">
        <v>0.09</v>
      </c>
      <c r="BR177" s="5">
        <f t="shared" si="85"/>
        <v>0.179725</v>
      </c>
      <c r="BS177">
        <v>0.43</v>
      </c>
      <c r="BT177" s="3">
        <f t="shared" si="86"/>
        <v>0.41796511627907</v>
      </c>
      <c r="BV177" s="4">
        <v>7.15610005</v>
      </c>
      <c r="BW177">
        <v>6.18</v>
      </c>
      <c r="BX177" s="5">
        <f t="shared" si="87"/>
        <v>0.97610005</v>
      </c>
      <c r="BY177">
        <v>1.68</v>
      </c>
      <c r="BZ177" s="3">
        <f t="shared" si="88"/>
        <v>0.58101193452381</v>
      </c>
      <c r="CB177" s="10">
        <v>107.2</v>
      </c>
      <c r="CC177">
        <v>54.3</v>
      </c>
      <c r="CD177" s="12">
        <f t="shared" si="89"/>
        <v>52.9</v>
      </c>
      <c r="CE177">
        <v>71.3</v>
      </c>
      <c r="CF177" s="3">
        <f t="shared" si="90"/>
        <v>0.741935483870968</v>
      </c>
      <c r="CH177" s="13">
        <v>27.9</v>
      </c>
      <c r="CI177">
        <v>22.6</v>
      </c>
      <c r="CJ177">
        <f t="shared" si="91"/>
        <v>5.3</v>
      </c>
      <c r="CK177">
        <v>25.1</v>
      </c>
      <c r="CL177">
        <f t="shared" si="92"/>
        <v>0.211155378486056</v>
      </c>
      <c r="CN177" s="10">
        <v>5.2</v>
      </c>
      <c r="CO177">
        <v>3</v>
      </c>
      <c r="CP177" s="12">
        <f t="shared" si="93"/>
        <v>2.2</v>
      </c>
      <c r="CQ177">
        <v>3.4</v>
      </c>
      <c r="CR177" s="3">
        <f t="shared" si="94"/>
        <v>0.647058823529412</v>
      </c>
    </row>
    <row r="178" spans="2:96">
      <c r="B178" s="1">
        <v>36891</v>
      </c>
      <c r="C178">
        <v>32416</v>
      </c>
      <c r="D178" s="2">
        <f t="shared" si="95"/>
        <v>4475</v>
      </c>
      <c r="E178">
        <v>31904</v>
      </c>
      <c r="F178" s="3">
        <f t="shared" si="64"/>
        <v>0.140264543630893</v>
      </c>
      <c r="H178" s="1">
        <v>36433</v>
      </c>
      <c r="I178">
        <v>31145</v>
      </c>
      <c r="J178" s="2">
        <f t="shared" si="65"/>
        <v>5288</v>
      </c>
      <c r="K178">
        <v>32760</v>
      </c>
      <c r="L178" s="3">
        <f t="shared" si="66"/>
        <v>0.161416361416361</v>
      </c>
      <c r="N178" s="4">
        <v>274.099999741667</v>
      </c>
      <c r="O178">
        <v>201.27</v>
      </c>
      <c r="P178" s="5">
        <f t="shared" si="67"/>
        <v>72.829999741667</v>
      </c>
      <c r="Q178">
        <v>79.69</v>
      </c>
      <c r="R178" s="3">
        <f t="shared" si="68"/>
        <v>0.913916422909612</v>
      </c>
      <c r="T178" s="4">
        <v>200.254167395833</v>
      </c>
      <c r="U178">
        <v>100.23</v>
      </c>
      <c r="V178" s="5">
        <f t="shared" si="69"/>
        <v>100.024167395833</v>
      </c>
      <c r="W178">
        <v>410.93</v>
      </c>
      <c r="X178" s="3">
        <f t="shared" si="70"/>
        <v>0.243409260447845</v>
      </c>
      <c r="Z178" s="4">
        <v>18.0347916666666</v>
      </c>
      <c r="AA178">
        <v>13.25</v>
      </c>
      <c r="AB178" s="5">
        <f t="shared" si="71"/>
        <v>4.7847916666666</v>
      </c>
      <c r="AC178">
        <v>33.93</v>
      </c>
      <c r="AD178" s="3">
        <f t="shared" si="72"/>
        <v>0.141019500933292</v>
      </c>
      <c r="AF178" s="7">
        <v>3.28</v>
      </c>
      <c r="AG178">
        <v>2.09</v>
      </c>
      <c r="AH178" s="5">
        <f t="shared" si="73"/>
        <v>1.19</v>
      </c>
      <c r="AI178">
        <v>3.85</v>
      </c>
      <c r="AJ178" s="3">
        <f t="shared" si="74"/>
        <v>0.309090909090909</v>
      </c>
      <c r="AL178" s="4">
        <v>7.76</v>
      </c>
      <c r="AM178">
        <v>6.1</v>
      </c>
      <c r="AN178" s="5">
        <f t="shared" si="75"/>
        <v>1.66</v>
      </c>
      <c r="AO178">
        <v>1.89</v>
      </c>
      <c r="AP178" s="3">
        <f t="shared" si="76"/>
        <v>0.878306878306878</v>
      </c>
      <c r="AR178" s="4">
        <v>1.621875025</v>
      </c>
      <c r="AS178">
        <v>0.02</v>
      </c>
      <c r="AT178" s="5">
        <f t="shared" si="77"/>
        <v>1.601875025</v>
      </c>
      <c r="AU178">
        <v>2.84</v>
      </c>
      <c r="AV178" s="3">
        <f t="shared" si="78"/>
        <v>0.564040501760563</v>
      </c>
      <c r="AX178" s="4">
        <v>16.4922000333333</v>
      </c>
      <c r="AY178">
        <v>3.44</v>
      </c>
      <c r="AZ178" s="5">
        <f t="shared" si="79"/>
        <v>13.0522000333333</v>
      </c>
      <c r="BA178">
        <v>29.17</v>
      </c>
      <c r="BB178" s="3">
        <f t="shared" si="80"/>
        <v>0.447452863672722</v>
      </c>
      <c r="BD178" s="4">
        <v>0.312</v>
      </c>
      <c r="BE178">
        <v>0.17</v>
      </c>
      <c r="BF178" s="5">
        <f t="shared" si="81"/>
        <v>0.142</v>
      </c>
      <c r="BG178">
        <v>4</v>
      </c>
      <c r="BH178" s="3">
        <f t="shared" si="82"/>
        <v>0.0355</v>
      </c>
      <c r="BJ178" s="4">
        <v>12.4578333458333</v>
      </c>
      <c r="BK178">
        <v>4.8</v>
      </c>
      <c r="BL178" s="5">
        <f t="shared" si="83"/>
        <v>7.6578333458333</v>
      </c>
      <c r="BM178">
        <v>8.9</v>
      </c>
      <c r="BN178" s="3">
        <f t="shared" si="84"/>
        <v>0.860430713014978</v>
      </c>
      <c r="BP178" s="4">
        <v>0.2722</v>
      </c>
      <c r="BQ178">
        <v>0.09</v>
      </c>
      <c r="BR178" s="5">
        <f t="shared" si="85"/>
        <v>0.1822</v>
      </c>
      <c r="BS178">
        <v>0.43</v>
      </c>
      <c r="BT178" s="3">
        <f t="shared" si="86"/>
        <v>0.423720930232558</v>
      </c>
      <c r="BV178" s="4">
        <v>7.16432498333333</v>
      </c>
      <c r="BW178">
        <v>6.18</v>
      </c>
      <c r="BX178" s="5">
        <f t="shared" si="87"/>
        <v>0.98432498333333</v>
      </c>
      <c r="BY178">
        <v>1.68</v>
      </c>
      <c r="BZ178" s="3">
        <f t="shared" si="88"/>
        <v>0.585907728174601</v>
      </c>
      <c r="CB178" s="10">
        <v>109.4</v>
      </c>
      <c r="CC178">
        <v>54.3</v>
      </c>
      <c r="CD178" s="12">
        <f t="shared" si="89"/>
        <v>55.1</v>
      </c>
      <c r="CE178">
        <v>71.3</v>
      </c>
      <c r="CF178" s="3">
        <f t="shared" si="90"/>
        <v>0.772791023842917</v>
      </c>
      <c r="CH178" s="13">
        <v>25.6</v>
      </c>
      <c r="CI178">
        <v>22.6</v>
      </c>
      <c r="CJ178">
        <f t="shared" si="91"/>
        <v>3</v>
      </c>
      <c r="CK178">
        <v>25.1</v>
      </c>
      <c r="CL178">
        <f t="shared" si="92"/>
        <v>0.119521912350598</v>
      </c>
      <c r="CN178" s="10">
        <v>5.4</v>
      </c>
      <c r="CO178">
        <v>3</v>
      </c>
      <c r="CP178" s="12">
        <f t="shared" si="93"/>
        <v>2.4</v>
      </c>
      <c r="CQ178">
        <v>3.4</v>
      </c>
      <c r="CR178" s="3">
        <f t="shared" si="94"/>
        <v>0.705882352941177</v>
      </c>
    </row>
    <row r="179" spans="2:96">
      <c r="B179" s="1">
        <v>42658</v>
      </c>
      <c r="C179">
        <v>32416</v>
      </c>
      <c r="D179" s="2">
        <f t="shared" si="95"/>
        <v>10242</v>
      </c>
      <c r="E179">
        <v>31904</v>
      </c>
      <c r="F179" s="3">
        <f t="shared" si="64"/>
        <v>0.321025576730191</v>
      </c>
      <c r="H179" s="1">
        <v>42357</v>
      </c>
      <c r="I179">
        <v>31145</v>
      </c>
      <c r="J179" s="2">
        <f t="shared" si="65"/>
        <v>11212</v>
      </c>
      <c r="K179">
        <v>32760</v>
      </c>
      <c r="L179" s="3">
        <f t="shared" si="66"/>
        <v>0.342246642246642</v>
      </c>
      <c r="N179" s="4">
        <v>267.423329670833</v>
      </c>
      <c r="O179">
        <v>201.27</v>
      </c>
      <c r="P179" s="5">
        <f t="shared" si="67"/>
        <v>66.153329670833</v>
      </c>
      <c r="Q179">
        <v>79.69</v>
      </c>
      <c r="R179" s="3">
        <f t="shared" si="68"/>
        <v>0.830133387762994</v>
      </c>
      <c r="T179" s="4">
        <v>151.4666659125</v>
      </c>
      <c r="U179">
        <v>100.23</v>
      </c>
      <c r="V179" s="5">
        <f t="shared" si="69"/>
        <v>51.2366659125</v>
      </c>
      <c r="W179">
        <v>410.93</v>
      </c>
      <c r="X179" s="3">
        <f t="shared" si="70"/>
        <v>0.12468465654126</v>
      </c>
      <c r="Z179" s="4">
        <v>16.852291675</v>
      </c>
      <c r="AA179">
        <v>13.25</v>
      </c>
      <c r="AB179" s="5">
        <f t="shared" si="71"/>
        <v>3.602291675</v>
      </c>
      <c r="AC179">
        <v>33.93</v>
      </c>
      <c r="AD179" s="3">
        <f t="shared" si="72"/>
        <v>0.106168337017389</v>
      </c>
      <c r="AF179" s="6">
        <v>4.01</v>
      </c>
      <c r="AG179">
        <v>2.09</v>
      </c>
      <c r="AH179" s="5">
        <f t="shared" si="73"/>
        <v>1.92</v>
      </c>
      <c r="AI179">
        <v>3.85</v>
      </c>
      <c r="AJ179" s="3">
        <f t="shared" si="74"/>
        <v>0.498701298701299</v>
      </c>
      <c r="AL179" s="4">
        <v>7.81</v>
      </c>
      <c r="AM179">
        <v>6.1</v>
      </c>
      <c r="AN179" s="5">
        <f t="shared" si="75"/>
        <v>1.71</v>
      </c>
      <c r="AO179">
        <v>1.89</v>
      </c>
      <c r="AP179" s="3">
        <f t="shared" si="76"/>
        <v>0.904761904761905</v>
      </c>
      <c r="AR179" s="4">
        <v>1.24125012083333</v>
      </c>
      <c r="AS179">
        <v>0.02</v>
      </c>
      <c r="AT179" s="5">
        <f t="shared" si="77"/>
        <v>1.22125012083333</v>
      </c>
      <c r="AU179">
        <v>2.84</v>
      </c>
      <c r="AV179" s="3">
        <f t="shared" si="78"/>
        <v>0.43001764818075</v>
      </c>
      <c r="AX179" s="4">
        <v>8.82180004166666</v>
      </c>
      <c r="AY179">
        <v>3.44</v>
      </c>
      <c r="AZ179" s="5">
        <f t="shared" si="79"/>
        <v>5.38180004166666</v>
      </c>
      <c r="BA179">
        <v>29.17</v>
      </c>
      <c r="BB179" s="3">
        <f t="shared" si="80"/>
        <v>0.184497773111644</v>
      </c>
      <c r="BD179" s="4">
        <v>0.6498333375</v>
      </c>
      <c r="BE179">
        <v>0.17</v>
      </c>
      <c r="BF179" s="5">
        <f t="shared" si="81"/>
        <v>0.4798333375</v>
      </c>
      <c r="BG179">
        <v>4</v>
      </c>
      <c r="BH179" s="3">
        <f t="shared" si="82"/>
        <v>0.119958334375</v>
      </c>
      <c r="BJ179" s="4">
        <v>8.18991672083333</v>
      </c>
      <c r="BK179">
        <v>4.8</v>
      </c>
      <c r="BL179" s="5">
        <f t="shared" si="83"/>
        <v>3.38991672083333</v>
      </c>
      <c r="BM179">
        <v>8.9</v>
      </c>
      <c r="BN179" s="3">
        <f t="shared" si="84"/>
        <v>0.380889519194756</v>
      </c>
      <c r="BP179" s="4">
        <v>0.28155</v>
      </c>
      <c r="BQ179">
        <v>0.09</v>
      </c>
      <c r="BR179" s="5">
        <f t="shared" si="85"/>
        <v>0.19155</v>
      </c>
      <c r="BS179">
        <v>0.43</v>
      </c>
      <c r="BT179" s="3">
        <f t="shared" si="86"/>
        <v>0.44546511627907</v>
      </c>
      <c r="BV179" s="4">
        <v>7.13527502083333</v>
      </c>
      <c r="BW179">
        <v>6.18</v>
      </c>
      <c r="BX179" s="5">
        <f t="shared" si="87"/>
        <v>0.95527502083333</v>
      </c>
      <c r="BY179">
        <v>1.68</v>
      </c>
      <c r="BZ179" s="3">
        <f t="shared" si="88"/>
        <v>0.568616083829363</v>
      </c>
      <c r="CB179" s="10">
        <v>107.6</v>
      </c>
      <c r="CC179">
        <v>54.3</v>
      </c>
      <c r="CD179" s="12">
        <f t="shared" si="89"/>
        <v>53.3</v>
      </c>
      <c r="CE179">
        <v>71.3</v>
      </c>
      <c r="CF179" s="3">
        <f t="shared" si="90"/>
        <v>0.747545582047686</v>
      </c>
      <c r="CH179" s="13">
        <v>24.3</v>
      </c>
      <c r="CI179">
        <v>22.6</v>
      </c>
      <c r="CJ179">
        <f t="shared" si="91"/>
        <v>1.7</v>
      </c>
      <c r="CK179">
        <v>25.1</v>
      </c>
      <c r="CL179">
        <f t="shared" si="92"/>
        <v>0.0677290836653386</v>
      </c>
      <c r="CN179" s="11">
        <v>5.7</v>
      </c>
      <c r="CO179">
        <v>3</v>
      </c>
      <c r="CP179" s="12">
        <f t="shared" si="93"/>
        <v>2.7</v>
      </c>
      <c r="CQ179">
        <v>3.4</v>
      </c>
      <c r="CR179" s="3">
        <f t="shared" si="94"/>
        <v>0.794117647058824</v>
      </c>
    </row>
    <row r="180" spans="2:96">
      <c r="B180" s="1">
        <v>52557</v>
      </c>
      <c r="C180">
        <v>32416</v>
      </c>
      <c r="D180" s="2">
        <f t="shared" si="95"/>
        <v>20141</v>
      </c>
      <c r="E180">
        <v>31904</v>
      </c>
      <c r="F180" s="3">
        <f t="shared" si="64"/>
        <v>0.631300150451354</v>
      </c>
      <c r="H180" s="1">
        <v>52266</v>
      </c>
      <c r="I180">
        <v>31145</v>
      </c>
      <c r="J180" s="2">
        <f t="shared" si="65"/>
        <v>21121</v>
      </c>
      <c r="K180">
        <v>32760</v>
      </c>
      <c r="L180" s="3">
        <f t="shared" si="66"/>
        <v>0.64471916971917</v>
      </c>
      <c r="N180" s="4">
        <v>261.069998420833</v>
      </c>
      <c r="O180">
        <v>201.27</v>
      </c>
      <c r="P180" s="5">
        <f t="shared" si="67"/>
        <v>59.799998420833</v>
      </c>
      <c r="Q180">
        <v>79.69</v>
      </c>
      <c r="R180" s="3">
        <f t="shared" si="68"/>
        <v>0.750407810526201</v>
      </c>
      <c r="T180" s="4">
        <v>166.5708333625</v>
      </c>
      <c r="U180">
        <v>100.23</v>
      </c>
      <c r="V180" s="5">
        <f t="shared" si="69"/>
        <v>66.3408333625</v>
      </c>
      <c r="W180">
        <v>410.93</v>
      </c>
      <c r="X180" s="3">
        <f t="shared" si="70"/>
        <v>0.161440715845764</v>
      </c>
      <c r="Z180" s="4">
        <v>14.1399999958333</v>
      </c>
      <c r="AA180">
        <v>13.25</v>
      </c>
      <c r="AB180" s="5">
        <f t="shared" si="71"/>
        <v>0.8899999958333</v>
      </c>
      <c r="AC180">
        <v>33.93</v>
      </c>
      <c r="AD180" s="3">
        <f t="shared" si="72"/>
        <v>0.0262304743835337</v>
      </c>
      <c r="AF180" s="6">
        <v>5.05</v>
      </c>
      <c r="AG180">
        <v>2.09</v>
      </c>
      <c r="AH180" s="5">
        <f t="shared" si="73"/>
        <v>2.96</v>
      </c>
      <c r="AI180">
        <v>3.85</v>
      </c>
      <c r="AJ180" s="3">
        <f t="shared" si="74"/>
        <v>0.768831168831169</v>
      </c>
      <c r="AL180" s="4">
        <v>7.85</v>
      </c>
      <c r="AM180">
        <v>6.1</v>
      </c>
      <c r="AN180" s="5">
        <f t="shared" si="75"/>
        <v>1.75</v>
      </c>
      <c r="AO180">
        <v>1.89</v>
      </c>
      <c r="AP180" s="3">
        <f t="shared" si="76"/>
        <v>0.925925925925926</v>
      </c>
      <c r="AR180" s="4">
        <v>1.65791668333333</v>
      </c>
      <c r="AS180">
        <v>0.02</v>
      </c>
      <c r="AT180" s="5">
        <f t="shared" si="77"/>
        <v>1.63791668333333</v>
      </c>
      <c r="AU180">
        <v>2.84</v>
      </c>
      <c r="AV180" s="3">
        <f t="shared" si="78"/>
        <v>0.57673122652582</v>
      </c>
      <c r="AX180" s="4">
        <v>9.076600025</v>
      </c>
      <c r="AY180">
        <v>3.44</v>
      </c>
      <c r="AZ180" s="5">
        <f t="shared" si="79"/>
        <v>5.636600025</v>
      </c>
      <c r="BA180">
        <v>29.17</v>
      </c>
      <c r="BB180" s="3">
        <f t="shared" si="80"/>
        <v>0.193232774254371</v>
      </c>
      <c r="BD180" s="4">
        <v>0.8281666625</v>
      </c>
      <c r="BE180">
        <v>0.17</v>
      </c>
      <c r="BF180" s="5">
        <f t="shared" si="81"/>
        <v>0.6581666625</v>
      </c>
      <c r="BG180">
        <v>4</v>
      </c>
      <c r="BH180" s="3">
        <f t="shared" si="82"/>
        <v>0.164541665625</v>
      </c>
      <c r="BJ180" s="4">
        <v>7.2947499625</v>
      </c>
      <c r="BK180">
        <v>4.8</v>
      </c>
      <c r="BL180" s="5">
        <f t="shared" si="83"/>
        <v>2.4947499625</v>
      </c>
      <c r="BM180">
        <v>8.9</v>
      </c>
      <c r="BN180" s="3">
        <f t="shared" si="84"/>
        <v>0.280308984550562</v>
      </c>
      <c r="BP180" s="4">
        <v>0.30375</v>
      </c>
      <c r="BQ180">
        <v>0.09</v>
      </c>
      <c r="BR180" s="5">
        <f t="shared" si="85"/>
        <v>0.21375</v>
      </c>
      <c r="BS180">
        <v>0.43</v>
      </c>
      <c r="BT180" s="3">
        <f t="shared" si="86"/>
        <v>0.497093023255814</v>
      </c>
      <c r="BV180" s="4">
        <v>7.1048833875</v>
      </c>
      <c r="BW180">
        <v>6.18</v>
      </c>
      <c r="BX180" s="5">
        <f t="shared" si="87"/>
        <v>0.9248833875</v>
      </c>
      <c r="BY180">
        <v>1.68</v>
      </c>
      <c r="BZ180" s="3">
        <f t="shared" si="88"/>
        <v>0.550525825892857</v>
      </c>
      <c r="CB180" s="10">
        <v>108.1</v>
      </c>
      <c r="CC180">
        <v>54.3</v>
      </c>
      <c r="CD180" s="12">
        <f t="shared" si="89"/>
        <v>53.8</v>
      </c>
      <c r="CE180">
        <v>71.3</v>
      </c>
      <c r="CF180" s="3">
        <f t="shared" si="90"/>
        <v>0.754558204768583</v>
      </c>
      <c r="CH180" s="13">
        <v>25.7</v>
      </c>
      <c r="CI180">
        <v>22.6</v>
      </c>
      <c r="CJ180">
        <f t="shared" si="91"/>
        <v>3.1</v>
      </c>
      <c r="CK180">
        <v>25.1</v>
      </c>
      <c r="CL180">
        <f t="shared" si="92"/>
        <v>0.123505976095617</v>
      </c>
      <c r="CN180" s="10">
        <v>5.8</v>
      </c>
      <c r="CO180">
        <v>3</v>
      </c>
      <c r="CP180" s="12">
        <f t="shared" si="93"/>
        <v>2.8</v>
      </c>
      <c r="CQ180">
        <v>3.4</v>
      </c>
      <c r="CR180" s="3">
        <f t="shared" si="94"/>
        <v>0.823529411764706</v>
      </c>
    </row>
    <row r="181" spans="2:96">
      <c r="B181" s="1">
        <v>57324</v>
      </c>
      <c r="C181">
        <v>32416</v>
      </c>
      <c r="D181" s="2">
        <f t="shared" si="95"/>
        <v>24908</v>
      </c>
      <c r="E181">
        <v>31904</v>
      </c>
      <c r="F181" s="3">
        <f t="shared" si="64"/>
        <v>0.780717151454363</v>
      </c>
      <c r="H181" s="1">
        <v>57165</v>
      </c>
      <c r="I181">
        <v>31145</v>
      </c>
      <c r="J181" s="2">
        <f t="shared" si="65"/>
        <v>26020</v>
      </c>
      <c r="K181">
        <v>32760</v>
      </c>
      <c r="L181" s="3">
        <f t="shared" si="66"/>
        <v>0.794261294261294</v>
      </c>
      <c r="N181" s="4">
        <v>269.516666408333</v>
      </c>
      <c r="O181">
        <v>201.27</v>
      </c>
      <c r="P181" s="5">
        <f t="shared" si="67"/>
        <v>68.246666408333</v>
      </c>
      <c r="Q181">
        <v>79.69</v>
      </c>
      <c r="R181" s="3">
        <f t="shared" si="68"/>
        <v>0.856401887417907</v>
      </c>
      <c r="T181" s="4">
        <v>131.7249999</v>
      </c>
      <c r="U181">
        <v>100.23</v>
      </c>
      <c r="V181" s="5">
        <f t="shared" si="69"/>
        <v>31.4949999</v>
      </c>
      <c r="W181">
        <v>410.93</v>
      </c>
      <c r="X181" s="3">
        <f t="shared" si="70"/>
        <v>0.0766432236633977</v>
      </c>
      <c r="Z181" s="4">
        <v>13.2485416666666</v>
      </c>
      <c r="AA181">
        <v>13.25</v>
      </c>
      <c r="AB181" s="5">
        <f t="shared" si="71"/>
        <v>-0.00145833333339951</v>
      </c>
      <c r="AC181">
        <v>33.93</v>
      </c>
      <c r="AD181" s="3">
        <f t="shared" si="72"/>
        <v>-4.29806464308726e-5</v>
      </c>
      <c r="AF181" s="4">
        <v>4.33</v>
      </c>
      <c r="AG181">
        <v>2.09</v>
      </c>
      <c r="AH181" s="5">
        <f t="shared" si="73"/>
        <v>2.24</v>
      </c>
      <c r="AI181">
        <v>3.85</v>
      </c>
      <c r="AJ181" s="3">
        <f t="shared" si="74"/>
        <v>0.581818181818182</v>
      </c>
      <c r="AL181" s="4">
        <v>7.92</v>
      </c>
      <c r="AM181">
        <v>6.1</v>
      </c>
      <c r="AN181" s="5">
        <f t="shared" si="75"/>
        <v>1.82</v>
      </c>
      <c r="AO181">
        <v>1.89</v>
      </c>
      <c r="AP181" s="3">
        <f t="shared" si="76"/>
        <v>0.962962962962963</v>
      </c>
      <c r="AR181" s="4">
        <v>1.06062497083333</v>
      </c>
      <c r="AS181">
        <v>0.02</v>
      </c>
      <c r="AT181" s="5">
        <f t="shared" si="77"/>
        <v>1.04062497083333</v>
      </c>
      <c r="AU181">
        <v>2.84</v>
      </c>
      <c r="AV181" s="3">
        <f t="shared" si="78"/>
        <v>0.366417243251173</v>
      </c>
      <c r="AX181" s="4">
        <v>16.1429332833333</v>
      </c>
      <c r="AY181">
        <v>3.44</v>
      </c>
      <c r="AZ181" s="5">
        <f t="shared" si="79"/>
        <v>12.7029332833333</v>
      </c>
      <c r="BA181">
        <v>29.17</v>
      </c>
      <c r="BB181" s="3">
        <f t="shared" si="80"/>
        <v>0.435479372071762</v>
      </c>
      <c r="BD181" s="4">
        <v>0.318916666666667</v>
      </c>
      <c r="BE181">
        <v>0.17</v>
      </c>
      <c r="BF181" s="5">
        <f t="shared" si="81"/>
        <v>0.148916666666667</v>
      </c>
      <c r="BG181">
        <v>4</v>
      </c>
      <c r="BH181" s="3">
        <f t="shared" si="82"/>
        <v>0.0372291666666668</v>
      </c>
      <c r="BJ181" s="4">
        <v>6.88349997916667</v>
      </c>
      <c r="BK181">
        <v>4.8</v>
      </c>
      <c r="BL181" s="5">
        <f t="shared" si="83"/>
        <v>2.08349997916667</v>
      </c>
      <c r="BM181">
        <v>8.9</v>
      </c>
      <c r="BN181" s="3">
        <f t="shared" si="84"/>
        <v>0.234101121254682</v>
      </c>
      <c r="BP181" s="4">
        <v>0.28275</v>
      </c>
      <c r="BQ181">
        <v>0.09</v>
      </c>
      <c r="BR181" s="5">
        <f t="shared" si="85"/>
        <v>0.19275</v>
      </c>
      <c r="BS181">
        <v>0.43</v>
      </c>
      <c r="BT181" s="3">
        <f t="shared" si="86"/>
        <v>0.448255813953488</v>
      </c>
      <c r="BV181" s="4">
        <v>7.0586249</v>
      </c>
      <c r="BW181">
        <v>6.18</v>
      </c>
      <c r="BX181" s="5">
        <f t="shared" si="87"/>
        <v>0.8786249</v>
      </c>
      <c r="BY181">
        <v>1.68</v>
      </c>
      <c r="BZ181" s="3">
        <f t="shared" si="88"/>
        <v>0.522991011904762</v>
      </c>
      <c r="CB181" s="10">
        <v>102.4</v>
      </c>
      <c r="CC181">
        <v>54.3</v>
      </c>
      <c r="CD181" s="12">
        <f t="shared" si="89"/>
        <v>48.1</v>
      </c>
      <c r="CE181">
        <v>71.3</v>
      </c>
      <c r="CF181" s="3">
        <f t="shared" si="90"/>
        <v>0.674614305750351</v>
      </c>
      <c r="CH181" s="13">
        <v>26.9</v>
      </c>
      <c r="CI181">
        <v>22.6</v>
      </c>
      <c r="CJ181">
        <f t="shared" si="91"/>
        <v>4.3</v>
      </c>
      <c r="CK181">
        <v>25.1</v>
      </c>
      <c r="CL181">
        <f t="shared" si="92"/>
        <v>0.171314741035856</v>
      </c>
      <c r="CN181" s="10">
        <v>5.3</v>
      </c>
      <c r="CO181">
        <v>3</v>
      </c>
      <c r="CP181" s="12">
        <f t="shared" si="93"/>
        <v>2.3</v>
      </c>
      <c r="CQ181">
        <v>3.4</v>
      </c>
      <c r="CR181" s="3">
        <f t="shared" si="94"/>
        <v>0.676470588235294</v>
      </c>
    </row>
    <row r="182" spans="2:96">
      <c r="B182" s="1">
        <v>57014</v>
      </c>
      <c r="C182">
        <v>32416</v>
      </c>
      <c r="D182" s="2">
        <f t="shared" si="95"/>
        <v>24598</v>
      </c>
      <c r="E182">
        <v>31904</v>
      </c>
      <c r="F182" s="3">
        <f t="shared" si="64"/>
        <v>0.771000501504513</v>
      </c>
      <c r="H182" s="1">
        <v>56973</v>
      </c>
      <c r="I182">
        <v>31145</v>
      </c>
      <c r="J182" s="2">
        <f t="shared" si="65"/>
        <v>25828</v>
      </c>
      <c r="K182">
        <v>32760</v>
      </c>
      <c r="L182" s="3">
        <f t="shared" si="66"/>
        <v>0.788400488400488</v>
      </c>
      <c r="N182" s="4">
        <v>258.426668158333</v>
      </c>
      <c r="O182">
        <v>201.27</v>
      </c>
      <c r="P182" s="5">
        <f t="shared" si="67"/>
        <v>57.156668158333</v>
      </c>
      <c r="Q182">
        <v>79.69</v>
      </c>
      <c r="R182" s="3">
        <f t="shared" si="68"/>
        <v>0.717237647864638</v>
      </c>
      <c r="T182" s="4">
        <v>129.625000158333</v>
      </c>
      <c r="U182">
        <v>100.23</v>
      </c>
      <c r="V182" s="5">
        <f t="shared" si="69"/>
        <v>29.395000158333</v>
      </c>
      <c r="W182">
        <v>410.93</v>
      </c>
      <c r="X182" s="3">
        <f t="shared" si="70"/>
        <v>0.071532864863439</v>
      </c>
      <c r="Z182" s="4">
        <v>16.5485416666666</v>
      </c>
      <c r="AA182">
        <v>13.25</v>
      </c>
      <c r="AB182" s="5">
        <f t="shared" si="71"/>
        <v>3.2985416666666</v>
      </c>
      <c r="AC182">
        <v>33.93</v>
      </c>
      <c r="AD182" s="3">
        <f t="shared" si="72"/>
        <v>0.0972160821298733</v>
      </c>
      <c r="AF182" s="4">
        <v>4.57</v>
      </c>
      <c r="AG182">
        <v>2.09</v>
      </c>
      <c r="AH182" s="5">
        <f t="shared" si="73"/>
        <v>2.48</v>
      </c>
      <c r="AI182">
        <v>3.85</v>
      </c>
      <c r="AJ182" s="3">
        <f t="shared" si="74"/>
        <v>0.644155844155844</v>
      </c>
      <c r="AL182" s="4">
        <v>7.85</v>
      </c>
      <c r="AM182">
        <v>6.1</v>
      </c>
      <c r="AN182" s="5">
        <f t="shared" si="75"/>
        <v>1.75</v>
      </c>
      <c r="AO182">
        <v>1.89</v>
      </c>
      <c r="AP182" s="3">
        <f t="shared" si="76"/>
        <v>0.925925925925926</v>
      </c>
      <c r="AR182" s="4">
        <v>1.12375</v>
      </c>
      <c r="AS182">
        <v>0.02</v>
      </c>
      <c r="AT182" s="5">
        <f t="shared" si="77"/>
        <v>1.10375</v>
      </c>
      <c r="AU182">
        <v>2.84</v>
      </c>
      <c r="AV182" s="3">
        <f t="shared" si="78"/>
        <v>0.388644366197183</v>
      </c>
      <c r="AX182" s="4">
        <v>15.3854667166666</v>
      </c>
      <c r="AY182">
        <v>3.44</v>
      </c>
      <c r="AZ182" s="5">
        <f t="shared" si="79"/>
        <v>11.9454667166666</v>
      </c>
      <c r="BA182">
        <v>29.17</v>
      </c>
      <c r="BB182" s="3">
        <f t="shared" si="80"/>
        <v>0.409512057479143</v>
      </c>
      <c r="BD182" s="4">
        <v>0.289</v>
      </c>
      <c r="BE182">
        <v>0.17</v>
      </c>
      <c r="BF182" s="5">
        <f t="shared" si="81"/>
        <v>0.119</v>
      </c>
      <c r="BG182">
        <v>4</v>
      </c>
      <c r="BH182" s="3">
        <f t="shared" si="82"/>
        <v>0.02975</v>
      </c>
      <c r="BJ182" s="4">
        <v>6.98783330833333</v>
      </c>
      <c r="BK182">
        <v>4.8</v>
      </c>
      <c r="BL182" s="5">
        <f t="shared" si="83"/>
        <v>2.18783330833333</v>
      </c>
      <c r="BM182">
        <v>8.9</v>
      </c>
      <c r="BN182" s="3">
        <f t="shared" si="84"/>
        <v>0.245823967228464</v>
      </c>
      <c r="BP182" s="4">
        <v>0.257633333333333</v>
      </c>
      <c r="BQ182">
        <v>0.09</v>
      </c>
      <c r="BR182" s="5">
        <f t="shared" si="85"/>
        <v>0.167633333333333</v>
      </c>
      <c r="BS182">
        <v>0.43</v>
      </c>
      <c r="BT182" s="3">
        <f t="shared" si="86"/>
        <v>0.389844961240309</v>
      </c>
      <c r="BV182" s="4">
        <v>7.1714417125</v>
      </c>
      <c r="BW182">
        <v>6.18</v>
      </c>
      <c r="BX182" s="5">
        <f t="shared" si="87"/>
        <v>0.9914417125</v>
      </c>
      <c r="BY182">
        <v>1.68</v>
      </c>
      <c r="BZ182" s="3">
        <f t="shared" si="88"/>
        <v>0.590143876488096</v>
      </c>
      <c r="CB182" s="1">
        <v>100.6</v>
      </c>
      <c r="CC182">
        <v>54.3</v>
      </c>
      <c r="CD182" s="12">
        <f t="shared" si="89"/>
        <v>46.3</v>
      </c>
      <c r="CE182">
        <v>71.3</v>
      </c>
      <c r="CF182" s="3">
        <f t="shared" si="90"/>
        <v>0.649368863955119</v>
      </c>
      <c r="CH182" s="13">
        <v>30.8</v>
      </c>
      <c r="CI182">
        <v>22.6</v>
      </c>
      <c r="CJ182">
        <f t="shared" si="91"/>
        <v>8.2</v>
      </c>
      <c r="CK182">
        <v>25.1</v>
      </c>
      <c r="CL182">
        <f t="shared" si="92"/>
        <v>0.326693227091633</v>
      </c>
      <c r="CN182" s="13">
        <v>5.7</v>
      </c>
      <c r="CO182">
        <v>3</v>
      </c>
      <c r="CP182" s="12">
        <f t="shared" si="93"/>
        <v>2.7</v>
      </c>
      <c r="CQ182">
        <v>3.4</v>
      </c>
      <c r="CR182" s="3">
        <f t="shared" si="94"/>
        <v>0.794117647058824</v>
      </c>
    </row>
    <row r="183" spans="2:96">
      <c r="B183" s="1">
        <v>50608</v>
      </c>
      <c r="C183">
        <v>32416</v>
      </c>
      <c r="D183" s="2">
        <f t="shared" si="95"/>
        <v>18192</v>
      </c>
      <c r="E183">
        <v>31904</v>
      </c>
      <c r="F183" s="3">
        <f t="shared" si="64"/>
        <v>0.570210631895687</v>
      </c>
      <c r="H183" s="1">
        <v>50583</v>
      </c>
      <c r="I183">
        <v>31145</v>
      </c>
      <c r="J183" s="2">
        <f t="shared" si="65"/>
        <v>19438</v>
      </c>
      <c r="K183">
        <v>32760</v>
      </c>
      <c r="L183" s="3">
        <f t="shared" si="66"/>
        <v>0.593345543345543</v>
      </c>
      <c r="N183" s="4">
        <v>267.3466707875</v>
      </c>
      <c r="O183">
        <v>201.27</v>
      </c>
      <c r="P183" s="5">
        <f t="shared" si="67"/>
        <v>66.0766707875</v>
      </c>
      <c r="Q183">
        <v>79.69</v>
      </c>
      <c r="R183" s="3">
        <f t="shared" si="68"/>
        <v>0.829171424112184</v>
      </c>
      <c r="T183" s="4">
        <v>196.5874997</v>
      </c>
      <c r="U183">
        <v>100.23</v>
      </c>
      <c r="V183" s="5">
        <f t="shared" si="69"/>
        <v>96.3574997</v>
      </c>
      <c r="W183">
        <v>410.93</v>
      </c>
      <c r="X183" s="3">
        <f t="shared" si="70"/>
        <v>0.234486408147373</v>
      </c>
      <c r="Z183" s="4">
        <v>30.56</v>
      </c>
      <c r="AA183">
        <v>13.25</v>
      </c>
      <c r="AB183" s="5">
        <f t="shared" si="71"/>
        <v>17.31</v>
      </c>
      <c r="AC183">
        <v>33.93</v>
      </c>
      <c r="AD183" s="3">
        <f t="shared" si="72"/>
        <v>0.510167992926614</v>
      </c>
      <c r="AF183" s="4">
        <v>3.63</v>
      </c>
      <c r="AG183">
        <v>2.09</v>
      </c>
      <c r="AH183" s="5">
        <f t="shared" si="73"/>
        <v>1.54</v>
      </c>
      <c r="AI183">
        <v>3.85</v>
      </c>
      <c r="AJ183" s="3">
        <f t="shared" si="74"/>
        <v>0.4</v>
      </c>
      <c r="AL183" s="4">
        <v>7.2101749375</v>
      </c>
      <c r="AM183">
        <v>6.1</v>
      </c>
      <c r="AN183" s="5">
        <f t="shared" si="75"/>
        <v>1.1101749375</v>
      </c>
      <c r="AO183">
        <v>1.89</v>
      </c>
      <c r="AP183" s="3">
        <f t="shared" si="76"/>
        <v>0.587394146825397</v>
      </c>
      <c r="AR183" s="4">
        <v>1.22750001666667</v>
      </c>
      <c r="AS183">
        <v>0.02</v>
      </c>
      <c r="AT183" s="5">
        <f t="shared" si="77"/>
        <v>1.20750001666667</v>
      </c>
      <c r="AU183">
        <v>2.84</v>
      </c>
      <c r="AV183" s="3">
        <f t="shared" si="78"/>
        <v>0.425176062206574</v>
      </c>
      <c r="AX183" s="4">
        <v>10.8790000625</v>
      </c>
      <c r="AY183">
        <v>3.44</v>
      </c>
      <c r="AZ183" s="5">
        <f t="shared" si="79"/>
        <v>7.4390000625</v>
      </c>
      <c r="BA183">
        <v>29.17</v>
      </c>
      <c r="BB183" s="3">
        <f t="shared" si="80"/>
        <v>0.25502228531025</v>
      </c>
      <c r="BD183" s="4">
        <v>0.349666666666667</v>
      </c>
      <c r="BE183">
        <v>0.17</v>
      </c>
      <c r="BF183" s="5">
        <f t="shared" si="81"/>
        <v>0.179666666666667</v>
      </c>
      <c r="BG183">
        <v>4</v>
      </c>
      <c r="BH183" s="3">
        <f t="shared" si="82"/>
        <v>0.0449166666666668</v>
      </c>
      <c r="BJ183" s="9">
        <v>9.572083275</v>
      </c>
      <c r="BK183">
        <v>4.8</v>
      </c>
      <c r="BL183" s="5">
        <f t="shared" si="83"/>
        <v>4.772083275</v>
      </c>
      <c r="BM183">
        <v>8.9</v>
      </c>
      <c r="BN183" s="3">
        <f t="shared" si="84"/>
        <v>0.536189132022472</v>
      </c>
      <c r="BP183" s="9">
        <v>0.271166666666667</v>
      </c>
      <c r="BQ183">
        <v>0.09</v>
      </c>
      <c r="BR183" s="5">
        <f t="shared" si="85"/>
        <v>0.181166666666667</v>
      </c>
      <c r="BS183">
        <v>0.43</v>
      </c>
      <c r="BT183" s="3">
        <f t="shared" si="86"/>
        <v>0.421317829457365</v>
      </c>
      <c r="BV183" s="4">
        <v>7.000400025</v>
      </c>
      <c r="BW183">
        <v>6.18</v>
      </c>
      <c r="BX183" s="5">
        <f t="shared" si="87"/>
        <v>0.820400025000001</v>
      </c>
      <c r="BY183">
        <v>1.68</v>
      </c>
      <c r="BZ183" s="3">
        <f t="shared" si="88"/>
        <v>0.488333348214286</v>
      </c>
      <c r="CB183" s="10">
        <v>99.7</v>
      </c>
      <c r="CC183">
        <v>54.3</v>
      </c>
      <c r="CD183" s="12">
        <f t="shared" si="89"/>
        <v>45.4</v>
      </c>
      <c r="CE183">
        <v>71.3</v>
      </c>
      <c r="CF183" s="3">
        <f t="shared" si="90"/>
        <v>0.636746143057504</v>
      </c>
      <c r="CH183" s="13">
        <v>28.5</v>
      </c>
      <c r="CI183">
        <v>22.6</v>
      </c>
      <c r="CJ183">
        <f t="shared" si="91"/>
        <v>5.9</v>
      </c>
      <c r="CK183">
        <v>25.1</v>
      </c>
      <c r="CL183">
        <f t="shared" si="92"/>
        <v>0.235059760956175</v>
      </c>
      <c r="CN183" s="11">
        <v>5.3</v>
      </c>
      <c r="CO183">
        <v>3</v>
      </c>
      <c r="CP183" s="12">
        <f t="shared" si="93"/>
        <v>2.3</v>
      </c>
      <c r="CQ183">
        <v>3.4</v>
      </c>
      <c r="CR183" s="3">
        <f t="shared" si="94"/>
        <v>0.676470588235294</v>
      </c>
    </row>
    <row r="184" spans="2:96">
      <c r="B184" s="1">
        <v>57514</v>
      </c>
      <c r="C184">
        <v>32416</v>
      </c>
      <c r="D184" s="2">
        <f t="shared" si="95"/>
        <v>25098</v>
      </c>
      <c r="E184">
        <v>31904</v>
      </c>
      <c r="F184" s="3">
        <f t="shared" si="64"/>
        <v>0.786672517552658</v>
      </c>
      <c r="H184" s="1">
        <v>57308</v>
      </c>
      <c r="I184">
        <v>31145</v>
      </c>
      <c r="J184" s="2">
        <f t="shared" si="65"/>
        <v>26163</v>
      </c>
      <c r="K184">
        <v>32760</v>
      </c>
      <c r="L184" s="3">
        <f t="shared" si="66"/>
        <v>0.798626373626374</v>
      </c>
      <c r="N184" s="4">
        <v>272.443331408333</v>
      </c>
      <c r="O184">
        <v>201.27</v>
      </c>
      <c r="P184" s="5">
        <f t="shared" si="67"/>
        <v>71.173331408333</v>
      </c>
      <c r="Q184">
        <v>79.69</v>
      </c>
      <c r="R184" s="3">
        <f t="shared" si="68"/>
        <v>0.893127511712047</v>
      </c>
      <c r="T184" s="4">
        <v>216.670832958333</v>
      </c>
      <c r="U184">
        <v>100.23</v>
      </c>
      <c r="V184" s="5">
        <f t="shared" si="69"/>
        <v>116.440832958333</v>
      </c>
      <c r="W184">
        <v>410.93</v>
      </c>
      <c r="X184" s="3">
        <f t="shared" si="70"/>
        <v>0.283359289801993</v>
      </c>
      <c r="Z184" s="4">
        <v>31.8897916583333</v>
      </c>
      <c r="AA184">
        <v>13.25</v>
      </c>
      <c r="AB184" s="5">
        <f t="shared" si="71"/>
        <v>18.6397916583333</v>
      </c>
      <c r="AC184">
        <v>33.93</v>
      </c>
      <c r="AD184" s="3">
        <f t="shared" si="72"/>
        <v>0.549360202131839</v>
      </c>
      <c r="AF184" s="4">
        <v>3.61</v>
      </c>
      <c r="AG184">
        <v>2.09</v>
      </c>
      <c r="AH184" s="5">
        <f t="shared" si="73"/>
        <v>1.52</v>
      </c>
      <c r="AI184">
        <v>3.85</v>
      </c>
      <c r="AJ184" s="3">
        <f t="shared" si="74"/>
        <v>0.394805194805195</v>
      </c>
      <c r="AL184" s="4">
        <v>7.22190002083333</v>
      </c>
      <c r="AM184">
        <v>6.1</v>
      </c>
      <c r="AN184" s="5">
        <f t="shared" si="75"/>
        <v>1.12190002083333</v>
      </c>
      <c r="AO184">
        <v>1.89</v>
      </c>
      <c r="AP184" s="3">
        <f t="shared" si="76"/>
        <v>0.59359789462081</v>
      </c>
      <c r="AR184" s="4">
        <v>1.038125</v>
      </c>
      <c r="AS184">
        <v>0.02</v>
      </c>
      <c r="AT184" s="5">
        <f t="shared" si="77"/>
        <v>1.018125</v>
      </c>
      <c r="AU184">
        <v>2.84</v>
      </c>
      <c r="AV184" s="3">
        <f t="shared" si="78"/>
        <v>0.358494718309859</v>
      </c>
      <c r="AX184" s="4">
        <v>11.6084666541666</v>
      </c>
      <c r="AY184">
        <v>3.44</v>
      </c>
      <c r="AZ184" s="5">
        <f t="shared" si="79"/>
        <v>8.1684666541666</v>
      </c>
      <c r="BA184">
        <v>29.17</v>
      </c>
      <c r="BB184" s="3">
        <f t="shared" si="80"/>
        <v>0.280029710461659</v>
      </c>
      <c r="BD184" s="4">
        <v>0.191666666666667</v>
      </c>
      <c r="BE184">
        <v>0.17</v>
      </c>
      <c r="BF184" s="5">
        <f t="shared" si="81"/>
        <v>0.021666666666667</v>
      </c>
      <c r="BG184">
        <v>4</v>
      </c>
      <c r="BH184" s="3">
        <f t="shared" si="82"/>
        <v>0.00541666666666675</v>
      </c>
      <c r="BJ184" s="9">
        <v>9.4175834125</v>
      </c>
      <c r="BK184">
        <v>4.8</v>
      </c>
      <c r="BL184" s="5">
        <f t="shared" si="83"/>
        <v>4.6175834125</v>
      </c>
      <c r="BM184">
        <v>8.9</v>
      </c>
      <c r="BN184" s="3">
        <f t="shared" si="84"/>
        <v>0.518829596910112</v>
      </c>
      <c r="BP184" s="9">
        <v>0.259691666666667</v>
      </c>
      <c r="BQ184">
        <v>0.09</v>
      </c>
      <c r="BR184" s="5">
        <f t="shared" si="85"/>
        <v>0.169691666666667</v>
      </c>
      <c r="BS184">
        <v>0.43</v>
      </c>
      <c r="BT184" s="3">
        <f t="shared" si="86"/>
        <v>0.394631782945737</v>
      </c>
      <c r="BV184" s="4">
        <v>6.90705211666667</v>
      </c>
      <c r="BW184">
        <v>6.18</v>
      </c>
      <c r="BX184" s="5">
        <f t="shared" si="87"/>
        <v>0.727052116666671</v>
      </c>
      <c r="BY184">
        <v>1.68</v>
      </c>
      <c r="BZ184" s="3">
        <f t="shared" si="88"/>
        <v>0.432769117063494</v>
      </c>
      <c r="CB184" s="10">
        <v>98.3</v>
      </c>
      <c r="CC184">
        <v>54.3</v>
      </c>
      <c r="CD184" s="12">
        <f t="shared" si="89"/>
        <v>44</v>
      </c>
      <c r="CE184">
        <v>71.3</v>
      </c>
      <c r="CF184" s="3">
        <f t="shared" si="90"/>
        <v>0.61711079943899</v>
      </c>
      <c r="CH184" s="13">
        <v>31.2</v>
      </c>
      <c r="CI184">
        <v>22.6</v>
      </c>
      <c r="CJ184">
        <f t="shared" si="91"/>
        <v>8.6</v>
      </c>
      <c r="CK184">
        <v>25.1</v>
      </c>
      <c r="CL184">
        <f t="shared" si="92"/>
        <v>0.342629482071713</v>
      </c>
      <c r="CN184" s="10">
        <v>5.5</v>
      </c>
      <c r="CO184">
        <v>3</v>
      </c>
      <c r="CP184" s="12">
        <f t="shared" si="93"/>
        <v>2.5</v>
      </c>
      <c r="CQ184">
        <v>3.4</v>
      </c>
      <c r="CR184" s="3">
        <f t="shared" si="94"/>
        <v>0.735294117647059</v>
      </c>
    </row>
    <row r="185" spans="2:96">
      <c r="B185" s="1">
        <v>52419</v>
      </c>
      <c r="C185">
        <v>32416</v>
      </c>
      <c r="D185" s="2">
        <f t="shared" si="95"/>
        <v>20003</v>
      </c>
      <c r="E185">
        <v>31904</v>
      </c>
      <c r="F185" s="3">
        <f t="shared" si="64"/>
        <v>0.626974674022066</v>
      </c>
      <c r="H185" s="1">
        <v>52144</v>
      </c>
      <c r="I185">
        <v>31145</v>
      </c>
      <c r="J185" s="2">
        <f t="shared" si="65"/>
        <v>20999</v>
      </c>
      <c r="K185">
        <v>32760</v>
      </c>
      <c r="L185" s="3">
        <f t="shared" si="66"/>
        <v>0.640995115995116</v>
      </c>
      <c r="N185" s="4">
        <v>267.4766655</v>
      </c>
      <c r="O185">
        <v>201.27</v>
      </c>
      <c r="P185" s="5">
        <f t="shared" si="67"/>
        <v>66.2066655</v>
      </c>
      <c r="Q185">
        <v>79.69</v>
      </c>
      <c r="R185" s="3">
        <f t="shared" si="68"/>
        <v>0.830802679131635</v>
      </c>
      <c r="T185" s="4">
        <v>177.354166745833</v>
      </c>
      <c r="U185">
        <v>100.23</v>
      </c>
      <c r="V185" s="5">
        <f t="shared" si="69"/>
        <v>77.124166745833</v>
      </c>
      <c r="W185">
        <v>410.93</v>
      </c>
      <c r="X185" s="3">
        <f t="shared" si="70"/>
        <v>0.187682006049286</v>
      </c>
      <c r="Z185" s="4">
        <v>29.65</v>
      </c>
      <c r="AA185">
        <v>13.25</v>
      </c>
      <c r="AB185" s="5">
        <f t="shared" si="71"/>
        <v>16.4</v>
      </c>
      <c r="AC185">
        <v>33.93</v>
      </c>
      <c r="AD185" s="3">
        <f t="shared" si="72"/>
        <v>0.483348069554966</v>
      </c>
      <c r="AF185" s="4">
        <v>4.33</v>
      </c>
      <c r="AG185">
        <v>2.09</v>
      </c>
      <c r="AH185" s="5">
        <f t="shared" si="73"/>
        <v>2.24</v>
      </c>
      <c r="AI185">
        <v>3.85</v>
      </c>
      <c r="AJ185" s="3">
        <f t="shared" si="74"/>
        <v>0.581818181818182</v>
      </c>
      <c r="AL185" s="4">
        <v>7.24406659166667</v>
      </c>
      <c r="AM185">
        <v>6.1</v>
      </c>
      <c r="AN185" s="5">
        <f t="shared" si="75"/>
        <v>1.14406659166667</v>
      </c>
      <c r="AO185">
        <v>1.89</v>
      </c>
      <c r="AP185" s="3">
        <f t="shared" si="76"/>
        <v>0.605326238977074</v>
      </c>
      <c r="AR185" s="4">
        <v>1.13645832916667</v>
      </c>
      <c r="AS185">
        <v>0.02</v>
      </c>
      <c r="AT185" s="5">
        <f t="shared" si="77"/>
        <v>1.11645832916667</v>
      </c>
      <c r="AU185">
        <v>2.84</v>
      </c>
      <c r="AV185" s="3">
        <f t="shared" si="78"/>
        <v>0.393119129988264</v>
      </c>
      <c r="AX185" s="4">
        <v>15.6411333416666</v>
      </c>
      <c r="AY185">
        <v>3.44</v>
      </c>
      <c r="AZ185" s="5">
        <f t="shared" si="79"/>
        <v>12.2011333416666</v>
      </c>
      <c r="BA185">
        <v>29.17</v>
      </c>
      <c r="BB185" s="3">
        <f t="shared" si="80"/>
        <v>0.418276768655009</v>
      </c>
      <c r="BD185" s="4">
        <v>0.360916666666667</v>
      </c>
      <c r="BE185">
        <v>0.17</v>
      </c>
      <c r="BF185" s="5">
        <f t="shared" si="81"/>
        <v>0.190916666666667</v>
      </c>
      <c r="BG185">
        <v>4</v>
      </c>
      <c r="BH185" s="3">
        <f t="shared" si="82"/>
        <v>0.0477291666666667</v>
      </c>
      <c r="BJ185" s="9">
        <v>7.90349997083333</v>
      </c>
      <c r="BK185">
        <v>4.8</v>
      </c>
      <c r="BL185" s="5">
        <f t="shared" si="83"/>
        <v>3.10349997083333</v>
      </c>
      <c r="BM185">
        <v>8.9</v>
      </c>
      <c r="BN185" s="3">
        <f t="shared" si="84"/>
        <v>0.348707861891385</v>
      </c>
      <c r="BP185" s="9">
        <v>0.25515</v>
      </c>
      <c r="BQ185">
        <v>0.09</v>
      </c>
      <c r="BR185" s="5">
        <f t="shared" si="85"/>
        <v>0.16515</v>
      </c>
      <c r="BS185">
        <v>0.43</v>
      </c>
      <c r="BT185" s="3">
        <f t="shared" si="86"/>
        <v>0.38406976744186</v>
      </c>
      <c r="BV185" s="4">
        <v>6.92054161666667</v>
      </c>
      <c r="BW185">
        <v>6.18</v>
      </c>
      <c r="BX185" s="5">
        <f t="shared" si="87"/>
        <v>0.74054161666667</v>
      </c>
      <c r="BY185">
        <v>1.68</v>
      </c>
      <c r="BZ185" s="3">
        <f t="shared" si="88"/>
        <v>0.440798581349208</v>
      </c>
      <c r="CB185" s="10">
        <v>96.3</v>
      </c>
      <c r="CC185">
        <v>54.3</v>
      </c>
      <c r="CD185" s="12">
        <f t="shared" si="89"/>
        <v>42</v>
      </c>
      <c r="CE185">
        <v>71.3</v>
      </c>
      <c r="CF185" s="3">
        <f t="shared" si="90"/>
        <v>0.5890603085554</v>
      </c>
      <c r="CH185" s="13">
        <v>32.6</v>
      </c>
      <c r="CI185">
        <v>22.6</v>
      </c>
      <c r="CJ185">
        <f t="shared" si="91"/>
        <v>10</v>
      </c>
      <c r="CK185">
        <v>25.1</v>
      </c>
      <c r="CL185">
        <f t="shared" si="92"/>
        <v>0.398406374501992</v>
      </c>
      <c r="CN185" s="10">
        <v>5.2</v>
      </c>
      <c r="CO185">
        <v>3</v>
      </c>
      <c r="CP185" s="12">
        <f t="shared" si="93"/>
        <v>2.2</v>
      </c>
      <c r="CQ185">
        <v>3.4</v>
      </c>
      <c r="CR185" s="3">
        <f t="shared" si="94"/>
        <v>0.647058823529412</v>
      </c>
    </row>
    <row r="186" spans="2:96">
      <c r="B186" s="1">
        <v>44326</v>
      </c>
      <c r="C186">
        <v>32416</v>
      </c>
      <c r="D186" s="2">
        <f t="shared" si="95"/>
        <v>11910</v>
      </c>
      <c r="E186">
        <v>31904</v>
      </c>
      <c r="F186" s="3">
        <f t="shared" si="64"/>
        <v>0.3733074222668</v>
      </c>
      <c r="H186" s="1">
        <v>44214</v>
      </c>
      <c r="I186">
        <v>31145</v>
      </c>
      <c r="J186" s="2">
        <f t="shared" si="65"/>
        <v>13069</v>
      </c>
      <c r="K186">
        <v>32760</v>
      </c>
      <c r="L186" s="3">
        <f t="shared" si="66"/>
        <v>0.398931623931624</v>
      </c>
      <c r="N186" s="4">
        <v>258.536666870833</v>
      </c>
      <c r="O186">
        <v>201.27</v>
      </c>
      <c r="P186" s="5">
        <f t="shared" si="67"/>
        <v>57.266666870833</v>
      </c>
      <c r="Q186">
        <v>79.69</v>
      </c>
      <c r="R186" s="3">
        <f t="shared" si="68"/>
        <v>0.718617980560083</v>
      </c>
      <c r="T186" s="4">
        <v>228.79583375</v>
      </c>
      <c r="U186">
        <v>100.23</v>
      </c>
      <c r="V186" s="5">
        <f t="shared" si="69"/>
        <v>128.56583375</v>
      </c>
      <c r="W186">
        <v>410.93</v>
      </c>
      <c r="X186" s="3">
        <f t="shared" si="70"/>
        <v>0.312865533667535</v>
      </c>
      <c r="Z186" s="4">
        <v>28.0239583833333</v>
      </c>
      <c r="AA186">
        <v>13.25</v>
      </c>
      <c r="AB186" s="5">
        <f t="shared" si="71"/>
        <v>14.7739583833333</v>
      </c>
      <c r="AC186">
        <v>33.93</v>
      </c>
      <c r="AD186" s="3">
        <f t="shared" si="72"/>
        <v>0.435424650260339</v>
      </c>
      <c r="AF186" s="4">
        <v>4.12</v>
      </c>
      <c r="AG186">
        <v>2.09</v>
      </c>
      <c r="AH186" s="5">
        <f t="shared" si="73"/>
        <v>2.03</v>
      </c>
      <c r="AI186">
        <v>3.85</v>
      </c>
      <c r="AJ186" s="3">
        <f t="shared" si="74"/>
        <v>0.527272727272727</v>
      </c>
      <c r="AL186" s="4">
        <v>7.232516675</v>
      </c>
      <c r="AM186">
        <v>6.1</v>
      </c>
      <c r="AN186" s="5">
        <f t="shared" si="75"/>
        <v>1.132516675</v>
      </c>
      <c r="AO186">
        <v>1.89</v>
      </c>
      <c r="AP186" s="3">
        <f t="shared" si="76"/>
        <v>0.599215171957672</v>
      </c>
      <c r="AR186" s="4">
        <v>0.77649998</v>
      </c>
      <c r="AS186">
        <v>0.02</v>
      </c>
      <c r="AT186" s="5">
        <f t="shared" si="77"/>
        <v>0.75649998</v>
      </c>
      <c r="AU186">
        <v>2.84</v>
      </c>
      <c r="AV186" s="3">
        <f t="shared" si="78"/>
        <v>0.266373232394366</v>
      </c>
      <c r="AX186" s="4">
        <v>16.20620005</v>
      </c>
      <c r="AY186">
        <v>3.44</v>
      </c>
      <c r="AZ186" s="5">
        <f t="shared" si="79"/>
        <v>12.76620005</v>
      </c>
      <c r="BA186">
        <v>29.17</v>
      </c>
      <c r="BB186" s="3">
        <f t="shared" si="80"/>
        <v>0.437648270483373</v>
      </c>
      <c r="BD186" s="4">
        <v>0.246583333333333</v>
      </c>
      <c r="BE186">
        <v>0.17</v>
      </c>
      <c r="BF186" s="5">
        <f t="shared" si="81"/>
        <v>0.076583333333333</v>
      </c>
      <c r="BG186">
        <v>4</v>
      </c>
      <c r="BH186" s="3">
        <f t="shared" si="82"/>
        <v>0.0191458333333332</v>
      </c>
      <c r="BJ186" s="9">
        <v>7.31208330833333</v>
      </c>
      <c r="BK186">
        <v>4.8</v>
      </c>
      <c r="BL186" s="5">
        <f t="shared" si="83"/>
        <v>2.51208330833333</v>
      </c>
      <c r="BM186">
        <v>8.9</v>
      </c>
      <c r="BN186" s="3">
        <f t="shared" si="84"/>
        <v>0.282256551498127</v>
      </c>
      <c r="BP186" s="9">
        <v>0.26545</v>
      </c>
      <c r="BQ186">
        <v>0.09</v>
      </c>
      <c r="BR186" s="5">
        <f t="shared" si="85"/>
        <v>0.17545</v>
      </c>
      <c r="BS186">
        <v>0.43</v>
      </c>
      <c r="BT186" s="3">
        <f t="shared" si="86"/>
        <v>0.408023255813954</v>
      </c>
      <c r="BV186" s="4">
        <v>6.8978790875</v>
      </c>
      <c r="BW186">
        <v>6.18</v>
      </c>
      <c r="BX186" s="5">
        <f t="shared" si="87"/>
        <v>0.7178790875</v>
      </c>
      <c r="BY186">
        <v>1.68</v>
      </c>
      <c r="BZ186" s="3">
        <f t="shared" si="88"/>
        <v>0.427308980654762</v>
      </c>
      <c r="CB186" s="10">
        <v>97.4</v>
      </c>
      <c r="CC186">
        <v>54.3</v>
      </c>
      <c r="CD186" s="12">
        <f t="shared" si="89"/>
        <v>43.1</v>
      </c>
      <c r="CE186">
        <v>71.3</v>
      </c>
      <c r="CF186" s="3">
        <f t="shared" si="90"/>
        <v>0.604488078541375</v>
      </c>
      <c r="CH186" s="13">
        <v>30.8</v>
      </c>
      <c r="CI186">
        <v>22.6</v>
      </c>
      <c r="CJ186">
        <f t="shared" si="91"/>
        <v>8.2</v>
      </c>
      <c r="CK186">
        <v>25.1</v>
      </c>
      <c r="CL186">
        <f t="shared" si="92"/>
        <v>0.326693227091633</v>
      </c>
      <c r="CN186" s="10">
        <v>5.9</v>
      </c>
      <c r="CO186">
        <v>3</v>
      </c>
      <c r="CP186" s="12">
        <f t="shared" si="93"/>
        <v>2.9</v>
      </c>
      <c r="CQ186">
        <v>3.4</v>
      </c>
      <c r="CR186" s="3">
        <f t="shared" si="94"/>
        <v>0.852941176470588</v>
      </c>
    </row>
    <row r="187" spans="2:96">
      <c r="B187" s="1">
        <v>45598</v>
      </c>
      <c r="C187">
        <v>32416</v>
      </c>
      <c r="D187" s="2">
        <f t="shared" si="95"/>
        <v>13182</v>
      </c>
      <c r="E187">
        <v>31904</v>
      </c>
      <c r="F187" s="3">
        <f t="shared" si="64"/>
        <v>0.41317703109328</v>
      </c>
      <c r="H187" s="1">
        <v>45487</v>
      </c>
      <c r="I187">
        <v>31145</v>
      </c>
      <c r="J187" s="2">
        <f t="shared" si="65"/>
        <v>14342</v>
      </c>
      <c r="K187">
        <v>32760</v>
      </c>
      <c r="L187" s="3">
        <f t="shared" si="66"/>
        <v>0.437789987789988</v>
      </c>
      <c r="N187" s="4">
        <v>255.706670129167</v>
      </c>
      <c r="O187">
        <v>201.27</v>
      </c>
      <c r="P187" s="5">
        <f t="shared" si="67"/>
        <v>54.436670129167</v>
      </c>
      <c r="Q187">
        <v>79.69</v>
      </c>
      <c r="R187" s="3">
        <f t="shared" si="68"/>
        <v>0.683105410078642</v>
      </c>
      <c r="T187" s="4">
        <v>236.041666191666</v>
      </c>
      <c r="U187">
        <v>100.23</v>
      </c>
      <c r="V187" s="5">
        <f t="shared" si="69"/>
        <v>135.811666191666</v>
      </c>
      <c r="W187">
        <v>410.93</v>
      </c>
      <c r="X187" s="3">
        <f t="shared" si="70"/>
        <v>0.330498299446782</v>
      </c>
      <c r="Z187" s="4">
        <v>27.1306250416666</v>
      </c>
      <c r="AA187">
        <v>13.25</v>
      </c>
      <c r="AB187" s="5">
        <f t="shared" si="71"/>
        <v>13.8806250416666</v>
      </c>
      <c r="AC187">
        <v>33.93</v>
      </c>
      <c r="AD187" s="3">
        <f t="shared" si="72"/>
        <v>0.409095934030846</v>
      </c>
      <c r="AF187" s="4">
        <v>4.19</v>
      </c>
      <c r="AG187">
        <v>2.09</v>
      </c>
      <c r="AH187" s="5">
        <f t="shared" si="73"/>
        <v>2.1</v>
      </c>
      <c r="AI187">
        <v>3.85</v>
      </c>
      <c r="AJ187" s="3">
        <f t="shared" si="74"/>
        <v>0.545454545454546</v>
      </c>
      <c r="AL187" s="4">
        <v>7.21851669583333</v>
      </c>
      <c r="AM187">
        <v>6.1</v>
      </c>
      <c r="AN187" s="5">
        <f t="shared" si="75"/>
        <v>1.11851669583333</v>
      </c>
      <c r="AO187">
        <v>1.89</v>
      </c>
      <c r="AP187" s="3">
        <f t="shared" si="76"/>
        <v>0.591807775573191</v>
      </c>
      <c r="AR187" s="4">
        <v>1.15666676666667</v>
      </c>
      <c r="AS187">
        <v>0.02</v>
      </c>
      <c r="AT187" s="5">
        <f t="shared" si="77"/>
        <v>1.13666676666667</v>
      </c>
      <c r="AU187">
        <v>2.84</v>
      </c>
      <c r="AV187" s="3">
        <f t="shared" si="78"/>
        <v>0.400234776995306</v>
      </c>
      <c r="AX187" s="4">
        <v>16.9887999541666</v>
      </c>
      <c r="AY187">
        <v>3.44</v>
      </c>
      <c r="AZ187" s="5">
        <f t="shared" si="79"/>
        <v>13.5487999541666</v>
      </c>
      <c r="BA187">
        <v>29.17</v>
      </c>
      <c r="BB187" s="3">
        <f t="shared" si="80"/>
        <v>0.464477201034165</v>
      </c>
      <c r="BD187" s="4">
        <v>0.3386666625</v>
      </c>
      <c r="BE187">
        <v>0.17</v>
      </c>
      <c r="BF187" s="5">
        <f t="shared" si="81"/>
        <v>0.1686666625</v>
      </c>
      <c r="BG187">
        <v>4</v>
      </c>
      <c r="BH187" s="3">
        <f t="shared" si="82"/>
        <v>0.042166665625</v>
      </c>
      <c r="BJ187" s="9">
        <v>9.8196666</v>
      </c>
      <c r="BK187">
        <v>4.8</v>
      </c>
      <c r="BL187" s="5">
        <f t="shared" si="83"/>
        <v>5.0196666</v>
      </c>
      <c r="BM187">
        <v>8.9</v>
      </c>
      <c r="BN187" s="3">
        <f t="shared" si="84"/>
        <v>0.564007483146067</v>
      </c>
      <c r="BP187" s="9">
        <v>0.251341666666667</v>
      </c>
      <c r="BQ187">
        <v>0.09</v>
      </c>
      <c r="BR187" s="5">
        <f t="shared" si="85"/>
        <v>0.161341666666667</v>
      </c>
      <c r="BS187">
        <v>0.43</v>
      </c>
      <c r="BT187" s="3">
        <f t="shared" si="86"/>
        <v>0.375213178294574</v>
      </c>
      <c r="BV187" s="4">
        <v>6.88485206666667</v>
      </c>
      <c r="BW187">
        <v>6.18</v>
      </c>
      <c r="BX187" s="5">
        <f t="shared" si="87"/>
        <v>0.70485206666667</v>
      </c>
      <c r="BY187">
        <v>1.68</v>
      </c>
      <c r="BZ187" s="3">
        <f t="shared" si="88"/>
        <v>0.419554801587304</v>
      </c>
      <c r="CB187" s="10">
        <v>98.9</v>
      </c>
      <c r="CC187">
        <v>54.3</v>
      </c>
      <c r="CD187" s="12">
        <f t="shared" si="89"/>
        <v>44.6</v>
      </c>
      <c r="CE187">
        <v>71.3</v>
      </c>
      <c r="CF187" s="3">
        <f t="shared" si="90"/>
        <v>0.625525946704067</v>
      </c>
      <c r="CH187" s="13">
        <v>28.9</v>
      </c>
      <c r="CI187">
        <v>22.6</v>
      </c>
      <c r="CJ187">
        <f t="shared" si="91"/>
        <v>6.3</v>
      </c>
      <c r="CK187">
        <v>25.1</v>
      </c>
      <c r="CL187">
        <f t="shared" si="92"/>
        <v>0.250996015936255</v>
      </c>
      <c r="CN187" s="10">
        <v>5.4</v>
      </c>
      <c r="CO187">
        <v>3</v>
      </c>
      <c r="CP187" s="12">
        <f t="shared" si="93"/>
        <v>2.4</v>
      </c>
      <c r="CQ187">
        <v>3.4</v>
      </c>
      <c r="CR187" s="3">
        <f t="shared" si="94"/>
        <v>0.705882352941177</v>
      </c>
    </row>
    <row r="188" spans="2:96">
      <c r="B188" s="1">
        <v>45982</v>
      </c>
      <c r="C188">
        <v>32416</v>
      </c>
      <c r="D188" s="2">
        <f t="shared" si="95"/>
        <v>13566</v>
      </c>
      <c r="E188">
        <v>31904</v>
      </c>
      <c r="F188" s="3">
        <f t="shared" si="64"/>
        <v>0.425213139418255</v>
      </c>
      <c r="H188" s="1">
        <v>45747</v>
      </c>
      <c r="I188">
        <v>31145</v>
      </c>
      <c r="J188" s="2">
        <f t="shared" si="65"/>
        <v>14602</v>
      </c>
      <c r="K188">
        <v>32760</v>
      </c>
      <c r="L188" s="3">
        <f t="shared" si="66"/>
        <v>0.445726495726496</v>
      </c>
      <c r="N188" s="4">
        <v>256.376670833333</v>
      </c>
      <c r="O188">
        <v>201.27</v>
      </c>
      <c r="P188" s="5">
        <f t="shared" si="67"/>
        <v>55.106670833333</v>
      </c>
      <c r="Q188">
        <v>79.69</v>
      </c>
      <c r="R188" s="3">
        <f t="shared" si="68"/>
        <v>0.691512998285017</v>
      </c>
      <c r="T188" s="4">
        <v>169.758333454166</v>
      </c>
      <c r="U188">
        <v>100.23</v>
      </c>
      <c r="V188" s="5">
        <f t="shared" si="69"/>
        <v>69.528333454166</v>
      </c>
      <c r="W188">
        <v>410.93</v>
      </c>
      <c r="X188" s="3">
        <f t="shared" si="70"/>
        <v>0.169197511630122</v>
      </c>
      <c r="Z188" s="4">
        <v>31.1506250708333</v>
      </c>
      <c r="AA188">
        <v>13.25</v>
      </c>
      <c r="AB188" s="5">
        <f t="shared" si="71"/>
        <v>17.9006250708333</v>
      </c>
      <c r="AC188">
        <v>33.93</v>
      </c>
      <c r="AD188" s="3">
        <f t="shared" si="72"/>
        <v>0.527575156817958</v>
      </c>
      <c r="AF188" s="4">
        <v>4.39</v>
      </c>
      <c r="AG188">
        <v>2.09</v>
      </c>
      <c r="AH188" s="5">
        <f t="shared" si="73"/>
        <v>2.3</v>
      </c>
      <c r="AI188">
        <v>3.85</v>
      </c>
      <c r="AJ188" s="3">
        <f t="shared" si="74"/>
        <v>0.597402597402597</v>
      </c>
      <c r="AL188" s="4">
        <v>7.20550829583333</v>
      </c>
      <c r="AM188">
        <v>6.1</v>
      </c>
      <c r="AN188" s="5">
        <f t="shared" si="75"/>
        <v>1.10550829583333</v>
      </c>
      <c r="AO188">
        <v>1.89</v>
      </c>
      <c r="AP188" s="3">
        <f t="shared" si="76"/>
        <v>0.58492502425044</v>
      </c>
      <c r="AR188" s="4">
        <v>1.09645834166667</v>
      </c>
      <c r="AS188">
        <v>0.02</v>
      </c>
      <c r="AT188" s="5">
        <f t="shared" si="77"/>
        <v>1.07645834166667</v>
      </c>
      <c r="AU188">
        <v>2.84</v>
      </c>
      <c r="AV188" s="3">
        <f t="shared" si="78"/>
        <v>0.379034627347419</v>
      </c>
      <c r="AX188" s="4">
        <v>16.4011999791666</v>
      </c>
      <c r="AY188">
        <v>3.44</v>
      </c>
      <c r="AZ188" s="5">
        <f t="shared" si="79"/>
        <v>12.9611999791666</v>
      </c>
      <c r="BA188">
        <v>29.17</v>
      </c>
      <c r="BB188" s="3">
        <f t="shared" si="80"/>
        <v>0.444333218346472</v>
      </c>
      <c r="BD188" s="4">
        <v>0.424833333333333</v>
      </c>
      <c r="BE188">
        <v>0.17</v>
      </c>
      <c r="BF188" s="5">
        <f t="shared" si="81"/>
        <v>0.254833333333333</v>
      </c>
      <c r="BG188">
        <v>4</v>
      </c>
      <c r="BH188" s="3">
        <f t="shared" si="82"/>
        <v>0.0637083333333333</v>
      </c>
      <c r="BJ188" s="9">
        <v>5.32049996666667</v>
      </c>
      <c r="BK188">
        <v>4.8</v>
      </c>
      <c r="BL188" s="5">
        <f t="shared" si="83"/>
        <v>0.52049996666667</v>
      </c>
      <c r="BM188">
        <v>8.9</v>
      </c>
      <c r="BN188" s="3">
        <f t="shared" si="84"/>
        <v>0.0584831423220978</v>
      </c>
      <c r="BP188" s="9">
        <v>0.229325</v>
      </c>
      <c r="BQ188">
        <v>0.09</v>
      </c>
      <c r="BR188" s="5">
        <f t="shared" si="85"/>
        <v>0.139325</v>
      </c>
      <c r="BS188">
        <v>0.43</v>
      </c>
      <c r="BT188" s="3">
        <f t="shared" si="86"/>
        <v>0.324011627906977</v>
      </c>
      <c r="BV188" s="4">
        <v>6.87822291666667</v>
      </c>
      <c r="BW188">
        <v>6.18</v>
      </c>
      <c r="BX188" s="5">
        <f t="shared" si="87"/>
        <v>0.69822291666667</v>
      </c>
      <c r="BY188">
        <v>1.68</v>
      </c>
      <c r="BZ188" s="3">
        <f t="shared" si="88"/>
        <v>0.415608878968256</v>
      </c>
      <c r="CB188" s="10">
        <v>99.4</v>
      </c>
      <c r="CC188">
        <v>54.3</v>
      </c>
      <c r="CD188" s="12">
        <f t="shared" si="89"/>
        <v>45.1</v>
      </c>
      <c r="CE188">
        <v>71.3</v>
      </c>
      <c r="CF188" s="3">
        <f t="shared" si="90"/>
        <v>0.632538569424965</v>
      </c>
      <c r="CH188" s="13">
        <v>29.7</v>
      </c>
      <c r="CI188">
        <v>22.6</v>
      </c>
      <c r="CJ188">
        <f t="shared" si="91"/>
        <v>7.1</v>
      </c>
      <c r="CK188">
        <v>25.1</v>
      </c>
      <c r="CL188">
        <f t="shared" si="92"/>
        <v>0.282868525896414</v>
      </c>
      <c r="CN188" s="10">
        <v>5.2</v>
      </c>
      <c r="CO188">
        <v>3</v>
      </c>
      <c r="CP188" s="12">
        <f t="shared" si="93"/>
        <v>2.2</v>
      </c>
      <c r="CQ188">
        <v>3.4</v>
      </c>
      <c r="CR188" s="3">
        <f t="shared" si="94"/>
        <v>0.647058823529412</v>
      </c>
    </row>
    <row r="189" spans="2:96">
      <c r="B189" s="1">
        <v>48021</v>
      </c>
      <c r="C189">
        <v>32416</v>
      </c>
      <c r="D189" s="2">
        <f t="shared" si="95"/>
        <v>15605</v>
      </c>
      <c r="E189">
        <v>31904</v>
      </c>
      <c r="F189" s="3">
        <f t="shared" si="64"/>
        <v>0.489123620862588</v>
      </c>
      <c r="H189" s="1">
        <v>47866</v>
      </c>
      <c r="I189">
        <v>31145</v>
      </c>
      <c r="J189" s="2">
        <f t="shared" si="65"/>
        <v>16721</v>
      </c>
      <c r="K189">
        <v>32760</v>
      </c>
      <c r="L189" s="3">
        <f t="shared" si="66"/>
        <v>0.510409035409035</v>
      </c>
      <c r="N189" s="4">
        <v>253.670002616667</v>
      </c>
      <c r="O189">
        <v>201.27</v>
      </c>
      <c r="P189" s="5">
        <f t="shared" si="67"/>
        <v>52.400002616667</v>
      </c>
      <c r="Q189">
        <v>79.69</v>
      </c>
      <c r="R189" s="3">
        <f t="shared" si="68"/>
        <v>0.65754803132974</v>
      </c>
      <c r="T189" s="4">
        <v>173.616666316666</v>
      </c>
      <c r="U189">
        <v>100.23</v>
      </c>
      <c r="V189" s="5">
        <f t="shared" si="69"/>
        <v>73.386666316666</v>
      </c>
      <c r="W189">
        <v>410.93</v>
      </c>
      <c r="X189" s="3">
        <f t="shared" si="70"/>
        <v>0.178586781974219</v>
      </c>
      <c r="Z189" s="4">
        <v>31.423125025</v>
      </c>
      <c r="AA189">
        <v>13.25</v>
      </c>
      <c r="AB189" s="5">
        <f t="shared" si="71"/>
        <v>18.173125025</v>
      </c>
      <c r="AC189">
        <v>33.93</v>
      </c>
      <c r="AD189" s="3">
        <f t="shared" si="72"/>
        <v>0.535606396257</v>
      </c>
      <c r="AF189" s="4">
        <v>3.69</v>
      </c>
      <c r="AG189">
        <v>2.09</v>
      </c>
      <c r="AH189" s="5">
        <f t="shared" si="73"/>
        <v>1.6</v>
      </c>
      <c r="AI189">
        <v>3.85</v>
      </c>
      <c r="AJ189" s="3">
        <f t="shared" si="74"/>
        <v>0.415584415584416</v>
      </c>
      <c r="AL189" s="4">
        <v>7.18474167083333</v>
      </c>
      <c r="AM189">
        <v>6.1</v>
      </c>
      <c r="AN189" s="5">
        <f t="shared" si="75"/>
        <v>1.08474167083333</v>
      </c>
      <c r="AO189">
        <v>1.89</v>
      </c>
      <c r="AP189" s="3">
        <f t="shared" si="76"/>
        <v>0.573937391975307</v>
      </c>
      <c r="AR189" s="4">
        <v>1.32895834583333</v>
      </c>
      <c r="AS189">
        <v>0.02</v>
      </c>
      <c r="AT189" s="5">
        <f t="shared" si="77"/>
        <v>1.30895834583333</v>
      </c>
      <c r="AU189">
        <v>2.84</v>
      </c>
      <c r="AV189" s="3">
        <f t="shared" si="78"/>
        <v>0.460900825997651</v>
      </c>
      <c r="AX189" s="4">
        <v>17.0277999041666</v>
      </c>
      <c r="AY189">
        <v>3.44</v>
      </c>
      <c r="AZ189" s="5">
        <f t="shared" si="79"/>
        <v>13.5877999041666</v>
      </c>
      <c r="BA189">
        <v>29.17</v>
      </c>
      <c r="BB189" s="3">
        <f t="shared" si="80"/>
        <v>0.465814189378354</v>
      </c>
      <c r="BD189" s="4">
        <v>0.521250004166667</v>
      </c>
      <c r="BE189">
        <v>0.17</v>
      </c>
      <c r="BF189" s="5">
        <f t="shared" si="81"/>
        <v>0.351250004166667</v>
      </c>
      <c r="BG189">
        <v>4</v>
      </c>
      <c r="BH189" s="3">
        <f t="shared" si="82"/>
        <v>0.0878125010416667</v>
      </c>
      <c r="BJ189" s="9">
        <v>5.97783329166667</v>
      </c>
      <c r="BK189">
        <v>4.8</v>
      </c>
      <c r="BL189" s="5">
        <f t="shared" si="83"/>
        <v>1.17783329166667</v>
      </c>
      <c r="BM189">
        <v>8.9</v>
      </c>
      <c r="BN189" s="3">
        <f t="shared" si="84"/>
        <v>0.13234081928839</v>
      </c>
      <c r="BP189" s="9">
        <v>0.244133333333333</v>
      </c>
      <c r="BQ189">
        <v>0.09</v>
      </c>
      <c r="BR189" s="5">
        <f t="shared" si="85"/>
        <v>0.154133333333333</v>
      </c>
      <c r="BS189">
        <v>0.43</v>
      </c>
      <c r="BT189" s="3">
        <f t="shared" si="86"/>
        <v>0.3584496124031</v>
      </c>
      <c r="BV189" s="4">
        <v>6.94906244583333</v>
      </c>
      <c r="BW189">
        <v>6.18</v>
      </c>
      <c r="BX189" s="5">
        <f t="shared" si="87"/>
        <v>0.76906244583333</v>
      </c>
      <c r="BY189">
        <v>1.68</v>
      </c>
      <c r="BZ189" s="3">
        <f t="shared" si="88"/>
        <v>0.457775265376982</v>
      </c>
      <c r="CB189" s="10">
        <v>100.8</v>
      </c>
      <c r="CC189">
        <v>54.3</v>
      </c>
      <c r="CD189" s="12">
        <f t="shared" si="89"/>
        <v>46.5</v>
      </c>
      <c r="CE189">
        <v>71.3</v>
      </c>
      <c r="CF189" s="3">
        <f t="shared" si="90"/>
        <v>0.652173913043478</v>
      </c>
      <c r="CH189" s="13">
        <v>31.4</v>
      </c>
      <c r="CI189">
        <v>22.6</v>
      </c>
      <c r="CJ189">
        <f t="shared" si="91"/>
        <v>8.8</v>
      </c>
      <c r="CK189">
        <v>25.1</v>
      </c>
      <c r="CL189">
        <f t="shared" si="92"/>
        <v>0.350597609561753</v>
      </c>
      <c r="CN189" s="10">
        <v>4.9</v>
      </c>
      <c r="CO189">
        <v>3</v>
      </c>
      <c r="CP189" s="12">
        <f t="shared" si="93"/>
        <v>1.9</v>
      </c>
      <c r="CQ189">
        <v>3.4</v>
      </c>
      <c r="CR189" s="3">
        <f t="shared" si="94"/>
        <v>0.558823529411765</v>
      </c>
    </row>
    <row r="190" spans="2:96">
      <c r="B190" s="1">
        <v>44325</v>
      </c>
      <c r="C190">
        <v>32416</v>
      </c>
      <c r="D190" s="2">
        <f t="shared" si="95"/>
        <v>11909</v>
      </c>
      <c r="E190">
        <v>31904</v>
      </c>
      <c r="F190" s="3">
        <f t="shared" si="64"/>
        <v>0.373276078234704</v>
      </c>
      <c r="H190" s="1">
        <v>43693</v>
      </c>
      <c r="I190">
        <v>31145</v>
      </c>
      <c r="J190" s="2">
        <f t="shared" si="65"/>
        <v>12548</v>
      </c>
      <c r="K190">
        <v>32760</v>
      </c>
      <c r="L190" s="3">
        <f t="shared" si="66"/>
        <v>0.383028083028083</v>
      </c>
      <c r="N190" s="4">
        <v>258.823332475</v>
      </c>
      <c r="O190">
        <v>201.27</v>
      </c>
      <c r="P190" s="5">
        <f t="shared" si="67"/>
        <v>57.553332475</v>
      </c>
      <c r="Q190">
        <v>79.69</v>
      </c>
      <c r="R190" s="3">
        <f t="shared" si="68"/>
        <v>0.72221523999247</v>
      </c>
      <c r="T190" s="4">
        <v>168.195833658333</v>
      </c>
      <c r="U190">
        <v>100.23</v>
      </c>
      <c r="V190" s="5">
        <f t="shared" si="69"/>
        <v>67.965833658333</v>
      </c>
      <c r="W190">
        <v>410.93</v>
      </c>
      <c r="X190" s="3">
        <f t="shared" si="70"/>
        <v>0.165395161361626</v>
      </c>
      <c r="Z190" s="4">
        <v>32.6591667833333</v>
      </c>
      <c r="AA190">
        <v>13.25</v>
      </c>
      <c r="AB190" s="5">
        <f t="shared" si="71"/>
        <v>19.4091667833333</v>
      </c>
      <c r="AC190">
        <v>33.93</v>
      </c>
      <c r="AD190" s="3">
        <f t="shared" si="72"/>
        <v>0.572035566853324</v>
      </c>
      <c r="AF190" s="4">
        <v>4.57</v>
      </c>
      <c r="AG190">
        <v>2.09</v>
      </c>
      <c r="AH190" s="5">
        <f t="shared" si="73"/>
        <v>2.48</v>
      </c>
      <c r="AI190">
        <v>3.85</v>
      </c>
      <c r="AJ190" s="3">
        <f t="shared" si="74"/>
        <v>0.644155844155844</v>
      </c>
      <c r="AL190" s="4">
        <v>7.17249179166666</v>
      </c>
      <c r="AM190">
        <v>6.1</v>
      </c>
      <c r="AN190" s="5">
        <f t="shared" si="75"/>
        <v>1.07249179166666</v>
      </c>
      <c r="AO190">
        <v>1.89</v>
      </c>
      <c r="AP190" s="3">
        <f t="shared" si="76"/>
        <v>0.567455974426805</v>
      </c>
      <c r="AR190" s="4">
        <v>1.37000002916667</v>
      </c>
      <c r="AS190">
        <v>0.02</v>
      </c>
      <c r="AT190" s="5">
        <f t="shared" si="77"/>
        <v>1.35000002916667</v>
      </c>
      <c r="AU190">
        <v>2.84</v>
      </c>
      <c r="AV190" s="3">
        <f t="shared" si="78"/>
        <v>0.475352122946011</v>
      </c>
      <c r="AX190" s="4">
        <v>15.1349999958333</v>
      </c>
      <c r="AY190">
        <v>3.44</v>
      </c>
      <c r="AZ190" s="5">
        <f t="shared" si="79"/>
        <v>11.6949999958333</v>
      </c>
      <c r="BA190">
        <v>29.17</v>
      </c>
      <c r="BB190" s="3">
        <f t="shared" si="80"/>
        <v>0.400925608359044</v>
      </c>
      <c r="BD190" s="4">
        <v>0.600916666666667</v>
      </c>
      <c r="BE190">
        <v>0.17</v>
      </c>
      <c r="BF190" s="5">
        <f t="shared" si="81"/>
        <v>0.430916666666667</v>
      </c>
      <c r="BG190">
        <v>4</v>
      </c>
      <c r="BH190" s="3">
        <f t="shared" si="82"/>
        <v>0.107729166666667</v>
      </c>
      <c r="BJ190" s="9">
        <v>6.50058335</v>
      </c>
      <c r="BK190">
        <v>4.8</v>
      </c>
      <c r="BL190" s="5">
        <f t="shared" si="83"/>
        <v>1.70058335</v>
      </c>
      <c r="BM190">
        <v>8.9</v>
      </c>
      <c r="BN190" s="3">
        <f t="shared" si="84"/>
        <v>0.191076780898876</v>
      </c>
      <c r="BP190" s="9">
        <v>0.27765</v>
      </c>
      <c r="BQ190">
        <v>0.09</v>
      </c>
      <c r="BR190" s="5">
        <f t="shared" si="85"/>
        <v>0.18765</v>
      </c>
      <c r="BS190">
        <v>0.43</v>
      </c>
      <c r="BT190" s="3">
        <f t="shared" si="86"/>
        <v>0.436395348837209</v>
      </c>
      <c r="BV190" s="4">
        <v>6.90944162916667</v>
      </c>
      <c r="BW190">
        <v>6.18</v>
      </c>
      <c r="BX190" s="5">
        <f t="shared" si="87"/>
        <v>0.72944162916667</v>
      </c>
      <c r="BY190">
        <v>1.68</v>
      </c>
      <c r="BZ190" s="3">
        <f t="shared" si="88"/>
        <v>0.434191445932542</v>
      </c>
      <c r="CB190" s="10">
        <v>101.2</v>
      </c>
      <c r="CC190">
        <v>54.3</v>
      </c>
      <c r="CD190" s="12">
        <f t="shared" si="89"/>
        <v>46.9</v>
      </c>
      <c r="CE190">
        <v>71.3</v>
      </c>
      <c r="CF190" s="3">
        <f t="shared" si="90"/>
        <v>0.657784011220196</v>
      </c>
      <c r="CH190" s="13">
        <v>33.4</v>
      </c>
      <c r="CI190">
        <v>22.6</v>
      </c>
      <c r="CJ190">
        <f t="shared" si="91"/>
        <v>10.8</v>
      </c>
      <c r="CK190">
        <v>25.1</v>
      </c>
      <c r="CL190">
        <f t="shared" si="92"/>
        <v>0.430278884462151</v>
      </c>
      <c r="CN190" s="11">
        <v>4.7</v>
      </c>
      <c r="CO190">
        <v>3</v>
      </c>
      <c r="CP190" s="12">
        <f t="shared" si="93"/>
        <v>1.7</v>
      </c>
      <c r="CQ190">
        <v>3.4</v>
      </c>
      <c r="CR190" s="3">
        <f t="shared" si="94"/>
        <v>0.5</v>
      </c>
    </row>
    <row r="191" spans="2:96">
      <c r="B191" s="1">
        <v>45916</v>
      </c>
      <c r="C191">
        <v>32416</v>
      </c>
      <c r="D191" s="2">
        <f t="shared" si="95"/>
        <v>13500</v>
      </c>
      <c r="E191">
        <v>31904</v>
      </c>
      <c r="F191" s="3">
        <f t="shared" si="64"/>
        <v>0.4231444332999</v>
      </c>
      <c r="H191" s="1">
        <v>45681</v>
      </c>
      <c r="I191">
        <v>31145</v>
      </c>
      <c r="J191" s="2">
        <f t="shared" si="65"/>
        <v>14536</v>
      </c>
      <c r="K191">
        <v>32760</v>
      </c>
      <c r="L191" s="3">
        <f t="shared" si="66"/>
        <v>0.443711843711844</v>
      </c>
      <c r="N191" s="4">
        <v>263.183333070833</v>
      </c>
      <c r="O191">
        <v>201.27</v>
      </c>
      <c r="P191" s="5">
        <f t="shared" si="67"/>
        <v>61.913333070833</v>
      </c>
      <c r="Q191">
        <v>79.69</v>
      </c>
      <c r="R191" s="3">
        <f t="shared" si="68"/>
        <v>0.776927256504367</v>
      </c>
      <c r="T191" s="4">
        <v>192.916666345833</v>
      </c>
      <c r="U191">
        <v>100.23</v>
      </c>
      <c r="V191" s="5">
        <f t="shared" si="69"/>
        <v>92.686666345833</v>
      </c>
      <c r="W191">
        <v>410.93</v>
      </c>
      <c r="X191" s="3">
        <f t="shared" si="70"/>
        <v>0.225553418698642</v>
      </c>
      <c r="Z191" s="4">
        <v>26.2749999916666</v>
      </c>
      <c r="AA191">
        <v>13.25</v>
      </c>
      <c r="AB191" s="5">
        <f t="shared" si="71"/>
        <v>13.0249999916666</v>
      </c>
      <c r="AC191">
        <v>33.93</v>
      </c>
      <c r="AD191" s="3">
        <f t="shared" si="72"/>
        <v>0.38387857328814</v>
      </c>
      <c r="AF191" s="4">
        <v>4.05</v>
      </c>
      <c r="AG191">
        <v>2.09</v>
      </c>
      <c r="AH191" s="5">
        <f t="shared" si="73"/>
        <v>1.96</v>
      </c>
      <c r="AI191">
        <v>3.85</v>
      </c>
      <c r="AJ191" s="3">
        <f t="shared" si="74"/>
        <v>0.509090909090909</v>
      </c>
      <c r="AL191" s="4">
        <v>7.1671833375</v>
      </c>
      <c r="AM191">
        <v>6.1</v>
      </c>
      <c r="AN191" s="5">
        <f t="shared" si="75"/>
        <v>1.0671833375</v>
      </c>
      <c r="AO191">
        <v>1.89</v>
      </c>
      <c r="AP191" s="3">
        <f t="shared" si="76"/>
        <v>0.564647268518519</v>
      </c>
      <c r="AR191" s="4">
        <v>0.91312512083333</v>
      </c>
      <c r="AS191">
        <v>0.02</v>
      </c>
      <c r="AT191" s="5">
        <f t="shared" si="77"/>
        <v>0.89312512083333</v>
      </c>
      <c r="AU191">
        <v>2.84</v>
      </c>
      <c r="AV191" s="3">
        <f t="shared" si="78"/>
        <v>0.314480676349764</v>
      </c>
      <c r="AX191" s="4">
        <v>16.2590666791666</v>
      </c>
      <c r="AY191">
        <v>3.44</v>
      </c>
      <c r="AZ191" s="5">
        <f t="shared" si="79"/>
        <v>12.8190666791666</v>
      </c>
      <c r="BA191">
        <v>29.17</v>
      </c>
      <c r="BB191" s="3">
        <f t="shared" si="80"/>
        <v>0.439460633499026</v>
      </c>
      <c r="BD191" s="4">
        <v>1.35266664166667</v>
      </c>
      <c r="BE191">
        <v>0.17</v>
      </c>
      <c r="BF191" s="5">
        <f t="shared" si="81"/>
        <v>1.18266664166667</v>
      </c>
      <c r="BG191">
        <v>4</v>
      </c>
      <c r="BH191" s="3">
        <f t="shared" si="82"/>
        <v>0.295666660416668</v>
      </c>
      <c r="BJ191" s="9">
        <v>8.4334166875</v>
      </c>
      <c r="BK191">
        <v>4.8</v>
      </c>
      <c r="BL191" s="5">
        <f t="shared" si="83"/>
        <v>3.6334166875</v>
      </c>
      <c r="BM191">
        <v>8.9</v>
      </c>
      <c r="BN191" s="3">
        <f t="shared" si="84"/>
        <v>0.408249066011236</v>
      </c>
      <c r="BP191" s="9">
        <v>0.304516666666667</v>
      </c>
      <c r="BQ191">
        <v>0.09</v>
      </c>
      <c r="BR191" s="5">
        <f t="shared" si="85"/>
        <v>0.214516666666667</v>
      </c>
      <c r="BS191">
        <v>0.43</v>
      </c>
      <c r="BT191" s="3">
        <f t="shared" si="86"/>
        <v>0.498875968992249</v>
      </c>
      <c r="BV191" s="4">
        <v>6.842995775</v>
      </c>
      <c r="BW191">
        <v>6.18</v>
      </c>
      <c r="BX191" s="5">
        <f t="shared" si="87"/>
        <v>0.662995775000001</v>
      </c>
      <c r="BY191">
        <v>1.68</v>
      </c>
      <c r="BZ191" s="3">
        <f t="shared" si="88"/>
        <v>0.394640342261905</v>
      </c>
      <c r="CB191" s="10">
        <v>99.2</v>
      </c>
      <c r="CC191">
        <v>54.3</v>
      </c>
      <c r="CD191" s="12">
        <f t="shared" si="89"/>
        <v>44.9</v>
      </c>
      <c r="CE191">
        <v>71.3</v>
      </c>
      <c r="CF191" s="3">
        <f t="shared" si="90"/>
        <v>0.629733520336606</v>
      </c>
      <c r="CH191" s="13">
        <v>32.8</v>
      </c>
      <c r="CI191">
        <v>22.6</v>
      </c>
      <c r="CJ191">
        <f t="shared" si="91"/>
        <v>10.2</v>
      </c>
      <c r="CK191">
        <v>25.1</v>
      </c>
      <c r="CL191">
        <f t="shared" si="92"/>
        <v>0.406374501992032</v>
      </c>
      <c r="CN191" s="10">
        <v>4.5</v>
      </c>
      <c r="CO191">
        <v>3</v>
      </c>
      <c r="CP191" s="12">
        <f t="shared" si="93"/>
        <v>1.5</v>
      </c>
      <c r="CQ191">
        <v>3.4</v>
      </c>
      <c r="CR191" s="3">
        <f t="shared" si="94"/>
        <v>0.441176470588235</v>
      </c>
    </row>
    <row r="192" spans="2:96">
      <c r="B192" s="1">
        <v>61716</v>
      </c>
      <c r="C192">
        <v>32416</v>
      </c>
      <c r="D192" s="2">
        <f t="shared" si="95"/>
        <v>29300</v>
      </c>
      <c r="E192">
        <v>31904</v>
      </c>
      <c r="F192" s="3">
        <f t="shared" si="64"/>
        <v>0.918380140421264</v>
      </c>
      <c r="H192" s="1">
        <v>61591</v>
      </c>
      <c r="I192">
        <v>31145</v>
      </c>
      <c r="J192" s="2">
        <f t="shared" si="65"/>
        <v>30446</v>
      </c>
      <c r="K192">
        <v>32760</v>
      </c>
      <c r="L192" s="3">
        <f t="shared" si="66"/>
        <v>0.929365079365079</v>
      </c>
      <c r="N192" s="4">
        <v>249.813336675</v>
      </c>
      <c r="O192">
        <v>201.27</v>
      </c>
      <c r="P192" s="5">
        <f t="shared" si="67"/>
        <v>48.543336675</v>
      </c>
      <c r="Q192">
        <v>79.69</v>
      </c>
      <c r="R192" s="3">
        <f t="shared" si="68"/>
        <v>0.609152173108294</v>
      </c>
      <c r="T192" s="4">
        <v>175.0833330125</v>
      </c>
      <c r="U192">
        <v>100.23</v>
      </c>
      <c r="V192" s="5">
        <f t="shared" si="69"/>
        <v>74.8533330125</v>
      </c>
      <c r="W192">
        <v>410.93</v>
      </c>
      <c r="X192" s="3">
        <f t="shared" si="70"/>
        <v>0.182155921963595</v>
      </c>
      <c r="Z192" s="4">
        <v>29.0458332458333</v>
      </c>
      <c r="AA192">
        <v>13.25</v>
      </c>
      <c r="AB192" s="5">
        <f t="shared" si="71"/>
        <v>15.7958332458333</v>
      </c>
      <c r="AC192">
        <v>33.93</v>
      </c>
      <c r="AD192" s="3">
        <f t="shared" si="72"/>
        <v>0.465541799169859</v>
      </c>
      <c r="AF192" s="16">
        <v>2.54</v>
      </c>
      <c r="AG192">
        <v>2.09</v>
      </c>
      <c r="AH192" s="5">
        <f t="shared" si="73"/>
        <v>0.45</v>
      </c>
      <c r="AI192">
        <v>3.85</v>
      </c>
      <c r="AJ192" s="3">
        <f t="shared" si="74"/>
        <v>0.116883116883117</v>
      </c>
      <c r="AL192" s="4">
        <v>7.11404167916667</v>
      </c>
      <c r="AM192">
        <v>6.1</v>
      </c>
      <c r="AN192" s="5">
        <f t="shared" si="75"/>
        <v>1.01404167916667</v>
      </c>
      <c r="AO192">
        <v>1.89</v>
      </c>
      <c r="AP192" s="3">
        <f t="shared" si="76"/>
        <v>0.536529988977074</v>
      </c>
      <c r="AR192" s="4">
        <v>1.40270834166667</v>
      </c>
      <c r="AS192">
        <v>0.02</v>
      </c>
      <c r="AT192" s="5">
        <f t="shared" si="77"/>
        <v>1.38270834166667</v>
      </c>
      <c r="AU192">
        <v>2.84</v>
      </c>
      <c r="AV192" s="3">
        <f t="shared" si="78"/>
        <v>0.486869134389672</v>
      </c>
      <c r="AX192" s="4">
        <v>18.08946675</v>
      </c>
      <c r="AY192">
        <v>3.44</v>
      </c>
      <c r="AZ192" s="5">
        <f t="shared" si="79"/>
        <v>14.64946675</v>
      </c>
      <c r="BA192">
        <v>29.17</v>
      </c>
      <c r="BB192" s="3">
        <f t="shared" si="80"/>
        <v>0.502210035995886</v>
      </c>
      <c r="BD192" s="4">
        <v>1.4203333125</v>
      </c>
      <c r="BE192">
        <v>0.17</v>
      </c>
      <c r="BF192" s="5">
        <f t="shared" si="81"/>
        <v>1.2503333125</v>
      </c>
      <c r="BG192">
        <v>4</v>
      </c>
      <c r="BH192" s="3">
        <f t="shared" si="82"/>
        <v>0.312583328125</v>
      </c>
      <c r="BJ192" s="9">
        <v>7.77783330416667</v>
      </c>
      <c r="BK192">
        <v>4.8</v>
      </c>
      <c r="BL192" s="5">
        <f t="shared" si="83"/>
        <v>2.97783330416667</v>
      </c>
      <c r="BM192">
        <v>8.9</v>
      </c>
      <c r="BN192" s="3">
        <f t="shared" si="84"/>
        <v>0.33458801170412</v>
      </c>
      <c r="BP192" s="9">
        <v>0.332958333333333</v>
      </c>
      <c r="BQ192">
        <v>0.09</v>
      </c>
      <c r="BR192" s="5">
        <f t="shared" si="85"/>
        <v>0.242958333333333</v>
      </c>
      <c r="BS192">
        <v>0.43</v>
      </c>
      <c r="BT192" s="3">
        <f t="shared" si="86"/>
        <v>0.565019379844961</v>
      </c>
      <c r="BV192" s="4">
        <v>6.98868335</v>
      </c>
      <c r="BW192">
        <v>6.18</v>
      </c>
      <c r="BX192" s="5">
        <f t="shared" si="87"/>
        <v>0.80868335</v>
      </c>
      <c r="BY192">
        <v>1.68</v>
      </c>
      <c r="BZ192" s="3">
        <f t="shared" si="88"/>
        <v>0.481359136904762</v>
      </c>
      <c r="CB192" s="10">
        <v>100.4</v>
      </c>
      <c r="CC192">
        <v>54.3</v>
      </c>
      <c r="CD192" s="12">
        <f t="shared" si="89"/>
        <v>46.1</v>
      </c>
      <c r="CE192">
        <v>71.3</v>
      </c>
      <c r="CF192" s="3">
        <f t="shared" si="90"/>
        <v>0.64656381486676</v>
      </c>
      <c r="CH192" s="13">
        <v>28.7</v>
      </c>
      <c r="CI192">
        <v>22.6</v>
      </c>
      <c r="CJ192">
        <f t="shared" si="91"/>
        <v>6.1</v>
      </c>
      <c r="CK192">
        <v>25.1</v>
      </c>
      <c r="CL192">
        <f t="shared" si="92"/>
        <v>0.243027888446215</v>
      </c>
      <c r="CN192" s="10">
        <v>4.3</v>
      </c>
      <c r="CO192">
        <v>3</v>
      </c>
      <c r="CP192" s="12">
        <f t="shared" si="93"/>
        <v>1.3</v>
      </c>
      <c r="CQ192">
        <v>3.4</v>
      </c>
      <c r="CR192" s="3">
        <f t="shared" si="94"/>
        <v>0.382352941176471</v>
      </c>
    </row>
    <row r="193" spans="2:96">
      <c r="B193" s="1">
        <v>64108</v>
      </c>
      <c r="C193">
        <v>32416</v>
      </c>
      <c r="D193" s="2">
        <f t="shared" si="95"/>
        <v>31692</v>
      </c>
      <c r="E193">
        <v>31904</v>
      </c>
      <c r="F193" s="3">
        <f t="shared" si="64"/>
        <v>0.993355065195587</v>
      </c>
      <c r="H193" s="1">
        <v>63800</v>
      </c>
      <c r="I193">
        <v>31145</v>
      </c>
      <c r="J193" s="2">
        <f t="shared" si="65"/>
        <v>32655</v>
      </c>
      <c r="K193">
        <v>32760</v>
      </c>
      <c r="L193" s="3">
        <f t="shared" si="66"/>
        <v>0.996794871794872</v>
      </c>
      <c r="N193" s="4">
        <v>255.860872347826</v>
      </c>
      <c r="O193">
        <v>201.27</v>
      </c>
      <c r="P193" s="5">
        <f t="shared" si="67"/>
        <v>54.590872347826</v>
      </c>
      <c r="Q193">
        <v>79.69</v>
      </c>
      <c r="R193" s="3">
        <f t="shared" si="68"/>
        <v>0.68504043603747</v>
      </c>
      <c r="T193" s="4">
        <v>235.495652404347</v>
      </c>
      <c r="U193">
        <v>100.23</v>
      </c>
      <c r="V193" s="5">
        <f t="shared" si="69"/>
        <v>135.265652404347</v>
      </c>
      <c r="W193">
        <v>410.93</v>
      </c>
      <c r="X193" s="3">
        <f t="shared" si="70"/>
        <v>0.32916957244384</v>
      </c>
      <c r="Z193" s="4">
        <v>27.2770833958333</v>
      </c>
      <c r="AA193">
        <v>13.25</v>
      </c>
      <c r="AB193" s="5">
        <f t="shared" si="71"/>
        <v>14.0270833958333</v>
      </c>
      <c r="AC193">
        <v>33.93</v>
      </c>
      <c r="AD193" s="3">
        <f t="shared" si="72"/>
        <v>0.413412419564789</v>
      </c>
      <c r="AF193" s="17">
        <v>2.09</v>
      </c>
      <c r="AG193">
        <v>2.09</v>
      </c>
      <c r="AH193" s="5">
        <f t="shared" si="73"/>
        <v>0</v>
      </c>
      <c r="AI193">
        <v>3.85</v>
      </c>
      <c r="AJ193" s="3">
        <f t="shared" si="74"/>
        <v>0</v>
      </c>
      <c r="AL193" s="4">
        <v>7.06184342173913</v>
      </c>
      <c r="AM193">
        <v>6.1</v>
      </c>
      <c r="AN193" s="5">
        <f t="shared" si="75"/>
        <v>0.961843421739131</v>
      </c>
      <c r="AO193">
        <v>1.89</v>
      </c>
      <c r="AP193" s="3">
        <f t="shared" si="76"/>
        <v>0.508911863354037</v>
      </c>
      <c r="AR193" s="4">
        <v>1.32645833333333</v>
      </c>
      <c r="AS193">
        <v>0.02</v>
      </c>
      <c r="AT193" s="5">
        <f t="shared" si="77"/>
        <v>1.30645833333333</v>
      </c>
      <c r="AU193">
        <v>2.84</v>
      </c>
      <c r="AV193" s="3">
        <f t="shared" si="78"/>
        <v>0.460020539906102</v>
      </c>
      <c r="AX193" s="4">
        <v>15.393530447826</v>
      </c>
      <c r="AY193">
        <v>3.44</v>
      </c>
      <c r="AZ193" s="5">
        <f t="shared" si="79"/>
        <v>11.953530447826</v>
      </c>
      <c r="BA193">
        <v>29.17</v>
      </c>
      <c r="BB193" s="3">
        <f t="shared" si="80"/>
        <v>0.409788496668701</v>
      </c>
      <c r="BD193" s="4">
        <v>0.424434782608696</v>
      </c>
      <c r="BE193">
        <v>0.17</v>
      </c>
      <c r="BF193" s="5">
        <f t="shared" si="81"/>
        <v>0.254434782608696</v>
      </c>
      <c r="BG193">
        <v>4</v>
      </c>
      <c r="BH193" s="3">
        <f t="shared" si="82"/>
        <v>0.063608695652174</v>
      </c>
      <c r="BJ193" s="9">
        <v>10.9275652695652</v>
      </c>
      <c r="BK193">
        <v>4.8</v>
      </c>
      <c r="BL193" s="5">
        <f t="shared" si="83"/>
        <v>6.1275652695652</v>
      </c>
      <c r="BM193">
        <v>8.9</v>
      </c>
      <c r="BN193" s="3">
        <f t="shared" si="84"/>
        <v>0.688490479726427</v>
      </c>
      <c r="BP193" s="9">
        <v>0.295460869565217</v>
      </c>
      <c r="BQ193">
        <v>0.09</v>
      </c>
      <c r="BR193" s="5">
        <f t="shared" si="85"/>
        <v>0.205460869565217</v>
      </c>
      <c r="BS193">
        <v>0.43</v>
      </c>
      <c r="BT193" s="3">
        <f t="shared" si="86"/>
        <v>0.477815975733063</v>
      </c>
      <c r="BV193" s="4">
        <v>6.90520206666667</v>
      </c>
      <c r="BW193">
        <v>6.18</v>
      </c>
      <c r="BX193" s="5">
        <f t="shared" si="87"/>
        <v>0.72520206666667</v>
      </c>
      <c r="BY193">
        <v>1.68</v>
      </c>
      <c r="BZ193" s="3">
        <f t="shared" si="88"/>
        <v>0.431667896825399</v>
      </c>
      <c r="CB193" s="10">
        <v>100.3</v>
      </c>
      <c r="CC193">
        <v>54.3</v>
      </c>
      <c r="CD193" s="12">
        <f t="shared" si="89"/>
        <v>46</v>
      </c>
      <c r="CE193">
        <v>71.3</v>
      </c>
      <c r="CF193" s="3">
        <f t="shared" si="90"/>
        <v>0.645161290322581</v>
      </c>
      <c r="CH193" s="13">
        <v>29.4</v>
      </c>
      <c r="CI193">
        <v>22.6</v>
      </c>
      <c r="CJ193">
        <f t="shared" si="91"/>
        <v>6.8</v>
      </c>
      <c r="CK193">
        <v>25.1</v>
      </c>
      <c r="CL193">
        <f t="shared" si="92"/>
        <v>0.270916334661354</v>
      </c>
      <c r="CN193" s="10">
        <v>4.4</v>
      </c>
      <c r="CO193">
        <v>3</v>
      </c>
      <c r="CP193" s="12">
        <f t="shared" si="93"/>
        <v>1.4</v>
      </c>
      <c r="CQ193">
        <v>3.4</v>
      </c>
      <c r="CR193" s="3">
        <f t="shared" si="94"/>
        <v>0.411764705882353</v>
      </c>
    </row>
    <row r="194" spans="2:96">
      <c r="B194" s="1">
        <v>64320</v>
      </c>
      <c r="C194">
        <v>32416</v>
      </c>
      <c r="D194" s="2">
        <f t="shared" si="95"/>
        <v>31904</v>
      </c>
      <c r="E194">
        <v>31904</v>
      </c>
      <c r="F194" s="3">
        <f t="shared" ref="F194:F257" si="96">D194/E194</f>
        <v>1</v>
      </c>
      <c r="H194" s="1">
        <v>63905</v>
      </c>
      <c r="I194">
        <v>31145</v>
      </c>
      <c r="J194" s="2">
        <f t="shared" ref="J194:J257" si="97">H194-I194</f>
        <v>32760</v>
      </c>
      <c r="K194">
        <v>32760</v>
      </c>
      <c r="L194" s="3">
        <f t="shared" ref="L194:L257" si="98">J194/K194</f>
        <v>1</v>
      </c>
      <c r="N194" s="4">
        <v>268.041906457143</v>
      </c>
      <c r="O194">
        <v>201.27</v>
      </c>
      <c r="P194" s="5">
        <f t="shared" ref="P194:P257" si="99">N194-O194</f>
        <v>66.771906457143</v>
      </c>
      <c r="Q194">
        <v>79.69</v>
      </c>
      <c r="R194" s="3">
        <f t="shared" ref="R194:R257" si="100">P194/Q194</f>
        <v>0.837895676460572</v>
      </c>
      <c r="T194" s="4">
        <v>239.357143142857</v>
      </c>
      <c r="U194">
        <v>100.23</v>
      </c>
      <c r="V194" s="5">
        <f t="shared" ref="V194:V257" si="101">T194-U194</f>
        <v>139.127143142857</v>
      </c>
      <c r="W194">
        <v>410.93</v>
      </c>
      <c r="X194" s="3">
        <f t="shared" ref="X194:X257" si="102">V194/W194</f>
        <v>0.338566527493386</v>
      </c>
      <c r="Z194" s="4">
        <v>31.081304447826</v>
      </c>
      <c r="AA194">
        <v>13.25</v>
      </c>
      <c r="AB194" s="5">
        <f t="shared" ref="AB194:AB257" si="103">Z194-AA194</f>
        <v>17.831304447826</v>
      </c>
      <c r="AC194">
        <v>33.93</v>
      </c>
      <c r="AD194" s="3">
        <f t="shared" ref="AD194:AD257" si="104">AB194/AC194</f>
        <v>0.525532108689243</v>
      </c>
      <c r="AF194" s="17">
        <v>3.312</v>
      </c>
      <c r="AG194">
        <v>2.09</v>
      </c>
      <c r="AH194" s="5">
        <f t="shared" ref="AH194:AH257" si="105">AF194-AG194</f>
        <v>1.222</v>
      </c>
      <c r="AI194">
        <v>3.85</v>
      </c>
      <c r="AJ194" s="3">
        <f t="shared" ref="AJ194:AJ257" si="106">AH194/AI194</f>
        <v>0.317402597402597</v>
      </c>
      <c r="AL194" s="4">
        <v>7.11706676666667</v>
      </c>
      <c r="AM194">
        <v>6.1</v>
      </c>
      <c r="AN194" s="5">
        <f t="shared" ref="AN194:AN257" si="107">AL194-AM194</f>
        <v>1.01706676666667</v>
      </c>
      <c r="AO194">
        <v>1.89</v>
      </c>
      <c r="AP194" s="3">
        <f t="shared" ref="AP194:AP257" si="108">AN194/AO194</f>
        <v>0.5381305643739</v>
      </c>
      <c r="AR194" s="4">
        <v>1.38375000833333</v>
      </c>
      <c r="AS194">
        <v>0.02</v>
      </c>
      <c r="AT194" s="5">
        <f t="shared" ref="AT194:AT257" si="109">AR194-AS194</f>
        <v>1.36375000833333</v>
      </c>
      <c r="AU194">
        <v>2.84</v>
      </c>
      <c r="AV194" s="3">
        <f t="shared" ref="AV194:AV257" si="110">AT194/AU194</f>
        <v>0.480193664906102</v>
      </c>
      <c r="AX194" s="4">
        <v>14.4601142857142</v>
      </c>
      <c r="AY194">
        <v>3.44</v>
      </c>
      <c r="AZ194" s="5">
        <f t="shared" ref="AZ194:AZ257" si="111">AX194-AY194</f>
        <v>11.0201142857142</v>
      </c>
      <c r="BA194">
        <v>29.17</v>
      </c>
      <c r="BB194" s="3">
        <f t="shared" ref="BB194:BB257" si="112">AZ194/BA194</f>
        <v>0.37778931387433</v>
      </c>
      <c r="BD194" s="4">
        <v>0.28847619047619</v>
      </c>
      <c r="BE194">
        <v>0.17</v>
      </c>
      <c r="BF194" s="5">
        <f t="shared" ref="BF194:BF257" si="113">BD194-BE194</f>
        <v>0.11847619047619</v>
      </c>
      <c r="BG194">
        <v>4</v>
      </c>
      <c r="BH194" s="3">
        <f t="shared" ref="BH194:BH257" si="114">BF194/BG194</f>
        <v>0.0296190476190475</v>
      </c>
      <c r="BJ194" s="9">
        <v>8.61466664761905</v>
      </c>
      <c r="BK194">
        <v>4.8</v>
      </c>
      <c r="BL194" s="5">
        <f t="shared" ref="BL194:BL257" si="115">BJ194-BK194</f>
        <v>3.81466664761905</v>
      </c>
      <c r="BM194">
        <v>8.9</v>
      </c>
      <c r="BN194" s="3">
        <f t="shared" ref="BN194:BN257" si="116">BL194/BM194</f>
        <v>0.428614230069556</v>
      </c>
      <c r="BP194" s="9">
        <v>0.261676190476191</v>
      </c>
      <c r="BQ194">
        <v>0.09</v>
      </c>
      <c r="BR194" s="5">
        <f t="shared" ref="BR194:BR257" si="117">BP194-BQ194</f>
        <v>0.171676190476191</v>
      </c>
      <c r="BS194">
        <v>0.43</v>
      </c>
      <c r="BT194" s="3">
        <f t="shared" ref="BT194:BT257" si="118">BR194/BS194</f>
        <v>0.399246954595793</v>
      </c>
      <c r="BV194" s="4">
        <v>6.85417297916667</v>
      </c>
      <c r="BW194">
        <v>6.18</v>
      </c>
      <c r="BX194" s="5">
        <f t="shared" ref="BX194:BX257" si="119">BV194-BW194</f>
        <v>0.67417297916667</v>
      </c>
      <c r="BY194">
        <v>1.68</v>
      </c>
      <c r="BZ194" s="3">
        <f t="shared" ref="BZ194:BZ257" si="120">BX194/BY194</f>
        <v>0.401293439980161</v>
      </c>
      <c r="CB194" s="10">
        <v>99.1</v>
      </c>
      <c r="CC194">
        <v>54.3</v>
      </c>
      <c r="CD194" s="12">
        <f t="shared" ref="CD194:CD257" si="121">CB194-CC194</f>
        <v>44.8</v>
      </c>
      <c r="CE194">
        <v>71.3</v>
      </c>
      <c r="CF194" s="3">
        <f t="shared" ref="CF194:CF257" si="122">CD194/CE194</f>
        <v>0.628330995792426</v>
      </c>
      <c r="CH194" s="13">
        <v>30.6</v>
      </c>
      <c r="CI194">
        <v>22.6</v>
      </c>
      <c r="CJ194">
        <f t="shared" ref="CJ194:CJ257" si="123">CH194-CI194</f>
        <v>8</v>
      </c>
      <c r="CK194">
        <v>25.1</v>
      </c>
      <c r="CL194">
        <f t="shared" ref="CL194:CL257" si="124">CJ194/CK194</f>
        <v>0.318725099601594</v>
      </c>
      <c r="CN194" s="10">
        <v>4.6</v>
      </c>
      <c r="CO194">
        <v>3</v>
      </c>
      <c r="CP194" s="12">
        <f t="shared" ref="CP194:CP257" si="125">CN194-CO194</f>
        <v>1.6</v>
      </c>
      <c r="CQ194">
        <v>3.4</v>
      </c>
      <c r="CR194" s="3">
        <f t="shared" ref="CR194:CR257" si="126">CP194/CQ194</f>
        <v>0.470588235294118</v>
      </c>
    </row>
    <row r="195" spans="2:96">
      <c r="B195" s="1">
        <v>58206</v>
      </c>
      <c r="C195">
        <v>32416</v>
      </c>
      <c r="D195" s="2">
        <f t="shared" ref="D195:D258" si="127">B195-C195</f>
        <v>25790</v>
      </c>
      <c r="E195">
        <v>31904</v>
      </c>
      <c r="F195" s="3">
        <f t="shared" si="96"/>
        <v>0.80836258776329</v>
      </c>
      <c r="H195" s="1">
        <v>58064</v>
      </c>
      <c r="I195">
        <v>31145</v>
      </c>
      <c r="J195" s="2">
        <f t="shared" si="97"/>
        <v>26919</v>
      </c>
      <c r="K195">
        <v>32760</v>
      </c>
      <c r="L195" s="3">
        <f t="shared" si="98"/>
        <v>0.821703296703297</v>
      </c>
      <c r="N195" s="4">
        <v>259.292629842105</v>
      </c>
      <c r="O195">
        <v>201.27</v>
      </c>
      <c r="P195" s="5">
        <f t="shared" si="99"/>
        <v>58.022629842105</v>
      </c>
      <c r="Q195">
        <v>79.69</v>
      </c>
      <c r="R195" s="3">
        <f t="shared" si="100"/>
        <v>0.728104277100075</v>
      </c>
      <c r="T195" s="4">
        <v>239.784210463157</v>
      </c>
      <c r="U195">
        <v>100.23</v>
      </c>
      <c r="V195" s="5">
        <f t="shared" si="101"/>
        <v>139.554210463157</v>
      </c>
      <c r="W195">
        <v>410.93</v>
      </c>
      <c r="X195" s="3">
        <f t="shared" si="102"/>
        <v>0.339605797734789</v>
      </c>
      <c r="Z195" s="4">
        <v>28.023999955</v>
      </c>
      <c r="AA195">
        <v>13.25</v>
      </c>
      <c r="AB195" s="5">
        <f t="shared" si="103"/>
        <v>14.773999955</v>
      </c>
      <c r="AC195">
        <v>33.93</v>
      </c>
      <c r="AD195" s="3">
        <f t="shared" si="104"/>
        <v>0.435425875478927</v>
      </c>
      <c r="AF195" s="16">
        <v>2.44</v>
      </c>
      <c r="AG195">
        <v>2.09</v>
      </c>
      <c r="AH195" s="5">
        <f t="shared" si="105"/>
        <v>0.35</v>
      </c>
      <c r="AI195">
        <v>3.85</v>
      </c>
      <c r="AJ195" s="3">
        <f t="shared" si="106"/>
        <v>0.0909090909090909</v>
      </c>
      <c r="AL195" s="4">
        <v>7.12754742105263</v>
      </c>
      <c r="AM195">
        <v>6.1</v>
      </c>
      <c r="AN195" s="5">
        <f t="shared" si="107"/>
        <v>1.02754742105263</v>
      </c>
      <c r="AO195">
        <v>1.89</v>
      </c>
      <c r="AP195" s="3">
        <f t="shared" si="108"/>
        <v>0.543675884154831</v>
      </c>
      <c r="AR195" s="4">
        <v>1.35520834166667</v>
      </c>
      <c r="AS195">
        <v>0.02</v>
      </c>
      <c r="AT195" s="5">
        <f t="shared" si="109"/>
        <v>1.33520834166667</v>
      </c>
      <c r="AU195">
        <v>2.84</v>
      </c>
      <c r="AV195" s="3">
        <f t="shared" si="110"/>
        <v>0.470143782276996</v>
      </c>
      <c r="AX195" s="4">
        <v>13.8589474</v>
      </c>
      <c r="AY195">
        <v>3.44</v>
      </c>
      <c r="AZ195" s="5">
        <f t="shared" si="111"/>
        <v>10.4189474</v>
      </c>
      <c r="BA195">
        <v>29.17</v>
      </c>
      <c r="BB195" s="3">
        <f t="shared" si="112"/>
        <v>0.357180233116215</v>
      </c>
      <c r="BD195" s="4">
        <v>0.222631578947368</v>
      </c>
      <c r="BE195">
        <v>0.17</v>
      </c>
      <c r="BF195" s="5">
        <f t="shared" si="113"/>
        <v>0.052631578947368</v>
      </c>
      <c r="BG195">
        <v>4</v>
      </c>
      <c r="BH195" s="3">
        <f t="shared" si="114"/>
        <v>0.013157894736842</v>
      </c>
      <c r="BJ195" s="9">
        <v>11.2344210736842</v>
      </c>
      <c r="BK195">
        <v>4.8</v>
      </c>
      <c r="BL195" s="5">
        <f t="shared" si="115"/>
        <v>6.4344210736842</v>
      </c>
      <c r="BM195">
        <v>8.9</v>
      </c>
      <c r="BN195" s="3">
        <f t="shared" si="116"/>
        <v>0.722968659964517</v>
      </c>
      <c r="BP195" s="9">
        <v>0.242757894736842</v>
      </c>
      <c r="BQ195">
        <v>0.09</v>
      </c>
      <c r="BR195" s="5">
        <f t="shared" si="117"/>
        <v>0.152757894736842</v>
      </c>
      <c r="BS195">
        <v>0.43</v>
      </c>
      <c r="BT195" s="3">
        <f t="shared" si="118"/>
        <v>0.355250917992656</v>
      </c>
      <c r="BV195" s="4">
        <v>6.91337285416667</v>
      </c>
      <c r="BW195">
        <v>6.18</v>
      </c>
      <c r="BX195" s="5">
        <f t="shared" si="119"/>
        <v>0.73337285416667</v>
      </c>
      <c r="BY195">
        <v>1.68</v>
      </c>
      <c r="BZ195" s="3">
        <f t="shared" si="120"/>
        <v>0.436531460813494</v>
      </c>
      <c r="CB195" s="10">
        <v>98.4</v>
      </c>
      <c r="CC195">
        <v>54.3</v>
      </c>
      <c r="CD195" s="12">
        <f t="shared" si="121"/>
        <v>44.1</v>
      </c>
      <c r="CE195">
        <v>71.3</v>
      </c>
      <c r="CF195" s="3">
        <f t="shared" si="122"/>
        <v>0.61851332398317</v>
      </c>
      <c r="CH195" s="13">
        <v>29.8</v>
      </c>
      <c r="CI195">
        <v>22.6</v>
      </c>
      <c r="CJ195">
        <f t="shared" si="123"/>
        <v>7.2</v>
      </c>
      <c r="CK195">
        <v>25.1</v>
      </c>
      <c r="CL195">
        <f t="shared" si="124"/>
        <v>0.286852589641434</v>
      </c>
      <c r="CN195" s="10">
        <v>4.3</v>
      </c>
      <c r="CO195">
        <v>3</v>
      </c>
      <c r="CP195" s="12">
        <f t="shared" si="125"/>
        <v>1.3</v>
      </c>
      <c r="CQ195">
        <v>3.4</v>
      </c>
      <c r="CR195" s="3">
        <f t="shared" si="126"/>
        <v>0.382352941176471</v>
      </c>
    </row>
    <row r="196" spans="2:96">
      <c r="B196" s="1">
        <v>56351</v>
      </c>
      <c r="C196">
        <v>32416</v>
      </c>
      <c r="D196" s="2">
        <f t="shared" si="127"/>
        <v>23935</v>
      </c>
      <c r="E196">
        <v>31904</v>
      </c>
      <c r="F196" s="3">
        <f t="shared" si="96"/>
        <v>0.750219408224674</v>
      </c>
      <c r="H196" s="1">
        <v>56029</v>
      </c>
      <c r="I196">
        <v>31145</v>
      </c>
      <c r="J196" s="2">
        <f t="shared" si="97"/>
        <v>24884</v>
      </c>
      <c r="K196">
        <v>32760</v>
      </c>
      <c r="L196" s="3">
        <f t="shared" si="98"/>
        <v>0.75958485958486</v>
      </c>
      <c r="N196" s="4">
        <v>270.13200226</v>
      </c>
      <c r="O196">
        <v>201.27</v>
      </c>
      <c r="P196" s="5">
        <f t="shared" si="99"/>
        <v>68.86200226</v>
      </c>
      <c r="Q196">
        <v>79.69</v>
      </c>
      <c r="R196" s="3">
        <f t="shared" si="100"/>
        <v>0.864123506839001</v>
      </c>
      <c r="T196" s="4">
        <v>254.975000195</v>
      </c>
      <c r="U196">
        <v>100.23</v>
      </c>
      <c r="V196" s="5">
        <f t="shared" si="101"/>
        <v>154.745000195</v>
      </c>
      <c r="W196">
        <v>410.93</v>
      </c>
      <c r="X196" s="3">
        <f t="shared" si="102"/>
        <v>0.376572652751077</v>
      </c>
      <c r="Z196" s="4">
        <v>31.92900016</v>
      </c>
      <c r="AA196">
        <v>13.25</v>
      </c>
      <c r="AB196" s="5">
        <f t="shared" si="103"/>
        <v>18.67900016</v>
      </c>
      <c r="AC196">
        <v>33.93</v>
      </c>
      <c r="AD196" s="3">
        <f t="shared" si="104"/>
        <v>0.550515772472738</v>
      </c>
      <c r="AF196" s="16">
        <v>2.75</v>
      </c>
      <c r="AG196">
        <v>2.09</v>
      </c>
      <c r="AH196" s="5">
        <f t="shared" si="105"/>
        <v>0.66</v>
      </c>
      <c r="AI196">
        <v>3.85</v>
      </c>
      <c r="AJ196" s="3">
        <f t="shared" si="106"/>
        <v>0.171428571428571</v>
      </c>
      <c r="AL196" s="4">
        <v>7.13537991</v>
      </c>
      <c r="AM196">
        <v>6.1</v>
      </c>
      <c r="AN196" s="5">
        <f t="shared" si="107"/>
        <v>1.03537991</v>
      </c>
      <c r="AO196">
        <v>1.89</v>
      </c>
      <c r="AP196" s="3">
        <f t="shared" si="108"/>
        <v>0.547820058201059</v>
      </c>
      <c r="AR196" s="4">
        <v>1.38937500833333</v>
      </c>
      <c r="AS196">
        <v>0.02</v>
      </c>
      <c r="AT196" s="5">
        <f t="shared" si="109"/>
        <v>1.36937500833333</v>
      </c>
      <c r="AU196">
        <v>2.84</v>
      </c>
      <c r="AV196" s="3">
        <f t="shared" si="110"/>
        <v>0.482174298708919</v>
      </c>
      <c r="AX196" s="4">
        <v>15.519280085</v>
      </c>
      <c r="AY196">
        <v>3.44</v>
      </c>
      <c r="AZ196" s="5">
        <f t="shared" si="111"/>
        <v>12.079280085</v>
      </c>
      <c r="BA196">
        <v>29.17</v>
      </c>
      <c r="BB196" s="3">
        <f t="shared" si="112"/>
        <v>0.414099420123414</v>
      </c>
      <c r="BD196" s="4">
        <v>0.1805</v>
      </c>
      <c r="BE196">
        <v>0.17</v>
      </c>
      <c r="BF196" s="5">
        <f t="shared" si="113"/>
        <v>0.0105</v>
      </c>
      <c r="BG196">
        <v>4</v>
      </c>
      <c r="BH196" s="3">
        <f t="shared" si="114"/>
        <v>0.002625</v>
      </c>
      <c r="BJ196" s="9">
        <v>11.999600005</v>
      </c>
      <c r="BK196">
        <v>4.8</v>
      </c>
      <c r="BL196" s="5">
        <f t="shared" si="115"/>
        <v>7.199600005</v>
      </c>
      <c r="BM196">
        <v>8.9</v>
      </c>
      <c r="BN196" s="3">
        <f t="shared" si="116"/>
        <v>0.808943820786517</v>
      </c>
      <c r="BP196" s="9">
        <v>0.22905</v>
      </c>
      <c r="BQ196">
        <v>0.09</v>
      </c>
      <c r="BR196" s="5">
        <f t="shared" si="117"/>
        <v>0.13905</v>
      </c>
      <c r="BS196">
        <v>0.43</v>
      </c>
      <c r="BT196" s="3">
        <f t="shared" si="118"/>
        <v>0.323372093023256</v>
      </c>
      <c r="BV196" s="4">
        <v>6.92447293333333</v>
      </c>
      <c r="BW196">
        <v>6.18</v>
      </c>
      <c r="BX196" s="5">
        <f t="shared" si="119"/>
        <v>0.744472933333331</v>
      </c>
      <c r="BY196">
        <v>1.68</v>
      </c>
      <c r="BZ196" s="3">
        <f t="shared" si="120"/>
        <v>0.443138650793649</v>
      </c>
      <c r="CB196" s="10">
        <v>97.4</v>
      </c>
      <c r="CC196">
        <v>54.3</v>
      </c>
      <c r="CD196" s="12">
        <f t="shared" si="121"/>
        <v>43.1</v>
      </c>
      <c r="CE196">
        <v>71.3</v>
      </c>
      <c r="CF196" s="3">
        <f t="shared" si="122"/>
        <v>0.604488078541375</v>
      </c>
      <c r="CH196" s="13">
        <v>28.8</v>
      </c>
      <c r="CI196">
        <v>22.6</v>
      </c>
      <c r="CJ196">
        <f t="shared" si="123"/>
        <v>6.2</v>
      </c>
      <c r="CK196">
        <v>25.1</v>
      </c>
      <c r="CL196">
        <f t="shared" si="124"/>
        <v>0.247011952191235</v>
      </c>
      <c r="CN196" s="10">
        <v>4.7</v>
      </c>
      <c r="CO196">
        <v>3</v>
      </c>
      <c r="CP196" s="12">
        <f t="shared" si="125"/>
        <v>1.7</v>
      </c>
      <c r="CQ196">
        <v>3.4</v>
      </c>
      <c r="CR196" s="3">
        <f t="shared" si="126"/>
        <v>0.5</v>
      </c>
    </row>
    <row r="197" spans="2:96">
      <c r="B197" s="1">
        <v>52016</v>
      </c>
      <c r="C197">
        <v>32416</v>
      </c>
      <c r="D197" s="2">
        <f t="shared" si="127"/>
        <v>19600</v>
      </c>
      <c r="E197">
        <v>31904</v>
      </c>
      <c r="F197" s="3">
        <f t="shared" si="96"/>
        <v>0.614343029087262</v>
      </c>
      <c r="H197" s="1">
        <v>51660</v>
      </c>
      <c r="I197">
        <v>31145</v>
      </c>
      <c r="J197" s="2">
        <f t="shared" si="97"/>
        <v>20515</v>
      </c>
      <c r="K197">
        <v>32760</v>
      </c>
      <c r="L197" s="3">
        <f t="shared" si="98"/>
        <v>0.626221001221001</v>
      </c>
      <c r="N197" s="4">
        <v>262.619999705</v>
      </c>
      <c r="O197">
        <v>201.27</v>
      </c>
      <c r="P197" s="5">
        <f t="shared" si="99"/>
        <v>61.349999705</v>
      </c>
      <c r="Q197">
        <v>79.69</v>
      </c>
      <c r="R197" s="3">
        <f t="shared" si="100"/>
        <v>0.769858196825198</v>
      </c>
      <c r="T197" s="4">
        <v>216.36500034</v>
      </c>
      <c r="U197">
        <v>100.23</v>
      </c>
      <c r="V197" s="5">
        <f t="shared" si="101"/>
        <v>116.13500034</v>
      </c>
      <c r="W197">
        <v>410.93</v>
      </c>
      <c r="X197" s="3">
        <f t="shared" si="102"/>
        <v>0.282615044752148</v>
      </c>
      <c r="Z197" s="4">
        <v>25.0395455454545</v>
      </c>
      <c r="AA197">
        <v>13.25</v>
      </c>
      <c r="AB197" s="5">
        <f t="shared" si="103"/>
        <v>11.7895455454545</v>
      </c>
      <c r="AC197">
        <v>33.93</v>
      </c>
      <c r="AD197" s="3">
        <f t="shared" si="104"/>
        <v>0.347466712214987</v>
      </c>
      <c r="AF197" s="16">
        <v>3.37</v>
      </c>
      <c r="AG197">
        <v>2.09</v>
      </c>
      <c r="AH197" s="5">
        <f t="shared" si="105"/>
        <v>1.28</v>
      </c>
      <c r="AI197">
        <v>3.85</v>
      </c>
      <c r="AJ197" s="3">
        <f t="shared" si="106"/>
        <v>0.332467532467533</v>
      </c>
      <c r="AL197" s="4">
        <v>7.159040035</v>
      </c>
      <c r="AM197">
        <v>6.1</v>
      </c>
      <c r="AN197" s="5">
        <f t="shared" si="107"/>
        <v>1.059040035</v>
      </c>
      <c r="AO197">
        <v>1.89</v>
      </c>
      <c r="AP197" s="3">
        <f t="shared" si="108"/>
        <v>0.560338642857143</v>
      </c>
      <c r="AR197" s="4">
        <v>1.4595833375</v>
      </c>
      <c r="AS197">
        <v>0.02</v>
      </c>
      <c r="AT197" s="5">
        <f t="shared" si="109"/>
        <v>1.4395833375</v>
      </c>
      <c r="AU197">
        <v>2.84</v>
      </c>
      <c r="AV197" s="3">
        <f t="shared" si="110"/>
        <v>0.506895541373239</v>
      </c>
      <c r="AX197" s="4">
        <v>17.68415981</v>
      </c>
      <c r="AY197">
        <v>3.44</v>
      </c>
      <c r="AZ197" s="5">
        <f t="shared" si="111"/>
        <v>14.24415981</v>
      </c>
      <c r="BA197">
        <v>29.17</v>
      </c>
      <c r="BB197" s="3">
        <f t="shared" si="112"/>
        <v>0.488315386013027</v>
      </c>
      <c r="BD197" s="4">
        <v>0.86519999</v>
      </c>
      <c r="BE197">
        <v>0.17</v>
      </c>
      <c r="BF197" s="5">
        <f t="shared" si="113"/>
        <v>0.69519999</v>
      </c>
      <c r="BG197">
        <v>4</v>
      </c>
      <c r="BH197" s="3">
        <f t="shared" si="114"/>
        <v>0.1737999975</v>
      </c>
      <c r="BJ197" s="9">
        <v>7.84120001</v>
      </c>
      <c r="BK197">
        <v>4.8</v>
      </c>
      <c r="BL197" s="5">
        <f t="shared" si="115"/>
        <v>3.04120001</v>
      </c>
      <c r="BM197">
        <v>8.9</v>
      </c>
      <c r="BN197" s="3">
        <f t="shared" si="116"/>
        <v>0.341707866292135</v>
      </c>
      <c r="BP197" s="9">
        <v>0.26343</v>
      </c>
      <c r="BQ197">
        <v>0.09</v>
      </c>
      <c r="BR197" s="5">
        <f t="shared" si="117"/>
        <v>0.17343</v>
      </c>
      <c r="BS197">
        <v>0.43</v>
      </c>
      <c r="BT197" s="3">
        <f t="shared" si="118"/>
        <v>0.403325581395349</v>
      </c>
      <c r="BV197" s="4">
        <v>6.749879125</v>
      </c>
      <c r="BW197">
        <v>6.18</v>
      </c>
      <c r="BX197" s="5">
        <f t="shared" si="119"/>
        <v>0.569879125</v>
      </c>
      <c r="BY197">
        <v>1.68</v>
      </c>
      <c r="BZ197" s="3">
        <f t="shared" si="120"/>
        <v>0.339213764880952</v>
      </c>
      <c r="CB197" s="10">
        <v>96.2</v>
      </c>
      <c r="CC197">
        <v>54.3</v>
      </c>
      <c r="CD197" s="12">
        <f t="shared" si="121"/>
        <v>41.9</v>
      </c>
      <c r="CE197">
        <v>71.3</v>
      </c>
      <c r="CF197" s="3">
        <f t="shared" si="122"/>
        <v>0.58765778401122</v>
      </c>
      <c r="CH197" s="13">
        <v>28.5</v>
      </c>
      <c r="CI197">
        <v>22.6</v>
      </c>
      <c r="CJ197">
        <f t="shared" si="123"/>
        <v>5.9</v>
      </c>
      <c r="CK197">
        <v>25.1</v>
      </c>
      <c r="CL197">
        <f t="shared" si="124"/>
        <v>0.235059760956175</v>
      </c>
      <c r="CN197" s="11">
        <v>4.2</v>
      </c>
      <c r="CO197">
        <v>3</v>
      </c>
      <c r="CP197" s="12">
        <f t="shared" si="125"/>
        <v>1.2</v>
      </c>
      <c r="CQ197">
        <v>3.4</v>
      </c>
      <c r="CR197" s="3">
        <f t="shared" si="126"/>
        <v>0.352941176470588</v>
      </c>
    </row>
    <row r="198" spans="2:96">
      <c r="B198" s="1">
        <v>51748</v>
      </c>
      <c r="C198">
        <v>32416</v>
      </c>
      <c r="D198" s="2">
        <f t="shared" si="127"/>
        <v>19332</v>
      </c>
      <c r="E198">
        <v>31904</v>
      </c>
      <c r="F198" s="3">
        <f t="shared" si="96"/>
        <v>0.605942828485456</v>
      </c>
      <c r="H198" s="1">
        <v>51691</v>
      </c>
      <c r="I198">
        <v>31145</v>
      </c>
      <c r="J198" s="2">
        <f t="shared" si="97"/>
        <v>20546</v>
      </c>
      <c r="K198">
        <v>32760</v>
      </c>
      <c r="L198" s="3">
        <f t="shared" si="98"/>
        <v>0.627167277167277</v>
      </c>
      <c r="N198" s="4">
        <v>258.712382004762</v>
      </c>
      <c r="O198">
        <v>201.27</v>
      </c>
      <c r="P198" s="5">
        <f t="shared" si="99"/>
        <v>57.442382004762</v>
      </c>
      <c r="Q198">
        <v>79.69</v>
      </c>
      <c r="R198" s="3">
        <f t="shared" si="100"/>
        <v>0.7208229640452</v>
      </c>
      <c r="T198" s="4">
        <v>249.004761642857</v>
      </c>
      <c r="U198">
        <v>100.23</v>
      </c>
      <c r="V198" s="5">
        <f t="shared" si="101"/>
        <v>148.774761642857</v>
      </c>
      <c r="W198">
        <v>410.93</v>
      </c>
      <c r="X198" s="3">
        <f t="shared" si="102"/>
        <v>0.362044050429166</v>
      </c>
      <c r="Z198" s="4">
        <v>29.2915385307692</v>
      </c>
      <c r="AA198">
        <v>13.25</v>
      </c>
      <c r="AB198" s="5">
        <f t="shared" si="103"/>
        <v>16.0415385307692</v>
      </c>
      <c r="AC198">
        <v>33.93</v>
      </c>
      <c r="AD198" s="3">
        <f t="shared" si="104"/>
        <v>0.472783334240177</v>
      </c>
      <c r="AF198" s="16">
        <v>3.37</v>
      </c>
      <c r="AG198">
        <v>2.09</v>
      </c>
      <c r="AH198" s="5">
        <f t="shared" si="105"/>
        <v>1.28</v>
      </c>
      <c r="AI198">
        <v>3.85</v>
      </c>
      <c r="AJ198" s="3">
        <f t="shared" si="106"/>
        <v>0.332467532467533</v>
      </c>
      <c r="AL198" s="4">
        <v>7.20619998571429</v>
      </c>
      <c r="AM198">
        <v>6.1</v>
      </c>
      <c r="AN198" s="5">
        <f t="shared" si="107"/>
        <v>1.10619998571429</v>
      </c>
      <c r="AO198">
        <v>1.89</v>
      </c>
      <c r="AP198" s="3">
        <f t="shared" si="108"/>
        <v>0.585290997732429</v>
      </c>
      <c r="AR198" s="4">
        <v>1.393749975</v>
      </c>
      <c r="AS198">
        <v>0.02</v>
      </c>
      <c r="AT198" s="5">
        <f t="shared" si="109"/>
        <v>1.373749975</v>
      </c>
      <c r="AU198">
        <v>2.84</v>
      </c>
      <c r="AV198" s="3">
        <f t="shared" si="110"/>
        <v>0.483714779929577</v>
      </c>
      <c r="AX198" s="4">
        <v>14.2659809190476</v>
      </c>
      <c r="AY198">
        <v>3.44</v>
      </c>
      <c r="AZ198" s="5">
        <f t="shared" si="111"/>
        <v>10.8259809190476</v>
      </c>
      <c r="BA198">
        <v>29.17</v>
      </c>
      <c r="BB198" s="3">
        <f t="shared" si="112"/>
        <v>0.371134073330394</v>
      </c>
      <c r="BD198" s="4">
        <v>0.22352380952381</v>
      </c>
      <c r="BE198">
        <v>0.17</v>
      </c>
      <c r="BF198" s="5">
        <f t="shared" si="113"/>
        <v>0.05352380952381</v>
      </c>
      <c r="BG198">
        <v>4</v>
      </c>
      <c r="BH198" s="3">
        <f t="shared" si="114"/>
        <v>0.0133809523809525</v>
      </c>
      <c r="BJ198" s="9">
        <v>9.47961900476191</v>
      </c>
      <c r="BK198">
        <v>4.8</v>
      </c>
      <c r="BL198" s="5">
        <f t="shared" si="115"/>
        <v>4.67961900476191</v>
      </c>
      <c r="BM198">
        <v>8.9</v>
      </c>
      <c r="BN198" s="3">
        <f t="shared" si="116"/>
        <v>0.525799888175495</v>
      </c>
      <c r="BP198" s="9">
        <v>0.261352380952381</v>
      </c>
      <c r="BQ198">
        <v>0.09</v>
      </c>
      <c r="BR198" s="5">
        <f t="shared" si="117"/>
        <v>0.171352380952381</v>
      </c>
      <c r="BS198">
        <v>0.43</v>
      </c>
      <c r="BT198" s="3">
        <f t="shared" si="118"/>
        <v>0.398493909191584</v>
      </c>
      <c r="BV198" s="4">
        <v>6.6842811875</v>
      </c>
      <c r="BW198">
        <v>6.18</v>
      </c>
      <c r="BX198" s="5">
        <f t="shared" si="119"/>
        <v>0.5042811875</v>
      </c>
      <c r="BY198">
        <v>1.68</v>
      </c>
      <c r="BZ198" s="3">
        <f t="shared" si="120"/>
        <v>0.300167373511905</v>
      </c>
      <c r="CB198" s="10">
        <v>99.4</v>
      </c>
      <c r="CC198">
        <v>54.3</v>
      </c>
      <c r="CD198" s="12">
        <f t="shared" si="121"/>
        <v>45.1</v>
      </c>
      <c r="CE198">
        <v>71.3</v>
      </c>
      <c r="CF198" s="3">
        <f t="shared" si="122"/>
        <v>0.632538569424965</v>
      </c>
      <c r="CH198" s="13">
        <v>29.9</v>
      </c>
      <c r="CI198">
        <v>22.6</v>
      </c>
      <c r="CJ198">
        <f t="shared" si="123"/>
        <v>7.3</v>
      </c>
      <c r="CK198">
        <v>25.1</v>
      </c>
      <c r="CL198">
        <f t="shared" si="124"/>
        <v>0.290836653386454</v>
      </c>
      <c r="CN198" s="10">
        <v>4.9</v>
      </c>
      <c r="CO198">
        <v>3</v>
      </c>
      <c r="CP198" s="12">
        <f t="shared" si="125"/>
        <v>1.9</v>
      </c>
      <c r="CQ198">
        <v>3.4</v>
      </c>
      <c r="CR198" s="3">
        <f t="shared" si="126"/>
        <v>0.558823529411765</v>
      </c>
    </row>
    <row r="199" spans="2:96">
      <c r="B199" s="1">
        <v>49825</v>
      </c>
      <c r="C199">
        <v>32416</v>
      </c>
      <c r="D199" s="2">
        <f t="shared" si="127"/>
        <v>17409</v>
      </c>
      <c r="E199">
        <v>31904</v>
      </c>
      <c r="F199" s="3">
        <f t="shared" si="96"/>
        <v>0.545668254764293</v>
      </c>
      <c r="H199" s="1">
        <v>49541</v>
      </c>
      <c r="I199">
        <v>31145</v>
      </c>
      <c r="J199" s="2">
        <f t="shared" si="97"/>
        <v>18396</v>
      </c>
      <c r="K199">
        <v>32760</v>
      </c>
      <c r="L199" s="3">
        <f t="shared" si="98"/>
        <v>0.561538461538462</v>
      </c>
      <c r="N199" s="4">
        <v>255.779049109524</v>
      </c>
      <c r="O199">
        <v>201.27</v>
      </c>
      <c r="P199" s="5">
        <f t="shared" si="99"/>
        <v>54.509049109524</v>
      </c>
      <c r="Q199">
        <v>79.69</v>
      </c>
      <c r="R199" s="3">
        <f t="shared" si="100"/>
        <v>0.684013666828009</v>
      </c>
      <c r="T199" s="4">
        <v>167.080952233333</v>
      </c>
      <c r="U199">
        <v>100.23</v>
      </c>
      <c r="V199" s="5">
        <f t="shared" si="101"/>
        <v>66.850952233333</v>
      </c>
      <c r="W199">
        <v>410.93</v>
      </c>
      <c r="X199" s="3">
        <f t="shared" si="102"/>
        <v>0.162682092408276</v>
      </c>
      <c r="Z199" s="4">
        <v>32.7218749</v>
      </c>
      <c r="AA199">
        <v>13.25</v>
      </c>
      <c r="AB199" s="5">
        <f t="shared" si="103"/>
        <v>19.4718749</v>
      </c>
      <c r="AC199">
        <v>33.93</v>
      </c>
      <c r="AD199" s="3">
        <f t="shared" si="104"/>
        <v>0.573883728264073</v>
      </c>
      <c r="AF199" s="16">
        <v>3.54</v>
      </c>
      <c r="AG199">
        <v>2.09</v>
      </c>
      <c r="AH199" s="5">
        <f t="shared" si="105"/>
        <v>1.45</v>
      </c>
      <c r="AI199">
        <v>3.85</v>
      </c>
      <c r="AJ199" s="3">
        <f t="shared" si="106"/>
        <v>0.376623376623377</v>
      </c>
      <c r="AL199" s="4">
        <v>7.19653340476191</v>
      </c>
      <c r="AM199">
        <v>6.1</v>
      </c>
      <c r="AN199" s="5">
        <f t="shared" si="107"/>
        <v>1.09653340476191</v>
      </c>
      <c r="AO199">
        <v>1.89</v>
      </c>
      <c r="AP199" s="3">
        <f t="shared" si="108"/>
        <v>0.580176404635931</v>
      </c>
      <c r="AR199" s="4">
        <v>1.156666675</v>
      </c>
      <c r="AS199">
        <v>0.02</v>
      </c>
      <c r="AT199" s="5">
        <f t="shared" si="109"/>
        <v>1.136666675</v>
      </c>
      <c r="AU199">
        <v>2.84</v>
      </c>
      <c r="AV199" s="3">
        <f t="shared" si="110"/>
        <v>0.40023474471831</v>
      </c>
      <c r="AX199" s="4">
        <v>15.4525714761904</v>
      </c>
      <c r="AY199">
        <v>3.44</v>
      </c>
      <c r="AZ199" s="5">
        <f t="shared" si="111"/>
        <v>12.0125714761904</v>
      </c>
      <c r="BA199">
        <v>29.17</v>
      </c>
      <c r="BB199" s="3">
        <f t="shared" si="112"/>
        <v>0.411812529180336</v>
      </c>
      <c r="BD199" s="4">
        <v>0.188</v>
      </c>
      <c r="BE199">
        <v>0.17</v>
      </c>
      <c r="BF199" s="5">
        <f t="shared" si="113"/>
        <v>0.018</v>
      </c>
      <c r="BG199">
        <v>4</v>
      </c>
      <c r="BH199" s="3">
        <f t="shared" si="114"/>
        <v>0.0045</v>
      </c>
      <c r="BJ199" s="9">
        <v>9.4889524047619</v>
      </c>
      <c r="BK199">
        <v>4.8</v>
      </c>
      <c r="BL199" s="5">
        <f t="shared" si="115"/>
        <v>4.6889524047619</v>
      </c>
      <c r="BM199">
        <v>8.9</v>
      </c>
      <c r="BN199" s="3">
        <f t="shared" si="116"/>
        <v>0.526848584804708</v>
      </c>
      <c r="BP199" s="9">
        <v>0.233114285714286</v>
      </c>
      <c r="BQ199">
        <v>0.09</v>
      </c>
      <c r="BR199" s="5">
        <f t="shared" si="117"/>
        <v>0.143114285714286</v>
      </c>
      <c r="BS199">
        <v>0.43</v>
      </c>
      <c r="BT199" s="3">
        <f t="shared" si="118"/>
        <v>0.332823920265781</v>
      </c>
      <c r="BV199" s="4">
        <v>6.79435623333333</v>
      </c>
      <c r="BW199">
        <v>6.18</v>
      </c>
      <c r="BX199" s="5">
        <f t="shared" si="119"/>
        <v>0.61435623333333</v>
      </c>
      <c r="BY199">
        <v>1.68</v>
      </c>
      <c r="BZ199" s="3">
        <f t="shared" si="120"/>
        <v>0.365688234126982</v>
      </c>
      <c r="CB199" s="10">
        <v>100.2</v>
      </c>
      <c r="CC199">
        <v>54.3</v>
      </c>
      <c r="CD199" s="12">
        <f t="shared" si="121"/>
        <v>45.9</v>
      </c>
      <c r="CE199">
        <v>71.3</v>
      </c>
      <c r="CF199" s="3">
        <f t="shared" si="122"/>
        <v>0.643758765778401</v>
      </c>
      <c r="CH199" s="13">
        <v>30.1</v>
      </c>
      <c r="CI199">
        <v>22.6</v>
      </c>
      <c r="CJ199">
        <f t="shared" si="123"/>
        <v>7.5</v>
      </c>
      <c r="CK199">
        <v>25.1</v>
      </c>
      <c r="CL199">
        <f t="shared" si="124"/>
        <v>0.298804780876494</v>
      </c>
      <c r="CN199" s="10">
        <v>5</v>
      </c>
      <c r="CO199">
        <v>3</v>
      </c>
      <c r="CP199" s="12">
        <f t="shared" si="125"/>
        <v>2</v>
      </c>
      <c r="CQ199">
        <v>3.4</v>
      </c>
      <c r="CR199" s="3">
        <f t="shared" si="126"/>
        <v>0.588235294117647</v>
      </c>
    </row>
    <row r="200" spans="2:96">
      <c r="B200" s="1">
        <v>50326</v>
      </c>
      <c r="C200">
        <v>32416</v>
      </c>
      <c r="D200" s="2">
        <f t="shared" si="127"/>
        <v>17910</v>
      </c>
      <c r="E200">
        <v>31904</v>
      </c>
      <c r="F200" s="3">
        <f t="shared" si="96"/>
        <v>0.561371614844534</v>
      </c>
      <c r="H200" s="1">
        <v>49993</v>
      </c>
      <c r="I200">
        <v>31145</v>
      </c>
      <c r="J200" s="2">
        <f t="shared" si="97"/>
        <v>18848</v>
      </c>
      <c r="K200">
        <v>32760</v>
      </c>
      <c r="L200" s="3">
        <f t="shared" si="98"/>
        <v>0.575335775335775</v>
      </c>
      <c r="N200" s="4">
        <v>253.996364940909</v>
      </c>
      <c r="O200">
        <v>201.27</v>
      </c>
      <c r="P200" s="5">
        <f t="shared" si="99"/>
        <v>52.726364940909</v>
      </c>
      <c r="Q200">
        <v>79.69</v>
      </c>
      <c r="R200" s="3">
        <f t="shared" si="100"/>
        <v>0.661643430052817</v>
      </c>
      <c r="T200" s="4">
        <v>188.795455063636</v>
      </c>
      <c r="U200">
        <v>100.23</v>
      </c>
      <c r="V200" s="5">
        <f t="shared" si="101"/>
        <v>88.565455063636</v>
      </c>
      <c r="W200">
        <v>410.93</v>
      </c>
      <c r="X200" s="3">
        <f t="shared" si="102"/>
        <v>0.215524432539936</v>
      </c>
      <c r="Z200" s="4">
        <v>28.42916675</v>
      </c>
      <c r="AA200">
        <v>13.25</v>
      </c>
      <c r="AB200" s="5">
        <f t="shared" si="103"/>
        <v>15.17916675</v>
      </c>
      <c r="AC200">
        <v>33.93</v>
      </c>
      <c r="AD200" s="3">
        <f t="shared" si="104"/>
        <v>0.447367130857648</v>
      </c>
      <c r="AF200" s="17">
        <v>4.09</v>
      </c>
      <c r="AG200">
        <v>2.09</v>
      </c>
      <c r="AH200" s="5">
        <f t="shared" si="105"/>
        <v>2</v>
      </c>
      <c r="AI200">
        <v>3.85</v>
      </c>
      <c r="AJ200" s="3">
        <f t="shared" si="106"/>
        <v>0.519480519480519</v>
      </c>
      <c r="AL200" s="4">
        <v>7.21095447272727</v>
      </c>
      <c r="AM200">
        <v>6.1</v>
      </c>
      <c r="AN200" s="5">
        <f t="shared" si="107"/>
        <v>1.11095447272727</v>
      </c>
      <c r="AO200">
        <v>1.89</v>
      </c>
      <c r="AP200" s="3">
        <f t="shared" si="108"/>
        <v>0.587806599326598</v>
      </c>
      <c r="AR200" s="4">
        <v>1.16062501666667</v>
      </c>
      <c r="AS200">
        <v>0.02</v>
      </c>
      <c r="AT200" s="5">
        <f t="shared" si="109"/>
        <v>1.14062501666667</v>
      </c>
      <c r="AU200">
        <v>2.84</v>
      </c>
      <c r="AV200" s="3">
        <f t="shared" si="110"/>
        <v>0.401628526995306</v>
      </c>
      <c r="AX200" s="4">
        <v>15.4363636318181</v>
      </c>
      <c r="AY200">
        <v>3.44</v>
      </c>
      <c r="AZ200" s="5">
        <f t="shared" si="111"/>
        <v>11.9963636318181</v>
      </c>
      <c r="BA200">
        <v>29.17</v>
      </c>
      <c r="BB200" s="3">
        <f t="shared" si="112"/>
        <v>0.411256895160031</v>
      </c>
      <c r="BD200" s="4">
        <v>0.295818186363636</v>
      </c>
      <c r="BE200">
        <v>0.17</v>
      </c>
      <c r="BF200" s="5">
        <f t="shared" si="113"/>
        <v>0.125818186363636</v>
      </c>
      <c r="BG200">
        <v>4</v>
      </c>
      <c r="BH200" s="3">
        <f t="shared" si="114"/>
        <v>0.031454546590909</v>
      </c>
      <c r="BJ200" s="9">
        <v>9.99218177727273</v>
      </c>
      <c r="BK200">
        <v>4.8</v>
      </c>
      <c r="BL200" s="5">
        <f t="shared" si="115"/>
        <v>5.19218177727273</v>
      </c>
      <c r="BM200">
        <v>8.9</v>
      </c>
      <c r="BN200" s="3">
        <f t="shared" si="116"/>
        <v>0.58339121092952</v>
      </c>
      <c r="BP200" s="9">
        <v>0.2715</v>
      </c>
      <c r="BQ200">
        <v>0.09</v>
      </c>
      <c r="BR200" s="5">
        <f t="shared" si="117"/>
        <v>0.1815</v>
      </c>
      <c r="BS200">
        <v>0.43</v>
      </c>
      <c r="BT200" s="3">
        <f t="shared" si="118"/>
        <v>0.422093023255814</v>
      </c>
      <c r="BV200" s="4">
        <v>6.84353539166666</v>
      </c>
      <c r="BW200">
        <v>6.18</v>
      </c>
      <c r="BX200" s="5">
        <f t="shared" si="119"/>
        <v>0.66353539166666</v>
      </c>
      <c r="BY200">
        <v>1.68</v>
      </c>
      <c r="BZ200" s="3">
        <f t="shared" si="120"/>
        <v>0.394961542658726</v>
      </c>
      <c r="CB200" s="10">
        <v>101.6</v>
      </c>
      <c r="CC200">
        <v>54.3</v>
      </c>
      <c r="CD200" s="12">
        <f t="shared" si="121"/>
        <v>47.3</v>
      </c>
      <c r="CE200">
        <v>71.3</v>
      </c>
      <c r="CF200" s="3">
        <f t="shared" si="122"/>
        <v>0.663394109396914</v>
      </c>
      <c r="CH200" s="13">
        <v>28.6</v>
      </c>
      <c r="CI200">
        <v>22.6</v>
      </c>
      <c r="CJ200">
        <f t="shared" si="123"/>
        <v>6</v>
      </c>
      <c r="CK200">
        <v>25.1</v>
      </c>
      <c r="CL200">
        <f t="shared" si="124"/>
        <v>0.239043824701195</v>
      </c>
      <c r="CN200" s="10">
        <v>4.5</v>
      </c>
      <c r="CO200">
        <v>3</v>
      </c>
      <c r="CP200" s="12">
        <f t="shared" si="125"/>
        <v>1.5</v>
      </c>
      <c r="CQ200">
        <v>3.4</v>
      </c>
      <c r="CR200" s="3">
        <f t="shared" si="126"/>
        <v>0.441176470588235</v>
      </c>
    </row>
    <row r="201" spans="2:96">
      <c r="B201" s="1">
        <v>47519</v>
      </c>
      <c r="C201">
        <v>32416</v>
      </c>
      <c r="D201" s="2">
        <f t="shared" si="127"/>
        <v>15103</v>
      </c>
      <c r="E201">
        <v>31904</v>
      </c>
      <c r="F201" s="3">
        <f t="shared" si="96"/>
        <v>0.473388916750251</v>
      </c>
      <c r="H201" s="1">
        <v>47237</v>
      </c>
      <c r="I201">
        <v>31145</v>
      </c>
      <c r="J201" s="2">
        <f t="shared" si="97"/>
        <v>16092</v>
      </c>
      <c r="K201">
        <v>32760</v>
      </c>
      <c r="L201" s="3">
        <f t="shared" si="98"/>
        <v>0.491208791208791</v>
      </c>
      <c r="N201" s="4">
        <v>265.386671519048</v>
      </c>
      <c r="O201">
        <v>201.27</v>
      </c>
      <c r="P201" s="5">
        <f t="shared" si="99"/>
        <v>64.116671519048</v>
      </c>
      <c r="Q201">
        <v>79.69</v>
      </c>
      <c r="R201" s="3">
        <f t="shared" si="100"/>
        <v>0.804576126478203</v>
      </c>
      <c r="T201" s="4">
        <v>242.647618966666</v>
      </c>
      <c r="U201">
        <v>100.23</v>
      </c>
      <c r="V201" s="5">
        <f t="shared" si="101"/>
        <v>142.417618966666</v>
      </c>
      <c r="W201">
        <v>410.93</v>
      </c>
      <c r="X201" s="3">
        <f t="shared" si="102"/>
        <v>0.346573915184255</v>
      </c>
      <c r="Z201" s="4">
        <v>29.4897917208333</v>
      </c>
      <c r="AA201">
        <v>13.25</v>
      </c>
      <c r="AB201" s="5">
        <f t="shared" si="103"/>
        <v>16.2397917208333</v>
      </c>
      <c r="AC201">
        <v>33.93</v>
      </c>
      <c r="AD201" s="3">
        <f t="shared" si="104"/>
        <v>0.478626340136555</v>
      </c>
      <c r="AF201" s="17">
        <v>4.312</v>
      </c>
      <c r="AG201">
        <v>2.09</v>
      </c>
      <c r="AH201" s="5">
        <f t="shared" si="105"/>
        <v>2.222</v>
      </c>
      <c r="AI201">
        <v>3.85</v>
      </c>
      <c r="AJ201" s="3">
        <f t="shared" si="106"/>
        <v>0.577142857142857</v>
      </c>
      <c r="AL201" s="4">
        <v>7.19386664285714</v>
      </c>
      <c r="AM201">
        <v>6.1</v>
      </c>
      <c r="AN201" s="5">
        <f t="shared" si="107"/>
        <v>1.09386664285714</v>
      </c>
      <c r="AO201">
        <v>1.89</v>
      </c>
      <c r="AP201" s="3">
        <f t="shared" si="108"/>
        <v>0.578765419501132</v>
      </c>
      <c r="AR201" s="4">
        <v>1.12291665833333</v>
      </c>
      <c r="AS201">
        <v>0.02</v>
      </c>
      <c r="AT201" s="5">
        <f t="shared" si="109"/>
        <v>1.10291665833333</v>
      </c>
      <c r="AU201">
        <v>2.84</v>
      </c>
      <c r="AV201" s="3">
        <f t="shared" si="110"/>
        <v>0.388350936032863</v>
      </c>
      <c r="AX201" s="4">
        <v>17.0977524523809</v>
      </c>
      <c r="AY201">
        <v>3.44</v>
      </c>
      <c r="AZ201" s="5">
        <f t="shared" si="111"/>
        <v>13.6577524523809</v>
      </c>
      <c r="BA201">
        <v>29.17</v>
      </c>
      <c r="BB201" s="3">
        <f t="shared" si="112"/>
        <v>0.468212288391529</v>
      </c>
      <c r="BD201" s="4">
        <v>0.199142857142857</v>
      </c>
      <c r="BE201">
        <v>0.17</v>
      </c>
      <c r="BF201" s="5">
        <f t="shared" si="113"/>
        <v>0.029142857142857</v>
      </c>
      <c r="BG201">
        <v>4</v>
      </c>
      <c r="BH201" s="3">
        <f t="shared" si="114"/>
        <v>0.00728571428571425</v>
      </c>
      <c r="BJ201" s="9">
        <v>8.74171422380952</v>
      </c>
      <c r="BK201">
        <v>4.8</v>
      </c>
      <c r="BL201" s="5">
        <f t="shared" si="115"/>
        <v>3.94171422380952</v>
      </c>
      <c r="BM201">
        <v>8.9</v>
      </c>
      <c r="BN201" s="3">
        <f t="shared" si="116"/>
        <v>0.442889238630283</v>
      </c>
      <c r="BP201" s="9">
        <v>0.30667619047619</v>
      </c>
      <c r="BQ201">
        <v>0.09</v>
      </c>
      <c r="BR201" s="5">
        <f t="shared" si="117"/>
        <v>0.21667619047619</v>
      </c>
      <c r="BS201">
        <v>0.43</v>
      </c>
      <c r="BT201" s="3">
        <f t="shared" si="118"/>
        <v>0.503898117386488</v>
      </c>
      <c r="BV201" s="4">
        <v>6.7300687625</v>
      </c>
      <c r="BW201">
        <v>6.18</v>
      </c>
      <c r="BX201" s="5">
        <f t="shared" si="119"/>
        <v>0.5500687625</v>
      </c>
      <c r="BY201">
        <v>1.68</v>
      </c>
      <c r="BZ201" s="3">
        <f t="shared" si="120"/>
        <v>0.327421882440476</v>
      </c>
      <c r="CB201" s="10">
        <v>98.7</v>
      </c>
      <c r="CC201">
        <v>54.3</v>
      </c>
      <c r="CD201" s="12">
        <f t="shared" si="121"/>
        <v>44.4</v>
      </c>
      <c r="CE201">
        <v>71.3</v>
      </c>
      <c r="CF201" s="3">
        <f t="shared" si="122"/>
        <v>0.622720897615708</v>
      </c>
      <c r="CH201" s="13">
        <v>29.3</v>
      </c>
      <c r="CI201">
        <v>22.6</v>
      </c>
      <c r="CJ201">
        <f t="shared" si="123"/>
        <v>6.7</v>
      </c>
      <c r="CK201">
        <v>25.1</v>
      </c>
      <c r="CL201">
        <f t="shared" si="124"/>
        <v>0.266932270916335</v>
      </c>
      <c r="CN201" s="11">
        <v>4.6</v>
      </c>
      <c r="CO201">
        <v>3</v>
      </c>
      <c r="CP201" s="12">
        <f t="shared" si="125"/>
        <v>1.6</v>
      </c>
      <c r="CQ201">
        <v>3.4</v>
      </c>
      <c r="CR201" s="3">
        <f t="shared" si="126"/>
        <v>0.470588235294118</v>
      </c>
    </row>
    <row r="202" spans="2:96">
      <c r="B202" s="1">
        <v>44671</v>
      </c>
      <c r="C202">
        <v>32416</v>
      </c>
      <c r="D202" s="2">
        <f t="shared" si="127"/>
        <v>12255</v>
      </c>
      <c r="E202">
        <v>31904</v>
      </c>
      <c r="F202" s="3">
        <f t="shared" si="96"/>
        <v>0.38412111334002</v>
      </c>
      <c r="H202" s="1">
        <v>44585</v>
      </c>
      <c r="I202">
        <v>31145</v>
      </c>
      <c r="J202" s="2">
        <f t="shared" si="97"/>
        <v>13440</v>
      </c>
      <c r="K202">
        <v>32760</v>
      </c>
      <c r="L202" s="3">
        <f t="shared" si="98"/>
        <v>0.41025641025641</v>
      </c>
      <c r="N202" s="4">
        <v>263.743337</v>
      </c>
      <c r="O202">
        <v>201.27</v>
      </c>
      <c r="P202" s="5">
        <f t="shared" si="99"/>
        <v>62.473337</v>
      </c>
      <c r="Q202">
        <v>79.69</v>
      </c>
      <c r="R202" s="3">
        <f t="shared" si="100"/>
        <v>0.783954536328272</v>
      </c>
      <c r="T202" s="4">
        <v>209.9916663125</v>
      </c>
      <c r="U202">
        <v>100.23</v>
      </c>
      <c r="V202" s="5">
        <f t="shared" si="101"/>
        <v>109.7616663125</v>
      </c>
      <c r="W202">
        <v>410.93</v>
      </c>
      <c r="X202" s="3">
        <f t="shared" si="102"/>
        <v>0.267105507781131</v>
      </c>
      <c r="Z202" s="4">
        <v>31.086458275</v>
      </c>
      <c r="AA202">
        <v>13.25</v>
      </c>
      <c r="AB202" s="5">
        <f t="shared" si="103"/>
        <v>17.836458275</v>
      </c>
      <c r="AC202">
        <v>33.93</v>
      </c>
      <c r="AD202" s="3">
        <f t="shared" si="104"/>
        <v>0.525684004568229</v>
      </c>
      <c r="AF202" s="17">
        <v>3.182</v>
      </c>
      <c r="AG202">
        <v>2.09</v>
      </c>
      <c r="AH202" s="5">
        <f t="shared" si="105"/>
        <v>1.092</v>
      </c>
      <c r="AI202">
        <v>3.85</v>
      </c>
      <c r="AJ202" s="3">
        <f t="shared" si="106"/>
        <v>0.283636363636364</v>
      </c>
      <c r="AL202" s="4">
        <v>7.1813000875</v>
      </c>
      <c r="AM202">
        <v>6.1</v>
      </c>
      <c r="AN202" s="5">
        <f t="shared" si="107"/>
        <v>1.0813000875</v>
      </c>
      <c r="AO202">
        <v>1.89</v>
      </c>
      <c r="AP202" s="3">
        <f t="shared" si="108"/>
        <v>0.572116448412699</v>
      </c>
      <c r="AR202" s="4">
        <v>1.10166665416667</v>
      </c>
      <c r="AS202">
        <v>0.02</v>
      </c>
      <c r="AT202" s="5">
        <f t="shared" si="109"/>
        <v>1.08166665416667</v>
      </c>
      <c r="AU202">
        <v>2.84</v>
      </c>
      <c r="AV202" s="3">
        <f t="shared" si="110"/>
        <v>0.380868540199532</v>
      </c>
      <c r="AX202" s="4">
        <v>16.2582001291666</v>
      </c>
      <c r="AY202">
        <v>3.44</v>
      </c>
      <c r="AZ202" s="5">
        <f t="shared" si="111"/>
        <v>12.8182001291666</v>
      </c>
      <c r="BA202">
        <v>29.17</v>
      </c>
      <c r="BB202" s="3">
        <f t="shared" si="112"/>
        <v>0.439430926608385</v>
      </c>
      <c r="BD202" s="4">
        <v>0.244666666666667</v>
      </c>
      <c r="BE202">
        <v>0.17</v>
      </c>
      <c r="BF202" s="5">
        <f t="shared" si="113"/>
        <v>0.074666666666667</v>
      </c>
      <c r="BG202">
        <v>4</v>
      </c>
      <c r="BH202" s="3">
        <f t="shared" si="114"/>
        <v>0.0186666666666667</v>
      </c>
      <c r="BJ202" s="9">
        <v>9.24525005</v>
      </c>
      <c r="BK202">
        <v>4.8</v>
      </c>
      <c r="BL202" s="5">
        <f t="shared" si="115"/>
        <v>4.44525005</v>
      </c>
      <c r="BM202">
        <v>8.9</v>
      </c>
      <c r="BN202" s="3">
        <f t="shared" si="116"/>
        <v>0.499466297752809</v>
      </c>
      <c r="BP202" s="9">
        <v>0.283633333333333</v>
      </c>
      <c r="BQ202">
        <v>0.09</v>
      </c>
      <c r="BR202" s="5">
        <f t="shared" si="117"/>
        <v>0.193633333333333</v>
      </c>
      <c r="BS202">
        <v>0.43</v>
      </c>
      <c r="BT202" s="3">
        <f t="shared" si="118"/>
        <v>0.450310077519379</v>
      </c>
      <c r="BV202" s="4">
        <v>6.877066625</v>
      </c>
      <c r="BW202">
        <v>6.18</v>
      </c>
      <c r="BX202" s="5">
        <f t="shared" si="119"/>
        <v>0.697066625000001</v>
      </c>
      <c r="BY202">
        <v>1.68</v>
      </c>
      <c r="BZ202" s="3">
        <f t="shared" si="120"/>
        <v>0.414920610119048</v>
      </c>
      <c r="CB202" s="10">
        <v>96.3</v>
      </c>
      <c r="CC202">
        <v>54.3</v>
      </c>
      <c r="CD202" s="12">
        <f t="shared" si="121"/>
        <v>42</v>
      </c>
      <c r="CE202">
        <v>71.3</v>
      </c>
      <c r="CF202" s="3">
        <f t="shared" si="122"/>
        <v>0.5890603085554</v>
      </c>
      <c r="CH202" s="13">
        <v>28.4</v>
      </c>
      <c r="CI202">
        <v>22.6</v>
      </c>
      <c r="CJ202">
        <f t="shared" si="123"/>
        <v>5.8</v>
      </c>
      <c r="CK202">
        <v>25.1</v>
      </c>
      <c r="CL202">
        <f t="shared" si="124"/>
        <v>0.231075697211155</v>
      </c>
      <c r="CN202" s="10">
        <v>4.8</v>
      </c>
      <c r="CO202">
        <v>3</v>
      </c>
      <c r="CP202" s="12">
        <f t="shared" si="125"/>
        <v>1.8</v>
      </c>
      <c r="CQ202">
        <v>3.4</v>
      </c>
      <c r="CR202" s="3">
        <f t="shared" si="126"/>
        <v>0.529411764705882</v>
      </c>
    </row>
    <row r="203" spans="2:96">
      <c r="B203" s="1">
        <v>40589</v>
      </c>
      <c r="C203">
        <v>32416</v>
      </c>
      <c r="D203" s="2">
        <f t="shared" si="127"/>
        <v>8173</v>
      </c>
      <c r="E203">
        <v>31904</v>
      </c>
      <c r="F203" s="3">
        <f t="shared" si="96"/>
        <v>0.256174774322969</v>
      </c>
      <c r="H203" s="1">
        <v>40562</v>
      </c>
      <c r="I203">
        <v>31145</v>
      </c>
      <c r="J203" s="2">
        <f t="shared" si="97"/>
        <v>9417</v>
      </c>
      <c r="K203">
        <v>32760</v>
      </c>
      <c r="L203" s="3">
        <f t="shared" si="98"/>
        <v>0.287454212454212</v>
      </c>
      <c r="N203" s="4">
        <v>255.566669470833</v>
      </c>
      <c r="O203">
        <v>201.27</v>
      </c>
      <c r="P203" s="5">
        <f t="shared" si="99"/>
        <v>54.296669470833</v>
      </c>
      <c r="Q203">
        <v>79.69</v>
      </c>
      <c r="R203" s="3">
        <f t="shared" si="100"/>
        <v>0.681348594187891</v>
      </c>
      <c r="T203" s="4">
        <v>184.891667045833</v>
      </c>
      <c r="U203">
        <v>100.23</v>
      </c>
      <c r="V203" s="5">
        <f t="shared" si="101"/>
        <v>84.661667045833</v>
      </c>
      <c r="W203">
        <v>410.93</v>
      </c>
      <c r="X203" s="3">
        <f t="shared" si="102"/>
        <v>0.206024546871324</v>
      </c>
      <c r="Z203" s="4">
        <v>28.1170833833333</v>
      </c>
      <c r="AA203">
        <v>13.25</v>
      </c>
      <c r="AB203" s="5">
        <f t="shared" si="103"/>
        <v>14.8670833833333</v>
      </c>
      <c r="AC203">
        <v>33.93</v>
      </c>
      <c r="AD203" s="3">
        <f t="shared" si="104"/>
        <v>0.438169271539443</v>
      </c>
      <c r="AF203" s="4">
        <v>4.04</v>
      </c>
      <c r="AG203">
        <v>2.09</v>
      </c>
      <c r="AH203" s="5">
        <f t="shared" si="105"/>
        <v>1.95</v>
      </c>
      <c r="AI203">
        <v>3.85</v>
      </c>
      <c r="AJ203" s="3">
        <f t="shared" si="106"/>
        <v>0.506493506493507</v>
      </c>
      <c r="AL203" s="4">
        <v>7.17715822916667</v>
      </c>
      <c r="AM203">
        <v>6.1</v>
      </c>
      <c r="AN203" s="5">
        <f t="shared" si="107"/>
        <v>1.07715822916667</v>
      </c>
      <c r="AO203">
        <v>1.89</v>
      </c>
      <c r="AP203" s="3">
        <f t="shared" si="108"/>
        <v>0.569924988977074</v>
      </c>
      <c r="AR203" s="4">
        <v>1.22729167916667</v>
      </c>
      <c r="AS203">
        <v>0.02</v>
      </c>
      <c r="AT203" s="5">
        <f t="shared" si="109"/>
        <v>1.20729167916667</v>
      </c>
      <c r="AU203">
        <v>2.84</v>
      </c>
      <c r="AV203" s="3">
        <f t="shared" si="110"/>
        <v>0.425102703931926</v>
      </c>
      <c r="AX203" s="4">
        <v>17.4178000125</v>
      </c>
      <c r="AY203">
        <v>3.44</v>
      </c>
      <c r="AZ203" s="5">
        <f t="shared" si="111"/>
        <v>13.9778000125</v>
      </c>
      <c r="BA203">
        <v>29.17</v>
      </c>
      <c r="BB203" s="3">
        <f t="shared" si="112"/>
        <v>0.479184093675009</v>
      </c>
      <c r="BD203" s="4">
        <v>0.517750004166667</v>
      </c>
      <c r="BE203">
        <v>0.17</v>
      </c>
      <c r="BF203" s="5">
        <f t="shared" si="113"/>
        <v>0.347750004166667</v>
      </c>
      <c r="BG203">
        <v>4</v>
      </c>
      <c r="BH203" s="3">
        <f t="shared" si="114"/>
        <v>0.0869375010416668</v>
      </c>
      <c r="BJ203" s="9">
        <v>8.7763333625</v>
      </c>
      <c r="BK203">
        <v>4.8</v>
      </c>
      <c r="BL203" s="5">
        <f t="shared" si="115"/>
        <v>3.9763333625</v>
      </c>
      <c r="BM203">
        <v>8.9</v>
      </c>
      <c r="BN203" s="3">
        <f t="shared" si="116"/>
        <v>0.446779029494382</v>
      </c>
      <c r="BP203" s="9">
        <v>0.279333333333333</v>
      </c>
      <c r="BQ203">
        <v>0.09</v>
      </c>
      <c r="BR203" s="5">
        <f t="shared" si="117"/>
        <v>0.189333333333333</v>
      </c>
      <c r="BS203">
        <v>0.43</v>
      </c>
      <c r="BT203" s="3">
        <f t="shared" si="118"/>
        <v>0.440310077519379</v>
      </c>
      <c r="BV203" s="4">
        <v>6.83767700416667</v>
      </c>
      <c r="BW203">
        <v>6.18</v>
      </c>
      <c r="BX203" s="5">
        <f t="shared" si="119"/>
        <v>0.65767700416667</v>
      </c>
      <c r="BY203">
        <v>1.68</v>
      </c>
      <c r="BZ203" s="3">
        <f t="shared" si="120"/>
        <v>0.391474407242066</v>
      </c>
      <c r="CB203" s="10">
        <v>98.4</v>
      </c>
      <c r="CC203">
        <v>54.3</v>
      </c>
      <c r="CD203" s="12">
        <f t="shared" si="121"/>
        <v>44.1</v>
      </c>
      <c r="CE203">
        <v>71.3</v>
      </c>
      <c r="CF203" s="3">
        <f t="shared" si="122"/>
        <v>0.61851332398317</v>
      </c>
      <c r="CH203" s="13">
        <v>27.2</v>
      </c>
      <c r="CI203">
        <v>22.6</v>
      </c>
      <c r="CJ203">
        <f t="shared" si="123"/>
        <v>4.6</v>
      </c>
      <c r="CK203">
        <v>25.1</v>
      </c>
      <c r="CL203">
        <f t="shared" si="124"/>
        <v>0.183266932270916</v>
      </c>
      <c r="CN203" s="10">
        <v>5.2</v>
      </c>
      <c r="CO203">
        <v>3</v>
      </c>
      <c r="CP203" s="12">
        <f t="shared" si="125"/>
        <v>2.2</v>
      </c>
      <c r="CQ203">
        <v>3.4</v>
      </c>
      <c r="CR203" s="3">
        <f t="shared" si="126"/>
        <v>0.647058823529412</v>
      </c>
    </row>
    <row r="204" spans="2:96">
      <c r="B204" s="1">
        <v>42358</v>
      </c>
      <c r="C204">
        <v>32416</v>
      </c>
      <c r="D204" s="2">
        <f t="shared" si="127"/>
        <v>9942</v>
      </c>
      <c r="E204">
        <v>31904</v>
      </c>
      <c r="F204" s="3">
        <f t="shared" si="96"/>
        <v>0.311622367101304</v>
      </c>
      <c r="H204" s="1">
        <v>42126</v>
      </c>
      <c r="I204">
        <v>31145</v>
      </c>
      <c r="J204" s="2">
        <f t="shared" si="97"/>
        <v>10981</v>
      </c>
      <c r="K204">
        <v>32760</v>
      </c>
      <c r="L204" s="3">
        <f t="shared" si="98"/>
        <v>0.33519536019536</v>
      </c>
      <c r="N204" s="4">
        <v>257.2800025875</v>
      </c>
      <c r="O204">
        <v>201.27</v>
      </c>
      <c r="P204" s="5">
        <f t="shared" si="99"/>
        <v>56.0100025875</v>
      </c>
      <c r="Q204">
        <v>79.69</v>
      </c>
      <c r="R204" s="3">
        <f t="shared" si="100"/>
        <v>0.702848570554649</v>
      </c>
      <c r="T204" s="4">
        <v>172.299999708333</v>
      </c>
      <c r="U204">
        <v>100.23</v>
      </c>
      <c r="V204" s="5">
        <f t="shared" si="101"/>
        <v>72.069999708333</v>
      </c>
      <c r="W204">
        <v>410.93</v>
      </c>
      <c r="X204" s="3">
        <f t="shared" si="102"/>
        <v>0.175382667871251</v>
      </c>
      <c r="Z204" s="4">
        <v>27.5</v>
      </c>
      <c r="AA204">
        <v>13.25</v>
      </c>
      <c r="AB204" s="5">
        <f t="shared" si="103"/>
        <v>14.25</v>
      </c>
      <c r="AC204">
        <v>33.93</v>
      </c>
      <c r="AD204" s="3">
        <f t="shared" si="104"/>
        <v>0.419982316534041</v>
      </c>
      <c r="AF204" s="4">
        <v>4.6</v>
      </c>
      <c r="AG204">
        <v>2.09</v>
      </c>
      <c r="AH204" s="5">
        <f t="shared" si="105"/>
        <v>2.51</v>
      </c>
      <c r="AI204">
        <v>3.85</v>
      </c>
      <c r="AJ204" s="3">
        <f t="shared" si="106"/>
        <v>0.651948051948052</v>
      </c>
      <c r="AL204" s="4">
        <v>7.16345005</v>
      </c>
      <c r="AM204">
        <v>6.1</v>
      </c>
      <c r="AN204" s="5">
        <f t="shared" si="107"/>
        <v>1.06345005</v>
      </c>
      <c r="AO204">
        <v>1.89</v>
      </c>
      <c r="AP204" s="3">
        <f t="shared" si="108"/>
        <v>0.562671984126984</v>
      </c>
      <c r="AR204" s="4">
        <v>1.30562500416667</v>
      </c>
      <c r="AS204">
        <v>0.02</v>
      </c>
      <c r="AT204" s="5">
        <f t="shared" si="109"/>
        <v>1.28562500416667</v>
      </c>
      <c r="AU204">
        <v>2.84</v>
      </c>
      <c r="AV204" s="3">
        <f t="shared" si="110"/>
        <v>0.452684860622067</v>
      </c>
      <c r="AX204" s="4">
        <v>16.4970001625</v>
      </c>
      <c r="AY204">
        <v>3.44</v>
      </c>
      <c r="AZ204" s="5">
        <f t="shared" si="111"/>
        <v>13.0570001625</v>
      </c>
      <c r="BA204">
        <v>29.17</v>
      </c>
      <c r="BB204" s="3">
        <f t="shared" si="112"/>
        <v>0.447617420723346</v>
      </c>
      <c r="BD204" s="4">
        <v>0.967750008333333</v>
      </c>
      <c r="BE204">
        <v>0.17</v>
      </c>
      <c r="BF204" s="5">
        <f t="shared" si="113"/>
        <v>0.797750008333333</v>
      </c>
      <c r="BG204">
        <v>4</v>
      </c>
      <c r="BH204" s="3">
        <f t="shared" si="114"/>
        <v>0.199437502083333</v>
      </c>
      <c r="BJ204" s="9">
        <v>9.38166665833333</v>
      </c>
      <c r="BK204">
        <v>4.8</v>
      </c>
      <c r="BL204" s="5">
        <f t="shared" si="115"/>
        <v>4.58166665833333</v>
      </c>
      <c r="BM204">
        <v>8.9</v>
      </c>
      <c r="BN204" s="3">
        <f t="shared" si="116"/>
        <v>0.514794006554307</v>
      </c>
      <c r="BP204" s="9">
        <v>0.294375</v>
      </c>
      <c r="BQ204">
        <v>0.09</v>
      </c>
      <c r="BR204" s="5">
        <f t="shared" si="117"/>
        <v>0.204375</v>
      </c>
      <c r="BS204">
        <v>0.43</v>
      </c>
      <c r="BT204" s="3">
        <f t="shared" si="118"/>
        <v>0.475290697674419</v>
      </c>
      <c r="BV204" s="4">
        <v>6.81809792916667</v>
      </c>
      <c r="BW204">
        <v>6.18</v>
      </c>
      <c r="BX204" s="5">
        <f t="shared" si="119"/>
        <v>0.63809792916667</v>
      </c>
      <c r="BY204">
        <v>1.68</v>
      </c>
      <c r="BZ204" s="3">
        <f t="shared" si="120"/>
        <v>0.379820195932542</v>
      </c>
      <c r="CB204" s="10">
        <v>95.5</v>
      </c>
      <c r="CC204">
        <v>54.3</v>
      </c>
      <c r="CD204" s="12">
        <f t="shared" si="121"/>
        <v>41.2</v>
      </c>
      <c r="CE204">
        <v>71.3</v>
      </c>
      <c r="CF204" s="3">
        <f t="shared" si="122"/>
        <v>0.577840112201964</v>
      </c>
      <c r="CH204" s="13">
        <v>29.1</v>
      </c>
      <c r="CI204">
        <v>22.6</v>
      </c>
      <c r="CJ204">
        <f t="shared" si="123"/>
        <v>6.5</v>
      </c>
      <c r="CK204">
        <v>25.1</v>
      </c>
      <c r="CL204">
        <f t="shared" si="124"/>
        <v>0.258964143426295</v>
      </c>
      <c r="CN204" s="10">
        <v>5.7</v>
      </c>
      <c r="CO204">
        <v>3</v>
      </c>
      <c r="CP204" s="12">
        <f t="shared" si="125"/>
        <v>2.7</v>
      </c>
      <c r="CQ204">
        <v>3.4</v>
      </c>
      <c r="CR204" s="3">
        <f t="shared" si="126"/>
        <v>0.794117647058824</v>
      </c>
    </row>
    <row r="205" spans="2:96">
      <c r="B205" s="1">
        <v>48269</v>
      </c>
      <c r="C205">
        <v>32416</v>
      </c>
      <c r="D205" s="2">
        <f t="shared" si="127"/>
        <v>15853</v>
      </c>
      <c r="E205">
        <v>31904</v>
      </c>
      <c r="F205" s="3">
        <f t="shared" si="96"/>
        <v>0.496896940822467</v>
      </c>
      <c r="H205" s="1">
        <v>48155</v>
      </c>
      <c r="I205">
        <v>31145</v>
      </c>
      <c r="J205" s="2">
        <f t="shared" si="97"/>
        <v>17010</v>
      </c>
      <c r="K205">
        <v>32760</v>
      </c>
      <c r="L205" s="3">
        <f t="shared" si="98"/>
        <v>0.519230769230769</v>
      </c>
      <c r="N205" s="4">
        <v>261.593333570833</v>
      </c>
      <c r="O205">
        <v>201.27</v>
      </c>
      <c r="P205" s="5">
        <f t="shared" si="99"/>
        <v>60.323333570833</v>
      </c>
      <c r="Q205">
        <v>79.69</v>
      </c>
      <c r="R205" s="3">
        <f t="shared" si="100"/>
        <v>0.756974947557197</v>
      </c>
      <c r="T205" s="4">
        <v>205.000000641666</v>
      </c>
      <c r="U205">
        <v>100.23</v>
      </c>
      <c r="V205" s="5">
        <f t="shared" si="101"/>
        <v>104.770000641666</v>
      </c>
      <c r="W205">
        <v>410.93</v>
      </c>
      <c r="X205" s="3">
        <f t="shared" si="102"/>
        <v>0.254958266959497</v>
      </c>
      <c r="Z205" s="4">
        <v>25.6</v>
      </c>
      <c r="AA205">
        <v>13.25</v>
      </c>
      <c r="AB205" s="5">
        <f t="shared" si="103"/>
        <v>12.35</v>
      </c>
      <c r="AC205">
        <v>33.93</v>
      </c>
      <c r="AD205" s="3">
        <f t="shared" si="104"/>
        <v>0.363984674329502</v>
      </c>
      <c r="AF205" s="4">
        <v>4.62</v>
      </c>
      <c r="AG205">
        <v>2.09</v>
      </c>
      <c r="AH205" s="5">
        <f t="shared" si="105"/>
        <v>2.53</v>
      </c>
      <c r="AI205">
        <v>3.85</v>
      </c>
      <c r="AJ205" s="3">
        <f t="shared" si="106"/>
        <v>0.657142857142857</v>
      </c>
      <c r="AL205" s="4">
        <v>7.14297494166667</v>
      </c>
      <c r="AM205">
        <v>6.1</v>
      </c>
      <c r="AN205" s="5">
        <f t="shared" si="107"/>
        <v>1.04297494166667</v>
      </c>
      <c r="AO205">
        <v>1.89</v>
      </c>
      <c r="AP205" s="3">
        <f t="shared" si="108"/>
        <v>0.551838593474429</v>
      </c>
      <c r="AR205" s="4">
        <v>1.2306249875</v>
      </c>
      <c r="AS205">
        <v>0.02</v>
      </c>
      <c r="AT205" s="5">
        <f t="shared" si="109"/>
        <v>1.2106249875</v>
      </c>
      <c r="AU205">
        <v>2.84</v>
      </c>
      <c r="AV205" s="3">
        <f t="shared" si="110"/>
        <v>0.426276404049296</v>
      </c>
      <c r="AX205" s="4">
        <v>11.5769332666667</v>
      </c>
      <c r="AY205">
        <v>3.44</v>
      </c>
      <c r="AZ205" s="5">
        <f t="shared" si="111"/>
        <v>8.1369332666667</v>
      </c>
      <c r="BA205">
        <v>29.17</v>
      </c>
      <c r="BB205" s="3">
        <f t="shared" si="112"/>
        <v>0.278948689292653</v>
      </c>
      <c r="BD205" s="4">
        <v>1.6835833125</v>
      </c>
      <c r="BE205">
        <v>0.17</v>
      </c>
      <c r="BF205" s="5">
        <f t="shared" si="113"/>
        <v>1.5135833125</v>
      </c>
      <c r="BG205">
        <v>4</v>
      </c>
      <c r="BH205" s="3">
        <f t="shared" si="114"/>
        <v>0.378395828125</v>
      </c>
      <c r="BJ205" s="9">
        <v>9.18841669583333</v>
      </c>
      <c r="BK205">
        <v>4.8</v>
      </c>
      <c r="BL205" s="5">
        <f t="shared" si="115"/>
        <v>4.38841669583333</v>
      </c>
      <c r="BM205">
        <v>8.9</v>
      </c>
      <c r="BN205" s="3">
        <f t="shared" si="116"/>
        <v>0.493080527621723</v>
      </c>
      <c r="BP205" s="9">
        <v>0.293275</v>
      </c>
      <c r="BQ205">
        <v>0.09</v>
      </c>
      <c r="BR205" s="5">
        <f t="shared" si="117"/>
        <v>0.203275</v>
      </c>
      <c r="BS205">
        <v>0.43</v>
      </c>
      <c r="BT205" s="3">
        <f t="shared" si="118"/>
        <v>0.472732558139535</v>
      </c>
      <c r="BV205" s="4">
        <v>6.90612715416667</v>
      </c>
      <c r="BW205">
        <v>6.18</v>
      </c>
      <c r="BX205" s="5">
        <f t="shared" si="119"/>
        <v>0.726127154166671</v>
      </c>
      <c r="BY205">
        <v>1.68</v>
      </c>
      <c r="BZ205" s="3">
        <f t="shared" si="120"/>
        <v>0.432218544146828</v>
      </c>
      <c r="CB205" s="10">
        <v>95.3</v>
      </c>
      <c r="CC205">
        <v>54.3</v>
      </c>
      <c r="CD205" s="12">
        <f t="shared" si="121"/>
        <v>41</v>
      </c>
      <c r="CE205">
        <v>71.3</v>
      </c>
      <c r="CF205" s="3">
        <f t="shared" si="122"/>
        <v>0.575035063113605</v>
      </c>
      <c r="CH205" s="13">
        <v>26.9</v>
      </c>
      <c r="CI205">
        <v>22.6</v>
      </c>
      <c r="CJ205">
        <f t="shared" si="123"/>
        <v>4.3</v>
      </c>
      <c r="CK205">
        <v>25.1</v>
      </c>
      <c r="CL205">
        <f t="shared" si="124"/>
        <v>0.171314741035856</v>
      </c>
      <c r="CN205" s="10">
        <v>6.1</v>
      </c>
      <c r="CO205">
        <v>3</v>
      </c>
      <c r="CP205" s="12">
        <f t="shared" si="125"/>
        <v>3.1</v>
      </c>
      <c r="CQ205">
        <v>3.4</v>
      </c>
      <c r="CR205" s="3">
        <f t="shared" si="126"/>
        <v>0.911764705882353</v>
      </c>
    </row>
    <row r="206" spans="2:96">
      <c r="B206" s="1">
        <v>43685</v>
      </c>
      <c r="C206">
        <v>32416</v>
      </c>
      <c r="D206" s="2">
        <f t="shared" si="127"/>
        <v>11269</v>
      </c>
      <c r="E206">
        <v>31904</v>
      </c>
      <c r="F206" s="3">
        <f t="shared" si="96"/>
        <v>0.353215897693079</v>
      </c>
      <c r="H206" s="1">
        <v>42921</v>
      </c>
      <c r="I206">
        <v>31145</v>
      </c>
      <c r="J206" s="2">
        <f t="shared" si="97"/>
        <v>11776</v>
      </c>
      <c r="K206">
        <v>32760</v>
      </c>
      <c r="L206" s="3">
        <f t="shared" si="98"/>
        <v>0.359462759462759</v>
      </c>
      <c r="N206" s="4">
        <v>257.3366661</v>
      </c>
      <c r="O206">
        <v>201.27</v>
      </c>
      <c r="P206" s="5">
        <f t="shared" si="99"/>
        <v>56.0666661</v>
      </c>
      <c r="Q206">
        <v>79.69</v>
      </c>
      <c r="R206" s="3">
        <f t="shared" si="100"/>
        <v>0.703559619776634</v>
      </c>
      <c r="T206" s="4">
        <v>171.437500633333</v>
      </c>
      <c r="U206">
        <v>100.23</v>
      </c>
      <c r="V206" s="5">
        <f t="shared" si="101"/>
        <v>71.207500633333</v>
      </c>
      <c r="W206">
        <v>410.93</v>
      </c>
      <c r="X206" s="3">
        <f t="shared" si="102"/>
        <v>0.173283772499776</v>
      </c>
      <c r="Z206" s="4">
        <v>24.413541625</v>
      </c>
      <c r="AA206">
        <v>13.25</v>
      </c>
      <c r="AB206" s="5">
        <f t="shared" si="103"/>
        <v>11.163541625</v>
      </c>
      <c r="AC206">
        <v>33.93</v>
      </c>
      <c r="AD206" s="3">
        <f t="shared" si="104"/>
        <v>0.329016847185382</v>
      </c>
      <c r="AF206" s="4">
        <v>3.74</v>
      </c>
      <c r="AG206">
        <v>2.09</v>
      </c>
      <c r="AH206" s="5">
        <f t="shared" si="105"/>
        <v>1.65</v>
      </c>
      <c r="AI206">
        <v>3.85</v>
      </c>
      <c r="AJ206" s="3">
        <f t="shared" si="106"/>
        <v>0.428571428571429</v>
      </c>
      <c r="AL206" s="4">
        <v>7.1333500375</v>
      </c>
      <c r="AM206">
        <v>6.1</v>
      </c>
      <c r="AN206" s="5">
        <f t="shared" si="107"/>
        <v>1.0333500375</v>
      </c>
      <c r="AO206">
        <v>1.89</v>
      </c>
      <c r="AP206" s="3">
        <f t="shared" si="108"/>
        <v>0.546746051587302</v>
      </c>
      <c r="AR206" s="4">
        <v>1.99374999583333</v>
      </c>
      <c r="AS206">
        <v>0.02</v>
      </c>
      <c r="AT206" s="5">
        <f t="shared" si="109"/>
        <v>1.97374999583333</v>
      </c>
      <c r="AU206">
        <v>2.84</v>
      </c>
      <c r="AV206" s="3">
        <f t="shared" si="110"/>
        <v>0.69498239289906</v>
      </c>
      <c r="AX206" s="4">
        <v>11.3091334125</v>
      </c>
      <c r="AY206">
        <v>3.44</v>
      </c>
      <c r="AZ206" s="5">
        <f t="shared" si="111"/>
        <v>7.8691334125</v>
      </c>
      <c r="BA206">
        <v>29.17</v>
      </c>
      <c r="BB206" s="3">
        <f t="shared" si="112"/>
        <v>0.269768029225231</v>
      </c>
      <c r="BD206" s="4">
        <v>1.94791667916667</v>
      </c>
      <c r="BE206">
        <v>0.17</v>
      </c>
      <c r="BF206" s="5">
        <f t="shared" si="113"/>
        <v>1.77791667916667</v>
      </c>
      <c r="BG206">
        <v>4</v>
      </c>
      <c r="BH206" s="3">
        <f t="shared" si="114"/>
        <v>0.444479169791668</v>
      </c>
      <c r="BJ206" s="9">
        <v>8.97691663333333</v>
      </c>
      <c r="BK206">
        <v>4.8</v>
      </c>
      <c r="BL206" s="5">
        <f t="shared" si="115"/>
        <v>4.17691663333333</v>
      </c>
      <c r="BM206">
        <v>8.9</v>
      </c>
      <c r="BN206" s="3">
        <f t="shared" si="116"/>
        <v>0.46931647565543</v>
      </c>
      <c r="BP206" s="9">
        <v>0.320875</v>
      </c>
      <c r="BQ206">
        <v>0.09</v>
      </c>
      <c r="BR206" s="5">
        <f t="shared" si="117"/>
        <v>0.230875</v>
      </c>
      <c r="BS206">
        <v>0.43</v>
      </c>
      <c r="BT206" s="3">
        <f t="shared" si="118"/>
        <v>0.536918604651163</v>
      </c>
      <c r="BV206" s="4">
        <v>6.87560200833333</v>
      </c>
      <c r="BW206">
        <v>6.18</v>
      </c>
      <c r="BX206" s="5">
        <f t="shared" si="119"/>
        <v>0.695602008333331</v>
      </c>
      <c r="BY206">
        <v>1.68</v>
      </c>
      <c r="BZ206" s="3">
        <f t="shared" si="120"/>
        <v>0.414048814484125</v>
      </c>
      <c r="CB206" s="10">
        <v>99.1</v>
      </c>
      <c r="CC206">
        <v>54.3</v>
      </c>
      <c r="CD206" s="12">
        <f t="shared" si="121"/>
        <v>44.8</v>
      </c>
      <c r="CE206">
        <v>71.3</v>
      </c>
      <c r="CF206" s="3">
        <f t="shared" si="122"/>
        <v>0.628330995792426</v>
      </c>
      <c r="CH206" s="13">
        <v>27.7</v>
      </c>
      <c r="CI206">
        <v>22.6</v>
      </c>
      <c r="CJ206">
        <f t="shared" si="123"/>
        <v>5.1</v>
      </c>
      <c r="CK206">
        <v>25.1</v>
      </c>
      <c r="CL206">
        <f t="shared" si="124"/>
        <v>0.203187250996016</v>
      </c>
      <c r="CN206" s="10">
        <v>5.7</v>
      </c>
      <c r="CO206">
        <v>3</v>
      </c>
      <c r="CP206" s="12">
        <f t="shared" si="125"/>
        <v>2.7</v>
      </c>
      <c r="CQ206">
        <v>3.4</v>
      </c>
      <c r="CR206" s="3">
        <f t="shared" si="126"/>
        <v>0.794117647058824</v>
      </c>
    </row>
    <row r="207" spans="2:96">
      <c r="B207" s="1">
        <v>45619</v>
      </c>
      <c r="C207">
        <v>32416</v>
      </c>
      <c r="D207" s="2">
        <f t="shared" si="127"/>
        <v>13203</v>
      </c>
      <c r="E207">
        <v>31904</v>
      </c>
      <c r="F207" s="3">
        <f t="shared" si="96"/>
        <v>0.413835255767302</v>
      </c>
      <c r="H207" s="1">
        <v>44927</v>
      </c>
      <c r="I207">
        <v>31145</v>
      </c>
      <c r="J207" s="2">
        <f t="shared" si="97"/>
        <v>13782</v>
      </c>
      <c r="K207">
        <v>32760</v>
      </c>
      <c r="L207" s="3">
        <f t="shared" si="98"/>
        <v>0.420695970695971</v>
      </c>
      <c r="N207" s="4">
        <v>254.670000075</v>
      </c>
      <c r="O207">
        <v>201.27</v>
      </c>
      <c r="P207" s="5">
        <f t="shared" si="99"/>
        <v>53.400000075</v>
      </c>
      <c r="Q207">
        <v>79.69</v>
      </c>
      <c r="R207" s="3">
        <f t="shared" si="100"/>
        <v>0.670096625360773</v>
      </c>
      <c r="T207" s="4">
        <v>172.0875013875</v>
      </c>
      <c r="U207">
        <v>100.23</v>
      </c>
      <c r="V207" s="5">
        <f t="shared" si="101"/>
        <v>71.8575013875</v>
      </c>
      <c r="W207">
        <v>410.93</v>
      </c>
      <c r="X207" s="3">
        <f t="shared" si="102"/>
        <v>0.174865552253425</v>
      </c>
      <c r="Z207" s="4">
        <v>28.9045833833333</v>
      </c>
      <c r="AA207">
        <v>13.25</v>
      </c>
      <c r="AB207" s="5">
        <f t="shared" si="103"/>
        <v>15.6545833833333</v>
      </c>
      <c r="AC207">
        <v>33.93</v>
      </c>
      <c r="AD207" s="3">
        <f t="shared" si="104"/>
        <v>0.461378820611061</v>
      </c>
      <c r="AF207" s="4">
        <v>4.05</v>
      </c>
      <c r="AG207">
        <v>2.09</v>
      </c>
      <c r="AH207" s="5">
        <f t="shared" si="105"/>
        <v>1.96</v>
      </c>
      <c r="AI207">
        <v>3.85</v>
      </c>
      <c r="AJ207" s="3">
        <f t="shared" si="106"/>
        <v>0.509090909090909</v>
      </c>
      <c r="AL207" s="4">
        <v>7.1317749625</v>
      </c>
      <c r="AM207">
        <v>6.1</v>
      </c>
      <c r="AN207" s="5">
        <f t="shared" si="107"/>
        <v>1.0317749625</v>
      </c>
      <c r="AO207">
        <v>1.89</v>
      </c>
      <c r="AP207" s="3">
        <f t="shared" si="108"/>
        <v>0.545912678571429</v>
      </c>
      <c r="AR207" s="4">
        <v>1.06791668333333</v>
      </c>
      <c r="AS207">
        <v>0.02</v>
      </c>
      <c r="AT207" s="5">
        <f t="shared" si="109"/>
        <v>1.04791668333333</v>
      </c>
      <c r="AU207">
        <v>2.84</v>
      </c>
      <c r="AV207" s="3">
        <f t="shared" si="110"/>
        <v>0.368984747652581</v>
      </c>
      <c r="AX207" s="4">
        <v>11.6930666291667</v>
      </c>
      <c r="AY207">
        <v>3.44</v>
      </c>
      <c r="AZ207" s="5">
        <f t="shared" si="111"/>
        <v>8.2530666291667</v>
      </c>
      <c r="BA207">
        <v>29.17</v>
      </c>
      <c r="BB207" s="3">
        <f t="shared" si="112"/>
        <v>0.282929949577192</v>
      </c>
      <c r="BD207" s="4">
        <v>2.02075002916667</v>
      </c>
      <c r="BE207">
        <v>0.17</v>
      </c>
      <c r="BF207" s="5">
        <f t="shared" si="113"/>
        <v>1.85075002916667</v>
      </c>
      <c r="BG207">
        <v>4</v>
      </c>
      <c r="BH207" s="3">
        <f t="shared" si="114"/>
        <v>0.462687507291668</v>
      </c>
      <c r="BJ207" s="9">
        <v>9.56974994583333</v>
      </c>
      <c r="BK207">
        <v>4.8</v>
      </c>
      <c r="BL207" s="5">
        <f t="shared" si="115"/>
        <v>4.76974994583333</v>
      </c>
      <c r="BM207">
        <v>8.9</v>
      </c>
      <c r="BN207" s="3">
        <f t="shared" si="116"/>
        <v>0.535926960205992</v>
      </c>
      <c r="BP207" s="9">
        <v>0.327683333333333</v>
      </c>
      <c r="BQ207">
        <v>0.09</v>
      </c>
      <c r="BR207" s="5">
        <f t="shared" si="117"/>
        <v>0.237683333333333</v>
      </c>
      <c r="BS207">
        <v>0.43</v>
      </c>
      <c r="BT207" s="3">
        <f t="shared" si="118"/>
        <v>0.552751937984495</v>
      </c>
      <c r="BV207" s="4">
        <v>6.8150916375</v>
      </c>
      <c r="BW207">
        <v>6.18</v>
      </c>
      <c r="BX207" s="5">
        <f t="shared" si="119"/>
        <v>0.6350916375</v>
      </c>
      <c r="BY207">
        <v>1.68</v>
      </c>
      <c r="BZ207" s="3">
        <f t="shared" si="120"/>
        <v>0.378030736607143</v>
      </c>
      <c r="CB207" s="10">
        <v>100.2</v>
      </c>
      <c r="CC207">
        <v>54.3</v>
      </c>
      <c r="CD207" s="12">
        <f t="shared" si="121"/>
        <v>45.9</v>
      </c>
      <c r="CE207">
        <v>71.3</v>
      </c>
      <c r="CF207" s="3">
        <f t="shared" si="122"/>
        <v>0.643758765778401</v>
      </c>
      <c r="CH207" s="13">
        <v>26.2</v>
      </c>
      <c r="CI207">
        <v>22.6</v>
      </c>
      <c r="CJ207">
        <f t="shared" si="123"/>
        <v>3.6</v>
      </c>
      <c r="CK207">
        <v>25.1</v>
      </c>
      <c r="CL207">
        <f t="shared" si="124"/>
        <v>0.143426294820717</v>
      </c>
      <c r="CN207" s="10">
        <v>5.8</v>
      </c>
      <c r="CO207">
        <v>3</v>
      </c>
      <c r="CP207" s="12">
        <f t="shared" si="125"/>
        <v>2.8</v>
      </c>
      <c r="CQ207">
        <v>3.4</v>
      </c>
      <c r="CR207" s="3">
        <f t="shared" si="126"/>
        <v>0.823529411764706</v>
      </c>
    </row>
    <row r="208" spans="2:96">
      <c r="B208" s="1">
        <v>51749</v>
      </c>
      <c r="C208">
        <v>32416</v>
      </c>
      <c r="D208" s="2">
        <f t="shared" si="127"/>
        <v>19333</v>
      </c>
      <c r="E208">
        <v>31904</v>
      </c>
      <c r="F208" s="3">
        <f t="shared" si="96"/>
        <v>0.605974172517553</v>
      </c>
      <c r="H208" s="1">
        <v>51473</v>
      </c>
      <c r="I208">
        <v>31145</v>
      </c>
      <c r="J208" s="2">
        <f t="shared" si="97"/>
        <v>20328</v>
      </c>
      <c r="K208">
        <v>32760</v>
      </c>
      <c r="L208" s="3">
        <f t="shared" si="98"/>
        <v>0.620512820512821</v>
      </c>
      <c r="N208" s="4">
        <v>261.356667191667</v>
      </c>
      <c r="O208">
        <v>201.27</v>
      </c>
      <c r="P208" s="5">
        <f t="shared" si="99"/>
        <v>60.086667191667</v>
      </c>
      <c r="Q208">
        <v>79.69</v>
      </c>
      <c r="R208" s="3">
        <f t="shared" si="100"/>
        <v>0.754005109695909</v>
      </c>
      <c r="T208" s="4">
        <v>190.004167075</v>
      </c>
      <c r="U208">
        <v>100.23</v>
      </c>
      <c r="V208" s="5">
        <f t="shared" si="101"/>
        <v>89.774167075</v>
      </c>
      <c r="W208">
        <v>410.93</v>
      </c>
      <c r="X208" s="3">
        <f t="shared" si="102"/>
        <v>0.218465838646485</v>
      </c>
      <c r="Z208" s="4">
        <v>24.7116666458333</v>
      </c>
      <c r="AA208">
        <v>13.25</v>
      </c>
      <c r="AB208" s="5">
        <f t="shared" si="103"/>
        <v>11.4616666458333</v>
      </c>
      <c r="AC208">
        <v>33.93</v>
      </c>
      <c r="AD208" s="3">
        <f t="shared" si="104"/>
        <v>0.337803319947931</v>
      </c>
      <c r="AF208" s="4">
        <v>3.6</v>
      </c>
      <c r="AG208">
        <v>2.09</v>
      </c>
      <c r="AH208" s="5">
        <f t="shared" si="105"/>
        <v>1.51</v>
      </c>
      <c r="AI208">
        <v>3.85</v>
      </c>
      <c r="AJ208" s="3">
        <f t="shared" si="106"/>
        <v>0.392207792207792</v>
      </c>
      <c r="AL208" s="4">
        <v>7.11229162916667</v>
      </c>
      <c r="AM208">
        <v>6.1</v>
      </c>
      <c r="AN208" s="5">
        <f t="shared" si="107"/>
        <v>1.01229162916667</v>
      </c>
      <c r="AO208">
        <v>1.89</v>
      </c>
      <c r="AP208" s="3">
        <f t="shared" si="108"/>
        <v>0.535604036596122</v>
      </c>
      <c r="AR208" s="4">
        <v>1.15916666666667</v>
      </c>
      <c r="AS208">
        <v>0.02</v>
      </c>
      <c r="AT208" s="5">
        <f t="shared" si="109"/>
        <v>1.13916666666667</v>
      </c>
      <c r="AU208">
        <v>2.84</v>
      </c>
      <c r="AV208" s="3">
        <f t="shared" si="110"/>
        <v>0.40111502347418</v>
      </c>
      <c r="AX208" s="4">
        <v>12.2927999541667</v>
      </c>
      <c r="AY208">
        <v>3.44</v>
      </c>
      <c r="AZ208" s="5">
        <f t="shared" si="111"/>
        <v>8.8527999541667</v>
      </c>
      <c r="BA208">
        <v>29.17</v>
      </c>
      <c r="BB208" s="3">
        <f t="shared" si="112"/>
        <v>0.303489885298824</v>
      </c>
      <c r="BD208" s="4">
        <v>1.874416675</v>
      </c>
      <c r="BE208">
        <v>0.17</v>
      </c>
      <c r="BF208" s="5">
        <f t="shared" si="113"/>
        <v>1.704416675</v>
      </c>
      <c r="BG208">
        <v>4</v>
      </c>
      <c r="BH208" s="3">
        <f t="shared" si="114"/>
        <v>0.42610416875</v>
      </c>
      <c r="BJ208" s="4">
        <v>10.10475</v>
      </c>
      <c r="BK208">
        <v>4.8</v>
      </c>
      <c r="BL208" s="5">
        <f t="shared" si="115"/>
        <v>5.30475</v>
      </c>
      <c r="BM208">
        <v>8.9</v>
      </c>
      <c r="BN208" s="3">
        <f t="shared" si="116"/>
        <v>0.596039325842697</v>
      </c>
      <c r="BP208" s="4">
        <v>0.34465</v>
      </c>
      <c r="BQ208">
        <v>0.09</v>
      </c>
      <c r="BR208" s="5">
        <f t="shared" si="117"/>
        <v>0.25465</v>
      </c>
      <c r="BS208">
        <v>0.43</v>
      </c>
      <c r="BT208" s="3">
        <f t="shared" si="118"/>
        <v>0.592209302325582</v>
      </c>
      <c r="BV208" s="4">
        <v>6.70332080416667</v>
      </c>
      <c r="BW208">
        <v>6.18</v>
      </c>
      <c r="BX208" s="5">
        <f t="shared" si="119"/>
        <v>0.52332080416667</v>
      </c>
      <c r="BY208">
        <v>1.68</v>
      </c>
      <c r="BZ208" s="3">
        <f t="shared" si="120"/>
        <v>0.311500478670637</v>
      </c>
      <c r="CB208" s="10">
        <v>101.9</v>
      </c>
      <c r="CC208">
        <v>54.3</v>
      </c>
      <c r="CD208" s="12">
        <f t="shared" si="121"/>
        <v>47.6</v>
      </c>
      <c r="CE208">
        <v>71.3</v>
      </c>
      <c r="CF208" s="3">
        <f t="shared" si="122"/>
        <v>0.667601683029453</v>
      </c>
      <c r="CH208" s="13">
        <v>25.9</v>
      </c>
      <c r="CI208">
        <v>22.6</v>
      </c>
      <c r="CJ208">
        <f t="shared" si="123"/>
        <v>3.3</v>
      </c>
      <c r="CK208">
        <v>25.1</v>
      </c>
      <c r="CL208">
        <f t="shared" si="124"/>
        <v>0.131474103585657</v>
      </c>
      <c r="CN208" s="10">
        <v>5.2</v>
      </c>
      <c r="CO208">
        <v>3</v>
      </c>
      <c r="CP208" s="12">
        <f t="shared" si="125"/>
        <v>2.2</v>
      </c>
      <c r="CQ208">
        <v>3.4</v>
      </c>
      <c r="CR208" s="3">
        <f t="shared" si="126"/>
        <v>0.647058823529412</v>
      </c>
    </row>
    <row r="209" spans="2:96">
      <c r="B209" s="1">
        <v>44659</v>
      </c>
      <c r="C209">
        <v>32416</v>
      </c>
      <c r="D209" s="2">
        <f t="shared" si="127"/>
        <v>12243</v>
      </c>
      <c r="E209">
        <v>31904</v>
      </c>
      <c r="F209" s="3">
        <f t="shared" si="96"/>
        <v>0.383744984954865</v>
      </c>
      <c r="H209" s="1">
        <v>44300</v>
      </c>
      <c r="I209">
        <v>31145</v>
      </c>
      <c r="J209" s="2">
        <f t="shared" si="97"/>
        <v>13155</v>
      </c>
      <c r="K209">
        <v>32760</v>
      </c>
      <c r="L209" s="3">
        <f t="shared" si="98"/>
        <v>0.401556776556777</v>
      </c>
      <c r="N209" s="4">
        <v>258.90000025</v>
      </c>
      <c r="O209">
        <v>201.27</v>
      </c>
      <c r="P209" s="5">
        <f t="shared" si="99"/>
        <v>57.63000025</v>
      </c>
      <c r="Q209">
        <v>79.69</v>
      </c>
      <c r="R209" s="3">
        <f t="shared" si="100"/>
        <v>0.723177315221483</v>
      </c>
      <c r="T209" s="4">
        <v>177.233333266666</v>
      </c>
      <c r="U209">
        <v>100.23</v>
      </c>
      <c r="V209" s="5">
        <f t="shared" si="101"/>
        <v>77.003333266666</v>
      </c>
      <c r="W209">
        <v>410.93</v>
      </c>
      <c r="X209" s="3">
        <f t="shared" si="102"/>
        <v>0.187387957235213</v>
      </c>
      <c r="Z209" s="4">
        <v>26.8202083541666</v>
      </c>
      <c r="AA209">
        <v>13.25</v>
      </c>
      <c r="AB209" s="5">
        <f t="shared" si="103"/>
        <v>13.5702083541666</v>
      </c>
      <c r="AC209">
        <v>33.93</v>
      </c>
      <c r="AD209" s="3">
        <f t="shared" si="104"/>
        <v>0.399947195819823</v>
      </c>
      <c r="AF209" s="4">
        <v>3.74</v>
      </c>
      <c r="AG209">
        <v>2.09</v>
      </c>
      <c r="AH209" s="5">
        <f t="shared" si="105"/>
        <v>1.65</v>
      </c>
      <c r="AI209">
        <v>3.85</v>
      </c>
      <c r="AJ209" s="3">
        <f t="shared" si="106"/>
        <v>0.428571428571429</v>
      </c>
      <c r="AL209" s="4">
        <v>7.1291499625</v>
      </c>
      <c r="AM209">
        <v>6.1</v>
      </c>
      <c r="AN209" s="5">
        <f t="shared" si="107"/>
        <v>1.0291499625</v>
      </c>
      <c r="AO209">
        <v>1.89</v>
      </c>
      <c r="AP209" s="3">
        <f t="shared" si="108"/>
        <v>0.54452378968254</v>
      </c>
      <c r="AR209" s="4">
        <v>1.4595833375</v>
      </c>
      <c r="AS209">
        <v>0.02</v>
      </c>
      <c r="AT209" s="5">
        <f t="shared" si="109"/>
        <v>1.4395833375</v>
      </c>
      <c r="AU209">
        <v>2.84</v>
      </c>
      <c r="AV209" s="3">
        <f t="shared" si="110"/>
        <v>0.506895541373239</v>
      </c>
      <c r="AX209" s="4">
        <v>11.7277333791667</v>
      </c>
      <c r="AY209">
        <v>3.44</v>
      </c>
      <c r="AZ209" s="5">
        <f t="shared" si="111"/>
        <v>8.2877333791667</v>
      </c>
      <c r="BA209">
        <v>29.17</v>
      </c>
      <c r="BB209" s="3">
        <f t="shared" si="112"/>
        <v>0.284118388041368</v>
      </c>
      <c r="BD209" s="4">
        <v>0.950499983333334</v>
      </c>
      <c r="BE209">
        <v>0.17</v>
      </c>
      <c r="BF209" s="5">
        <f t="shared" si="113"/>
        <v>0.780499983333334</v>
      </c>
      <c r="BG209">
        <v>4</v>
      </c>
      <c r="BH209" s="3">
        <f t="shared" si="114"/>
        <v>0.195124995833333</v>
      </c>
      <c r="BJ209" s="4">
        <v>9.6008333</v>
      </c>
      <c r="BK209">
        <v>4.8</v>
      </c>
      <c r="BL209" s="5">
        <f t="shared" si="115"/>
        <v>4.8008333</v>
      </c>
      <c r="BM209">
        <v>8.9</v>
      </c>
      <c r="BN209" s="3">
        <f t="shared" si="116"/>
        <v>0.539419471910112</v>
      </c>
      <c r="BP209" s="4">
        <v>0.342833333333333</v>
      </c>
      <c r="BQ209">
        <v>0.09</v>
      </c>
      <c r="BR209" s="5">
        <f t="shared" si="117"/>
        <v>0.252833333333333</v>
      </c>
      <c r="BS209">
        <v>0.43</v>
      </c>
      <c r="BT209" s="3">
        <f t="shared" si="118"/>
        <v>0.58798449612403</v>
      </c>
      <c r="BV209" s="4">
        <v>6.86920416666667</v>
      </c>
      <c r="BW209">
        <v>6.18</v>
      </c>
      <c r="BX209" s="5">
        <f t="shared" si="119"/>
        <v>0.68920416666667</v>
      </c>
      <c r="BY209">
        <v>1.68</v>
      </c>
      <c r="BZ209" s="3">
        <f t="shared" si="120"/>
        <v>0.410240575396827</v>
      </c>
      <c r="CB209" s="10">
        <v>104.7</v>
      </c>
      <c r="CC209">
        <v>54.3</v>
      </c>
      <c r="CD209" s="12">
        <f t="shared" si="121"/>
        <v>50.4</v>
      </c>
      <c r="CE209">
        <v>71.3</v>
      </c>
      <c r="CF209" s="3">
        <f t="shared" si="122"/>
        <v>0.70687237026648</v>
      </c>
      <c r="CH209" s="13">
        <v>25.8</v>
      </c>
      <c r="CI209">
        <v>22.6</v>
      </c>
      <c r="CJ209">
        <f t="shared" si="123"/>
        <v>3.2</v>
      </c>
      <c r="CK209">
        <v>25.1</v>
      </c>
      <c r="CL209">
        <f t="shared" si="124"/>
        <v>0.127490039840637</v>
      </c>
      <c r="CN209" s="11">
        <v>4.9</v>
      </c>
      <c r="CO209">
        <v>3</v>
      </c>
      <c r="CP209" s="12">
        <f t="shared" si="125"/>
        <v>1.9</v>
      </c>
      <c r="CQ209">
        <v>3.4</v>
      </c>
      <c r="CR209" s="3">
        <f t="shared" si="126"/>
        <v>0.558823529411765</v>
      </c>
    </row>
    <row r="210" spans="2:96">
      <c r="B210" s="1">
        <v>40293</v>
      </c>
      <c r="C210">
        <v>32416</v>
      </c>
      <c r="D210" s="2">
        <f t="shared" si="127"/>
        <v>7877</v>
      </c>
      <c r="E210">
        <v>31904</v>
      </c>
      <c r="F210" s="3">
        <f t="shared" si="96"/>
        <v>0.246896940822467</v>
      </c>
      <c r="H210" s="1">
        <v>40171</v>
      </c>
      <c r="I210">
        <v>31145</v>
      </c>
      <c r="J210" s="2">
        <f t="shared" si="97"/>
        <v>9026</v>
      </c>
      <c r="K210">
        <v>32760</v>
      </c>
      <c r="L210" s="3">
        <f t="shared" si="98"/>
        <v>0.275518925518926</v>
      </c>
      <c r="N210" s="4">
        <v>267.393332795833</v>
      </c>
      <c r="O210">
        <v>201.27</v>
      </c>
      <c r="P210" s="5">
        <f t="shared" si="99"/>
        <v>66.123332795833</v>
      </c>
      <c r="Q210">
        <v>79.69</v>
      </c>
      <c r="R210" s="3">
        <f t="shared" si="100"/>
        <v>0.829756968199686</v>
      </c>
      <c r="T210" s="4">
        <v>250.862499545833</v>
      </c>
      <c r="U210">
        <v>100.23</v>
      </c>
      <c r="V210" s="5">
        <f t="shared" si="101"/>
        <v>150.632499545833</v>
      </c>
      <c r="W210">
        <v>410.93</v>
      </c>
      <c r="X210" s="3">
        <f t="shared" si="102"/>
        <v>0.366564863956959</v>
      </c>
      <c r="Z210" s="4">
        <v>22.65270835</v>
      </c>
      <c r="AA210">
        <v>13.25</v>
      </c>
      <c r="AB210" s="5">
        <f t="shared" si="103"/>
        <v>9.40270835</v>
      </c>
      <c r="AC210">
        <v>33.93</v>
      </c>
      <c r="AD210" s="3">
        <f t="shared" si="104"/>
        <v>0.277120788387857</v>
      </c>
      <c r="AF210" s="4">
        <v>4.16</v>
      </c>
      <c r="AG210">
        <v>2.09</v>
      </c>
      <c r="AH210" s="5">
        <f t="shared" si="105"/>
        <v>2.07</v>
      </c>
      <c r="AI210">
        <v>3.85</v>
      </c>
      <c r="AJ210" s="3">
        <f t="shared" si="106"/>
        <v>0.537662337662338</v>
      </c>
      <c r="AL210" s="4">
        <v>7.12973330416667</v>
      </c>
      <c r="AM210">
        <v>6.1</v>
      </c>
      <c r="AN210" s="5">
        <f t="shared" si="107"/>
        <v>1.02973330416667</v>
      </c>
      <c r="AO210">
        <v>1.89</v>
      </c>
      <c r="AP210" s="3">
        <f t="shared" si="108"/>
        <v>0.544832436067022</v>
      </c>
      <c r="AR210" s="4">
        <v>1.393749975</v>
      </c>
      <c r="AS210">
        <v>0.02</v>
      </c>
      <c r="AT210" s="5">
        <f t="shared" si="109"/>
        <v>1.373749975</v>
      </c>
      <c r="AU210">
        <v>2.84</v>
      </c>
      <c r="AV210" s="3">
        <f t="shared" si="110"/>
        <v>0.483714779929577</v>
      </c>
      <c r="AX210" s="4">
        <v>11.3186668166667</v>
      </c>
      <c r="AY210">
        <v>3.44</v>
      </c>
      <c r="AZ210" s="5">
        <f t="shared" si="111"/>
        <v>7.8786668166667</v>
      </c>
      <c r="BA210">
        <v>29.17</v>
      </c>
      <c r="BB210" s="3">
        <f t="shared" si="112"/>
        <v>0.27009485144555</v>
      </c>
      <c r="BD210" s="4">
        <v>0.634000004166666</v>
      </c>
      <c r="BE210">
        <v>0.17</v>
      </c>
      <c r="BF210" s="5">
        <f t="shared" si="113"/>
        <v>0.464000004166666</v>
      </c>
      <c r="BG210">
        <v>4</v>
      </c>
      <c r="BH210" s="3">
        <f t="shared" si="114"/>
        <v>0.116000001041666</v>
      </c>
      <c r="BJ210" s="4">
        <v>10.508250175</v>
      </c>
      <c r="BK210">
        <v>4.8</v>
      </c>
      <c r="BL210" s="5">
        <f t="shared" si="115"/>
        <v>5.708250175</v>
      </c>
      <c r="BM210">
        <v>8.9</v>
      </c>
      <c r="BN210" s="3">
        <f t="shared" si="116"/>
        <v>0.641376424157303</v>
      </c>
      <c r="BP210" s="4">
        <v>0.358941666666667</v>
      </c>
      <c r="BQ210">
        <v>0.09</v>
      </c>
      <c r="BR210" s="5">
        <f t="shared" si="117"/>
        <v>0.268941666666667</v>
      </c>
      <c r="BS210">
        <v>0.43</v>
      </c>
      <c r="BT210" s="3">
        <f t="shared" si="118"/>
        <v>0.625445736434109</v>
      </c>
      <c r="BV210" s="4">
        <v>6.87275004166667</v>
      </c>
      <c r="BW210">
        <v>6.18</v>
      </c>
      <c r="BX210" s="5">
        <f t="shared" si="119"/>
        <v>0.69275004166667</v>
      </c>
      <c r="BY210">
        <v>1.68</v>
      </c>
      <c r="BZ210" s="3">
        <f t="shared" si="120"/>
        <v>0.41235121527778</v>
      </c>
      <c r="CB210" s="10">
        <v>102.6</v>
      </c>
      <c r="CC210">
        <v>54.3</v>
      </c>
      <c r="CD210" s="12">
        <f t="shared" si="121"/>
        <v>48.3</v>
      </c>
      <c r="CE210">
        <v>71.3</v>
      </c>
      <c r="CF210" s="3">
        <f t="shared" si="122"/>
        <v>0.67741935483871</v>
      </c>
      <c r="CH210" s="13">
        <v>24.7</v>
      </c>
      <c r="CI210">
        <v>22.6</v>
      </c>
      <c r="CJ210">
        <f t="shared" si="123"/>
        <v>2.1</v>
      </c>
      <c r="CK210">
        <v>25.1</v>
      </c>
      <c r="CL210">
        <f t="shared" si="124"/>
        <v>0.0836653386454182</v>
      </c>
      <c r="CN210" s="10">
        <v>4.3</v>
      </c>
      <c r="CO210">
        <v>3</v>
      </c>
      <c r="CP210" s="12">
        <f t="shared" si="125"/>
        <v>1.3</v>
      </c>
      <c r="CQ210">
        <v>3.4</v>
      </c>
      <c r="CR210" s="3">
        <f t="shared" si="126"/>
        <v>0.382352941176471</v>
      </c>
    </row>
    <row r="211" spans="2:96">
      <c r="B211" s="1">
        <v>41524</v>
      </c>
      <c r="C211">
        <v>32416</v>
      </c>
      <c r="D211" s="2">
        <f t="shared" si="127"/>
        <v>9108</v>
      </c>
      <c r="E211">
        <v>31904</v>
      </c>
      <c r="F211" s="3">
        <f t="shared" si="96"/>
        <v>0.285481444332999</v>
      </c>
      <c r="H211" s="1">
        <v>41259</v>
      </c>
      <c r="I211">
        <v>31145</v>
      </c>
      <c r="J211" s="2">
        <f t="shared" si="97"/>
        <v>10114</v>
      </c>
      <c r="K211">
        <v>32760</v>
      </c>
      <c r="L211" s="3">
        <f t="shared" si="98"/>
        <v>0.308730158730159</v>
      </c>
      <c r="N211" s="4">
        <v>258.93333625</v>
      </c>
      <c r="O211">
        <v>201.27</v>
      </c>
      <c r="P211" s="5">
        <f t="shared" si="99"/>
        <v>57.66333625</v>
      </c>
      <c r="Q211">
        <v>79.69</v>
      </c>
      <c r="R211" s="3">
        <f t="shared" si="100"/>
        <v>0.723595636215335</v>
      </c>
      <c r="T211" s="4">
        <v>168.062499683333</v>
      </c>
      <c r="U211">
        <v>100.23</v>
      </c>
      <c r="V211" s="5">
        <f t="shared" si="101"/>
        <v>67.832499683333</v>
      </c>
      <c r="W211">
        <v>410.93</v>
      </c>
      <c r="X211" s="3">
        <f t="shared" si="102"/>
        <v>0.165070692534819</v>
      </c>
      <c r="Z211" s="4">
        <v>27.5237500125</v>
      </c>
      <c r="AA211">
        <v>13.25</v>
      </c>
      <c r="AB211" s="5">
        <f t="shared" si="103"/>
        <v>14.2737500125</v>
      </c>
      <c r="AC211">
        <v>33.93</v>
      </c>
      <c r="AD211" s="3">
        <f t="shared" si="104"/>
        <v>0.420682287430003</v>
      </c>
      <c r="AF211" s="4">
        <v>3.76</v>
      </c>
      <c r="AG211">
        <v>2.09</v>
      </c>
      <c r="AH211" s="5">
        <f t="shared" si="105"/>
        <v>1.67</v>
      </c>
      <c r="AI211">
        <v>3.85</v>
      </c>
      <c r="AJ211" s="3">
        <f t="shared" si="106"/>
        <v>0.433766233766234</v>
      </c>
      <c r="AL211" s="4">
        <v>7.087675</v>
      </c>
      <c r="AM211">
        <v>6.1</v>
      </c>
      <c r="AN211" s="5">
        <f t="shared" si="107"/>
        <v>0.987675</v>
      </c>
      <c r="AO211">
        <v>1.89</v>
      </c>
      <c r="AP211" s="3">
        <f t="shared" si="108"/>
        <v>0.522579365079365</v>
      </c>
      <c r="AR211" s="4">
        <v>1.156666675</v>
      </c>
      <c r="AS211">
        <v>0.02</v>
      </c>
      <c r="AT211" s="5">
        <f t="shared" si="109"/>
        <v>1.136666675</v>
      </c>
      <c r="AU211">
        <v>2.84</v>
      </c>
      <c r="AV211" s="3">
        <f t="shared" si="110"/>
        <v>0.40023474471831</v>
      </c>
      <c r="AX211" s="4">
        <v>13.81726695</v>
      </c>
      <c r="AY211">
        <v>3.44</v>
      </c>
      <c r="AZ211" s="5">
        <f t="shared" si="111"/>
        <v>10.37726695</v>
      </c>
      <c r="BA211">
        <v>29.17</v>
      </c>
      <c r="BB211" s="3">
        <f t="shared" si="112"/>
        <v>0.355751352416867</v>
      </c>
      <c r="BD211" s="4">
        <v>0.721916670833333</v>
      </c>
      <c r="BE211">
        <v>0.17</v>
      </c>
      <c r="BF211" s="5">
        <f t="shared" si="113"/>
        <v>0.551916670833333</v>
      </c>
      <c r="BG211">
        <v>4</v>
      </c>
      <c r="BH211" s="3">
        <f t="shared" si="114"/>
        <v>0.137979167708333</v>
      </c>
      <c r="BJ211" s="4">
        <v>11.8267499625</v>
      </c>
      <c r="BK211">
        <v>4.8</v>
      </c>
      <c r="BL211" s="5">
        <f t="shared" si="115"/>
        <v>7.0267499625</v>
      </c>
      <c r="BM211">
        <v>8.9</v>
      </c>
      <c r="BN211" s="3">
        <f t="shared" si="116"/>
        <v>0.789522467696629</v>
      </c>
      <c r="BP211" s="4">
        <v>0.367341666666667</v>
      </c>
      <c r="BQ211">
        <v>0.09</v>
      </c>
      <c r="BR211" s="5">
        <f t="shared" si="117"/>
        <v>0.277341666666667</v>
      </c>
      <c r="BS211">
        <v>0.43</v>
      </c>
      <c r="BT211" s="3">
        <f t="shared" si="118"/>
        <v>0.64498062015504</v>
      </c>
      <c r="BV211" s="4">
        <v>6.7890373625</v>
      </c>
      <c r="BW211">
        <v>6.18</v>
      </c>
      <c r="BX211" s="5">
        <f t="shared" si="119"/>
        <v>0.609037362500001</v>
      </c>
      <c r="BY211">
        <v>1.68</v>
      </c>
      <c r="BZ211" s="3">
        <f t="shared" si="120"/>
        <v>0.362522239583334</v>
      </c>
      <c r="CB211" s="10">
        <v>90.4</v>
      </c>
      <c r="CC211">
        <v>54.3</v>
      </c>
      <c r="CD211" s="12">
        <f t="shared" si="121"/>
        <v>36.1</v>
      </c>
      <c r="CE211">
        <v>71.3</v>
      </c>
      <c r="CF211" s="3">
        <f t="shared" si="122"/>
        <v>0.506311360448808</v>
      </c>
      <c r="CH211" s="13">
        <v>27.9</v>
      </c>
      <c r="CI211">
        <v>22.6</v>
      </c>
      <c r="CJ211">
        <f t="shared" si="123"/>
        <v>5.3</v>
      </c>
      <c r="CK211">
        <v>25.1</v>
      </c>
      <c r="CL211">
        <f t="shared" si="124"/>
        <v>0.211155378486056</v>
      </c>
      <c r="CN211" s="10">
        <v>4.5</v>
      </c>
      <c r="CO211">
        <v>3</v>
      </c>
      <c r="CP211" s="12">
        <f t="shared" si="125"/>
        <v>1.5</v>
      </c>
      <c r="CQ211">
        <v>3.4</v>
      </c>
      <c r="CR211" s="3">
        <f t="shared" si="126"/>
        <v>0.441176470588235</v>
      </c>
    </row>
    <row r="212" spans="2:96">
      <c r="B212" s="1">
        <v>45328</v>
      </c>
      <c r="C212">
        <v>32416</v>
      </c>
      <c r="D212" s="2">
        <f t="shared" si="127"/>
        <v>12912</v>
      </c>
      <c r="E212">
        <v>31904</v>
      </c>
      <c r="F212" s="3">
        <f t="shared" si="96"/>
        <v>0.404714142427282</v>
      </c>
      <c r="H212" s="1">
        <v>45064</v>
      </c>
      <c r="I212">
        <v>31145</v>
      </c>
      <c r="J212" s="2">
        <f t="shared" si="97"/>
        <v>13919</v>
      </c>
      <c r="K212">
        <v>32760</v>
      </c>
      <c r="L212" s="3">
        <f t="shared" si="98"/>
        <v>0.4248778998779</v>
      </c>
      <c r="N212" s="4">
        <v>269.653335579167</v>
      </c>
      <c r="O212">
        <v>201.27</v>
      </c>
      <c r="P212" s="5">
        <f t="shared" si="99"/>
        <v>68.383335579167</v>
      </c>
      <c r="Q212">
        <v>79.69</v>
      </c>
      <c r="R212" s="3">
        <f t="shared" si="100"/>
        <v>0.858116897718246</v>
      </c>
      <c r="T212" s="4">
        <v>173.079166895833</v>
      </c>
      <c r="U212">
        <v>100.23</v>
      </c>
      <c r="V212" s="5">
        <f t="shared" si="101"/>
        <v>72.849166895833</v>
      </c>
      <c r="W212">
        <v>410.93</v>
      </c>
      <c r="X212" s="3">
        <f t="shared" si="102"/>
        <v>0.177278774720349</v>
      </c>
      <c r="Z212" s="4">
        <v>30.0043749791666</v>
      </c>
      <c r="AA212">
        <v>13.25</v>
      </c>
      <c r="AB212" s="5">
        <f t="shared" si="103"/>
        <v>16.7543749791666</v>
      </c>
      <c r="AC212">
        <v>33.93</v>
      </c>
      <c r="AD212" s="3">
        <f t="shared" si="104"/>
        <v>0.493792366023183</v>
      </c>
      <c r="AF212" s="4">
        <v>4.33</v>
      </c>
      <c r="AG212">
        <v>2.09</v>
      </c>
      <c r="AH212" s="5">
        <f t="shared" si="105"/>
        <v>2.24</v>
      </c>
      <c r="AI212">
        <v>3.85</v>
      </c>
      <c r="AJ212" s="3">
        <f t="shared" si="106"/>
        <v>0.581818181818182</v>
      </c>
      <c r="AL212" s="4">
        <v>7.05261671666667</v>
      </c>
      <c r="AM212">
        <v>6.1</v>
      </c>
      <c r="AN212" s="5">
        <f t="shared" si="107"/>
        <v>0.95261671666667</v>
      </c>
      <c r="AO212">
        <v>1.89</v>
      </c>
      <c r="AP212" s="3">
        <f t="shared" si="108"/>
        <v>0.504030008818344</v>
      </c>
      <c r="AR212" s="4">
        <v>1.16062501666667</v>
      </c>
      <c r="AS212">
        <v>0.02</v>
      </c>
      <c r="AT212" s="5">
        <f t="shared" si="109"/>
        <v>1.14062501666667</v>
      </c>
      <c r="AU212">
        <v>2.84</v>
      </c>
      <c r="AV212" s="3">
        <f t="shared" si="110"/>
        <v>0.401628526995306</v>
      </c>
      <c r="AX212" s="4">
        <v>10.7120000875</v>
      </c>
      <c r="AY212">
        <v>3.44</v>
      </c>
      <c r="AZ212" s="5">
        <f t="shared" si="111"/>
        <v>7.2720000875</v>
      </c>
      <c r="BA212">
        <v>29.17</v>
      </c>
      <c r="BB212" s="3">
        <f t="shared" si="112"/>
        <v>0.249297226174152</v>
      </c>
      <c r="BD212" s="4">
        <v>0.7735833375</v>
      </c>
      <c r="BE212">
        <v>0.17</v>
      </c>
      <c r="BF212" s="5">
        <f t="shared" si="113"/>
        <v>0.6035833375</v>
      </c>
      <c r="BG212">
        <v>4</v>
      </c>
      <c r="BH212" s="3">
        <f t="shared" si="114"/>
        <v>0.150895834375</v>
      </c>
      <c r="BJ212" s="4">
        <v>11.9899167666667</v>
      </c>
      <c r="BK212">
        <v>4.8</v>
      </c>
      <c r="BL212" s="5">
        <f t="shared" si="115"/>
        <v>7.1899167666667</v>
      </c>
      <c r="BM212">
        <v>8.9</v>
      </c>
      <c r="BN212" s="3">
        <f t="shared" si="116"/>
        <v>0.807855816479405</v>
      </c>
      <c r="BP212" s="4">
        <v>0.382266666666667</v>
      </c>
      <c r="BQ212">
        <v>0.09</v>
      </c>
      <c r="BR212" s="5">
        <f t="shared" si="117"/>
        <v>0.292266666666667</v>
      </c>
      <c r="BS212">
        <v>0.43</v>
      </c>
      <c r="BT212" s="3">
        <f t="shared" si="118"/>
        <v>0.679689922480621</v>
      </c>
      <c r="BV212" s="4">
        <v>6.84623337083333</v>
      </c>
      <c r="BW212">
        <v>6.18</v>
      </c>
      <c r="BX212" s="5">
        <f t="shared" si="119"/>
        <v>0.66623337083333</v>
      </c>
      <c r="BY212">
        <v>1.68</v>
      </c>
      <c r="BZ212" s="3">
        <f t="shared" si="120"/>
        <v>0.396567482638887</v>
      </c>
      <c r="CB212" s="11">
        <v>88.4</v>
      </c>
      <c r="CC212">
        <v>54.3</v>
      </c>
      <c r="CD212" s="12">
        <f t="shared" si="121"/>
        <v>34.1</v>
      </c>
      <c r="CE212">
        <v>71.3</v>
      </c>
      <c r="CF212" s="3">
        <f t="shared" si="122"/>
        <v>0.478260869565218</v>
      </c>
      <c r="CH212" s="13">
        <v>28.7</v>
      </c>
      <c r="CI212">
        <v>22.6</v>
      </c>
      <c r="CJ212">
        <f t="shared" si="123"/>
        <v>6.1</v>
      </c>
      <c r="CK212">
        <v>25.1</v>
      </c>
      <c r="CL212">
        <f t="shared" si="124"/>
        <v>0.243027888446215</v>
      </c>
      <c r="CN212" s="13">
        <v>4.9</v>
      </c>
      <c r="CO212">
        <v>3</v>
      </c>
      <c r="CP212" s="12">
        <f t="shared" si="125"/>
        <v>1.9</v>
      </c>
      <c r="CQ212">
        <v>3.4</v>
      </c>
      <c r="CR212" s="3">
        <f t="shared" si="126"/>
        <v>0.558823529411765</v>
      </c>
    </row>
    <row r="213" spans="2:96">
      <c r="B213" s="1">
        <v>43028</v>
      </c>
      <c r="C213">
        <v>32416</v>
      </c>
      <c r="D213" s="2">
        <f t="shared" si="127"/>
        <v>10612</v>
      </c>
      <c r="E213">
        <v>31904</v>
      </c>
      <c r="F213" s="3">
        <f t="shared" si="96"/>
        <v>0.332622868605817</v>
      </c>
      <c r="H213" s="1">
        <v>42709</v>
      </c>
      <c r="I213">
        <v>31145</v>
      </c>
      <c r="J213" s="2">
        <f t="shared" si="97"/>
        <v>11564</v>
      </c>
      <c r="K213">
        <v>32760</v>
      </c>
      <c r="L213" s="3">
        <f t="shared" si="98"/>
        <v>0.352991452991453</v>
      </c>
      <c r="N213" s="4">
        <v>266.860002516667</v>
      </c>
      <c r="O213">
        <v>201.27</v>
      </c>
      <c r="P213" s="5">
        <f t="shared" si="99"/>
        <v>65.590002516667</v>
      </c>
      <c r="Q213">
        <v>79.69</v>
      </c>
      <c r="R213" s="3">
        <f t="shared" si="100"/>
        <v>0.82306440603171</v>
      </c>
      <c r="T213" s="4">
        <v>190.029168120833</v>
      </c>
      <c r="U213">
        <v>100.23</v>
      </c>
      <c r="V213" s="5">
        <f t="shared" si="101"/>
        <v>89.799168120833</v>
      </c>
      <c r="W213">
        <v>410.93</v>
      </c>
      <c r="X213" s="3">
        <f t="shared" si="102"/>
        <v>0.218526678803769</v>
      </c>
      <c r="Z213" s="4">
        <v>33.1041666166666</v>
      </c>
      <c r="AA213">
        <v>13.25</v>
      </c>
      <c r="AB213" s="5">
        <f t="shared" si="103"/>
        <v>19.8541666166666</v>
      </c>
      <c r="AC213">
        <v>33.93</v>
      </c>
      <c r="AD213" s="3">
        <f t="shared" si="104"/>
        <v>0.585150799194418</v>
      </c>
      <c r="AF213" s="18">
        <v>3.24</v>
      </c>
      <c r="AG213">
        <v>2.09</v>
      </c>
      <c r="AH213" s="5">
        <f t="shared" si="105"/>
        <v>1.15</v>
      </c>
      <c r="AI213">
        <v>3.85</v>
      </c>
      <c r="AJ213" s="3">
        <f t="shared" si="106"/>
        <v>0.298701298701299</v>
      </c>
      <c r="AL213" s="4">
        <v>7.05728332083333</v>
      </c>
      <c r="AM213">
        <v>6.1</v>
      </c>
      <c r="AN213" s="5">
        <f t="shared" si="107"/>
        <v>0.95728332083333</v>
      </c>
      <c r="AO213">
        <v>1.89</v>
      </c>
      <c r="AP213" s="3">
        <f t="shared" si="108"/>
        <v>0.506499111552027</v>
      </c>
      <c r="AR213" s="4">
        <v>0.801875</v>
      </c>
      <c r="AS213">
        <v>0.02</v>
      </c>
      <c r="AT213" s="5">
        <f t="shared" si="109"/>
        <v>0.781875</v>
      </c>
      <c r="AU213">
        <v>2.84</v>
      </c>
      <c r="AV213" s="3">
        <f t="shared" si="110"/>
        <v>0.275308098591549</v>
      </c>
      <c r="AX213" s="4">
        <v>11.0742665958333</v>
      </c>
      <c r="AY213">
        <v>3.44</v>
      </c>
      <c r="AZ213" s="5">
        <f t="shared" si="111"/>
        <v>7.6342665958333</v>
      </c>
      <c r="BA213">
        <v>29.17</v>
      </c>
      <c r="BB213" s="3">
        <f t="shared" si="112"/>
        <v>0.261716372843103</v>
      </c>
      <c r="BD213" s="4">
        <v>0.407333333333333</v>
      </c>
      <c r="BE213">
        <v>0.17</v>
      </c>
      <c r="BF213" s="5">
        <f t="shared" si="113"/>
        <v>0.237333333333333</v>
      </c>
      <c r="BG213">
        <v>4</v>
      </c>
      <c r="BH213" s="3">
        <f t="shared" si="114"/>
        <v>0.0593333333333332</v>
      </c>
      <c r="BJ213" s="4">
        <v>12.4041666625</v>
      </c>
      <c r="BK213">
        <v>4.8</v>
      </c>
      <c r="BL213" s="5">
        <f t="shared" si="115"/>
        <v>7.6041666625</v>
      </c>
      <c r="BM213">
        <v>8.9</v>
      </c>
      <c r="BN213" s="3">
        <f t="shared" si="116"/>
        <v>0.854400748595506</v>
      </c>
      <c r="BP213" s="4">
        <v>0.392133333333333</v>
      </c>
      <c r="BQ213">
        <v>0.09</v>
      </c>
      <c r="BR213" s="5">
        <f t="shared" si="117"/>
        <v>0.302133333333333</v>
      </c>
      <c r="BS213">
        <v>0.43</v>
      </c>
      <c r="BT213" s="3">
        <f t="shared" si="118"/>
        <v>0.702635658914728</v>
      </c>
      <c r="BV213" s="4">
        <v>6.84353539166666</v>
      </c>
      <c r="BW213">
        <v>6.18</v>
      </c>
      <c r="BX213" s="5">
        <f t="shared" si="119"/>
        <v>0.66353539166666</v>
      </c>
      <c r="BY213">
        <v>1.68</v>
      </c>
      <c r="BZ213" s="3">
        <f t="shared" si="120"/>
        <v>0.394961542658726</v>
      </c>
      <c r="CB213" s="11">
        <v>83.6</v>
      </c>
      <c r="CC213">
        <v>54.3</v>
      </c>
      <c r="CD213" s="12">
        <f t="shared" si="121"/>
        <v>29.3</v>
      </c>
      <c r="CE213">
        <v>71.3</v>
      </c>
      <c r="CF213" s="3">
        <f t="shared" si="122"/>
        <v>0.4109396914446</v>
      </c>
      <c r="CH213" s="13">
        <v>30.6</v>
      </c>
      <c r="CI213">
        <v>22.6</v>
      </c>
      <c r="CJ213">
        <f t="shared" si="123"/>
        <v>8</v>
      </c>
      <c r="CK213">
        <v>25.1</v>
      </c>
      <c r="CL213">
        <f t="shared" si="124"/>
        <v>0.318725099601594</v>
      </c>
      <c r="CN213" s="13">
        <v>4.4</v>
      </c>
      <c r="CO213">
        <v>3</v>
      </c>
      <c r="CP213" s="12">
        <f t="shared" si="125"/>
        <v>1.4</v>
      </c>
      <c r="CQ213">
        <v>3.4</v>
      </c>
      <c r="CR213" s="3">
        <f t="shared" si="126"/>
        <v>0.411764705882353</v>
      </c>
    </row>
    <row r="214" spans="2:96">
      <c r="B214" s="1">
        <v>38432</v>
      </c>
      <c r="C214">
        <v>32416</v>
      </c>
      <c r="D214" s="2">
        <f t="shared" si="127"/>
        <v>6016</v>
      </c>
      <c r="E214">
        <v>31904</v>
      </c>
      <c r="F214" s="3">
        <f t="shared" si="96"/>
        <v>0.188565697091274</v>
      </c>
      <c r="H214" s="1">
        <v>38006</v>
      </c>
      <c r="I214">
        <v>31145</v>
      </c>
      <c r="J214" s="2">
        <f t="shared" si="97"/>
        <v>6861</v>
      </c>
      <c r="K214">
        <v>32760</v>
      </c>
      <c r="L214" s="3">
        <f t="shared" si="98"/>
        <v>0.209432234432234</v>
      </c>
      <c r="N214" s="4">
        <v>258.253334054167</v>
      </c>
      <c r="O214">
        <v>201.27</v>
      </c>
      <c r="P214" s="5">
        <f t="shared" si="99"/>
        <v>56.983334054167</v>
      </c>
      <c r="Q214">
        <v>79.69</v>
      </c>
      <c r="R214" s="3">
        <f t="shared" si="100"/>
        <v>0.715062543031334</v>
      </c>
      <c r="T214" s="4">
        <v>164.954167675</v>
      </c>
      <c r="U214">
        <v>100.23</v>
      </c>
      <c r="V214" s="5">
        <f t="shared" si="101"/>
        <v>64.724167675</v>
      </c>
      <c r="W214">
        <v>410.93</v>
      </c>
      <c r="X214" s="3">
        <f t="shared" si="102"/>
        <v>0.157506552636702</v>
      </c>
      <c r="Z214" s="4">
        <v>31.1506250708333</v>
      </c>
      <c r="AA214">
        <v>13.25</v>
      </c>
      <c r="AB214" s="5">
        <f t="shared" si="103"/>
        <v>17.9006250708333</v>
      </c>
      <c r="AC214">
        <v>33.93</v>
      </c>
      <c r="AD214" s="3">
        <f t="shared" si="104"/>
        <v>0.527575156817958</v>
      </c>
      <c r="AF214" s="4">
        <v>3.86</v>
      </c>
      <c r="AG214">
        <v>2.09</v>
      </c>
      <c r="AH214" s="5">
        <f t="shared" si="105"/>
        <v>1.77</v>
      </c>
      <c r="AI214">
        <v>3.85</v>
      </c>
      <c r="AJ214" s="3">
        <f t="shared" si="106"/>
        <v>0.45974025974026</v>
      </c>
      <c r="AL214" s="4">
        <v>7.81</v>
      </c>
      <c r="AM214">
        <v>6.1</v>
      </c>
      <c r="AN214" s="5">
        <f t="shared" si="107"/>
        <v>1.71</v>
      </c>
      <c r="AO214">
        <v>1.89</v>
      </c>
      <c r="AP214" s="3">
        <f t="shared" si="108"/>
        <v>0.904761904761905</v>
      </c>
      <c r="AR214" s="4">
        <v>1.19746000177686</v>
      </c>
      <c r="AS214">
        <v>0.02</v>
      </c>
      <c r="AT214" s="5">
        <f t="shared" si="109"/>
        <v>1.17746000177686</v>
      </c>
      <c r="AU214">
        <v>2.84</v>
      </c>
      <c r="AV214" s="3">
        <f t="shared" si="110"/>
        <v>0.414598592174951</v>
      </c>
      <c r="AX214" s="4">
        <v>14.3823333541667</v>
      </c>
      <c r="AY214">
        <v>3.44</v>
      </c>
      <c r="AZ214" s="5">
        <f t="shared" si="111"/>
        <v>10.9423333541667</v>
      </c>
      <c r="BA214">
        <v>29.17</v>
      </c>
      <c r="BB214" s="3">
        <f t="shared" si="112"/>
        <v>0.375122843817851</v>
      </c>
      <c r="BD214" s="4">
        <v>0.832833329166667</v>
      </c>
      <c r="BE214">
        <v>0.17</v>
      </c>
      <c r="BF214" s="5">
        <f t="shared" si="113"/>
        <v>0.662833329166667</v>
      </c>
      <c r="BG214">
        <v>4</v>
      </c>
      <c r="BH214" s="3">
        <f t="shared" si="114"/>
        <v>0.165708332291667</v>
      </c>
      <c r="BJ214" s="9">
        <v>7.6825000375</v>
      </c>
      <c r="BK214">
        <v>4.8</v>
      </c>
      <c r="BL214" s="5">
        <f t="shared" si="115"/>
        <v>2.8825000375</v>
      </c>
      <c r="BM214">
        <v>8.9</v>
      </c>
      <c r="BN214" s="3">
        <f t="shared" si="116"/>
        <v>0.323876408707865</v>
      </c>
      <c r="BP214" s="9">
        <v>0.245708333333333</v>
      </c>
      <c r="BQ214">
        <v>0.09</v>
      </c>
      <c r="BR214" s="5">
        <f t="shared" si="117"/>
        <v>0.155708333333333</v>
      </c>
      <c r="BS214">
        <v>0.43</v>
      </c>
      <c r="BT214" s="3">
        <f t="shared" si="118"/>
        <v>0.362112403100774</v>
      </c>
      <c r="BV214" s="4">
        <v>6.81873687894737</v>
      </c>
      <c r="BW214">
        <v>6.18</v>
      </c>
      <c r="BX214" s="5">
        <f t="shared" si="119"/>
        <v>0.638736878947371</v>
      </c>
      <c r="BY214">
        <v>1.68</v>
      </c>
      <c r="BZ214" s="3">
        <f t="shared" si="120"/>
        <v>0.380200523182959</v>
      </c>
      <c r="CB214" s="10">
        <v>80.9</v>
      </c>
      <c r="CC214">
        <v>54.3</v>
      </c>
      <c r="CD214" s="12">
        <f t="shared" si="121"/>
        <v>26.6</v>
      </c>
      <c r="CE214">
        <v>71.3</v>
      </c>
      <c r="CF214" s="3">
        <f t="shared" si="122"/>
        <v>0.373071528751753</v>
      </c>
      <c r="CH214" s="13">
        <v>34.3</v>
      </c>
      <c r="CI214">
        <v>22.6</v>
      </c>
      <c r="CJ214">
        <f t="shared" si="123"/>
        <v>11.7</v>
      </c>
      <c r="CK214">
        <v>25.1</v>
      </c>
      <c r="CL214">
        <f t="shared" si="124"/>
        <v>0.46613545816733</v>
      </c>
      <c r="CN214" s="11">
        <v>4.8</v>
      </c>
      <c r="CO214">
        <v>3</v>
      </c>
      <c r="CP214" s="12">
        <f t="shared" si="125"/>
        <v>1.8</v>
      </c>
      <c r="CQ214">
        <v>3.4</v>
      </c>
      <c r="CR214" s="3">
        <f t="shared" si="126"/>
        <v>0.529411764705882</v>
      </c>
    </row>
    <row r="215" spans="2:96">
      <c r="B215" s="1">
        <v>39984</v>
      </c>
      <c r="C215">
        <v>32416</v>
      </c>
      <c r="D215" s="2">
        <f t="shared" si="127"/>
        <v>7568</v>
      </c>
      <c r="E215">
        <v>31904</v>
      </c>
      <c r="F215" s="3">
        <f t="shared" si="96"/>
        <v>0.237211634904714</v>
      </c>
      <c r="H215" s="1">
        <v>39684</v>
      </c>
      <c r="I215">
        <v>31145</v>
      </c>
      <c r="J215" s="2">
        <f t="shared" si="97"/>
        <v>8539</v>
      </c>
      <c r="K215">
        <v>32760</v>
      </c>
      <c r="L215" s="3">
        <f t="shared" si="98"/>
        <v>0.260653235653236</v>
      </c>
      <c r="N215" s="4">
        <v>264.839999516667</v>
      </c>
      <c r="O215">
        <v>201.27</v>
      </c>
      <c r="P215" s="5">
        <f t="shared" si="99"/>
        <v>63.569999516667</v>
      </c>
      <c r="Q215">
        <v>79.69</v>
      </c>
      <c r="R215" s="3">
        <f t="shared" si="100"/>
        <v>0.797716144016401</v>
      </c>
      <c r="T215" s="4">
        <v>155.04583375</v>
      </c>
      <c r="U215">
        <v>100.23</v>
      </c>
      <c r="V215" s="5">
        <f t="shared" si="101"/>
        <v>54.81583375</v>
      </c>
      <c r="W215">
        <v>410.93</v>
      </c>
      <c r="X215" s="3">
        <f t="shared" si="102"/>
        <v>0.133394577543621</v>
      </c>
      <c r="Z215" s="4">
        <v>31.423125025</v>
      </c>
      <c r="AA215">
        <v>13.25</v>
      </c>
      <c r="AB215" s="5">
        <f t="shared" si="103"/>
        <v>18.173125025</v>
      </c>
      <c r="AC215">
        <v>33.93</v>
      </c>
      <c r="AD215" s="3">
        <f t="shared" si="104"/>
        <v>0.535606396257</v>
      </c>
      <c r="AF215" s="4">
        <v>3.34768406464284</v>
      </c>
      <c r="AG215">
        <v>2.09</v>
      </c>
      <c r="AH215" s="5">
        <f t="shared" si="105"/>
        <v>1.25768406464284</v>
      </c>
      <c r="AI215">
        <v>3.85</v>
      </c>
      <c r="AJ215" s="3">
        <f t="shared" si="106"/>
        <v>0.326671185621517</v>
      </c>
      <c r="AL215" s="4">
        <v>7.85</v>
      </c>
      <c r="AM215">
        <v>6.1</v>
      </c>
      <c r="AN215" s="5">
        <f t="shared" si="107"/>
        <v>1.75</v>
      </c>
      <c r="AO215">
        <v>1.89</v>
      </c>
      <c r="AP215" s="3">
        <f t="shared" si="108"/>
        <v>0.925925925925926</v>
      </c>
      <c r="AR215" s="4">
        <v>1.005633293454</v>
      </c>
      <c r="AS215">
        <v>0.02</v>
      </c>
      <c r="AT215" s="5">
        <f t="shared" si="109"/>
        <v>0.985633293454</v>
      </c>
      <c r="AU215">
        <v>2.84</v>
      </c>
      <c r="AV215" s="3">
        <f t="shared" si="110"/>
        <v>0.34705397656831</v>
      </c>
      <c r="AX215" s="4">
        <v>11.1756668916667</v>
      </c>
      <c r="AY215">
        <v>3.44</v>
      </c>
      <c r="AZ215" s="5">
        <f t="shared" si="111"/>
        <v>7.7356668916667</v>
      </c>
      <c r="BA215">
        <v>29.17</v>
      </c>
      <c r="BB215" s="3">
        <f t="shared" si="112"/>
        <v>0.265192557136328</v>
      </c>
      <c r="BD215" s="4">
        <v>0.514666666666667</v>
      </c>
      <c r="BE215">
        <v>0.17</v>
      </c>
      <c r="BF215" s="5">
        <f t="shared" si="113"/>
        <v>0.344666666666667</v>
      </c>
      <c r="BG215">
        <v>4</v>
      </c>
      <c r="BH215" s="3">
        <f t="shared" si="114"/>
        <v>0.0861666666666668</v>
      </c>
      <c r="BJ215" s="9">
        <v>11.4634166333333</v>
      </c>
      <c r="BK215">
        <v>4.8</v>
      </c>
      <c r="BL215" s="5">
        <f t="shared" si="115"/>
        <v>6.6634166333333</v>
      </c>
      <c r="BM215">
        <v>8.9</v>
      </c>
      <c r="BN215" s="3">
        <f t="shared" si="116"/>
        <v>0.748698498127337</v>
      </c>
      <c r="BP215" s="9">
        <v>0.358875</v>
      </c>
      <c r="BQ215">
        <v>0.09</v>
      </c>
      <c r="BR215" s="5">
        <f t="shared" si="117"/>
        <v>0.268875</v>
      </c>
      <c r="BS215">
        <v>0.43</v>
      </c>
      <c r="BT215" s="3">
        <f t="shared" si="118"/>
        <v>0.625290697674419</v>
      </c>
      <c r="BV215" s="4">
        <v>6.87434992</v>
      </c>
      <c r="BW215">
        <v>6.18</v>
      </c>
      <c r="BX215" s="5">
        <f t="shared" si="119"/>
        <v>0.694349920000001</v>
      </c>
      <c r="BY215">
        <v>1.68</v>
      </c>
      <c r="BZ215" s="3">
        <f t="shared" si="120"/>
        <v>0.413303523809524</v>
      </c>
      <c r="CB215" s="10">
        <v>78.2</v>
      </c>
      <c r="CC215">
        <v>54.3</v>
      </c>
      <c r="CD215" s="12">
        <f t="shared" si="121"/>
        <v>23.9</v>
      </c>
      <c r="CE215">
        <v>71.3</v>
      </c>
      <c r="CF215" s="3">
        <f t="shared" si="122"/>
        <v>0.335203366058906</v>
      </c>
      <c r="CH215" s="13">
        <v>31.2</v>
      </c>
      <c r="CI215">
        <v>22.6</v>
      </c>
      <c r="CJ215">
        <f t="shared" si="123"/>
        <v>8.6</v>
      </c>
      <c r="CK215">
        <v>25.1</v>
      </c>
      <c r="CL215">
        <f t="shared" si="124"/>
        <v>0.342629482071713</v>
      </c>
      <c r="CN215" s="10">
        <v>5</v>
      </c>
      <c r="CO215">
        <v>3</v>
      </c>
      <c r="CP215" s="12">
        <f t="shared" si="125"/>
        <v>2</v>
      </c>
      <c r="CQ215">
        <v>3.4</v>
      </c>
      <c r="CR215" s="3">
        <f t="shared" si="126"/>
        <v>0.588235294117647</v>
      </c>
    </row>
    <row r="216" spans="2:96">
      <c r="B216" s="1">
        <v>42805</v>
      </c>
      <c r="C216">
        <v>32416</v>
      </c>
      <c r="D216" s="2">
        <f t="shared" si="127"/>
        <v>10389</v>
      </c>
      <c r="E216">
        <v>31904</v>
      </c>
      <c r="F216" s="3">
        <f t="shared" si="96"/>
        <v>0.325633149448345</v>
      </c>
      <c r="H216" s="1">
        <v>42601</v>
      </c>
      <c r="I216">
        <v>31145</v>
      </c>
      <c r="J216" s="2">
        <f t="shared" si="97"/>
        <v>11456</v>
      </c>
      <c r="K216">
        <v>32760</v>
      </c>
      <c r="L216" s="3">
        <f t="shared" si="98"/>
        <v>0.34969474969475</v>
      </c>
      <c r="N216" s="4">
        <v>267.576665225</v>
      </c>
      <c r="O216">
        <v>201.27</v>
      </c>
      <c r="P216" s="5">
        <f t="shared" si="99"/>
        <v>66.306665225</v>
      </c>
      <c r="Q216">
        <v>79.69</v>
      </c>
      <c r="R216" s="3">
        <f t="shared" si="100"/>
        <v>0.832057538273309</v>
      </c>
      <c r="T216" s="4">
        <v>152.879166604166</v>
      </c>
      <c r="U216">
        <v>100.23</v>
      </c>
      <c r="V216" s="5">
        <f t="shared" si="101"/>
        <v>52.649166604166</v>
      </c>
      <c r="W216">
        <v>410.93</v>
      </c>
      <c r="X216" s="3">
        <f t="shared" si="102"/>
        <v>0.128121983316297</v>
      </c>
      <c r="Z216" s="4">
        <v>32.6591667833333</v>
      </c>
      <c r="AA216">
        <v>13.25</v>
      </c>
      <c r="AB216" s="5">
        <f t="shared" si="103"/>
        <v>19.4091667833333</v>
      </c>
      <c r="AC216">
        <v>33.93</v>
      </c>
      <c r="AD216" s="3">
        <f t="shared" si="104"/>
        <v>0.572035566853324</v>
      </c>
      <c r="AF216" s="4">
        <v>4.7058184774792</v>
      </c>
      <c r="AG216">
        <v>2.09</v>
      </c>
      <c r="AH216" s="5">
        <f t="shared" si="105"/>
        <v>2.6158184774792</v>
      </c>
      <c r="AI216">
        <v>3.85</v>
      </c>
      <c r="AJ216" s="3">
        <f t="shared" si="106"/>
        <v>0.679433370773818</v>
      </c>
      <c r="AL216" s="4">
        <v>7.92</v>
      </c>
      <c r="AM216">
        <v>6.1</v>
      </c>
      <c r="AN216" s="5">
        <f t="shared" si="107"/>
        <v>1.82</v>
      </c>
      <c r="AO216">
        <v>1.89</v>
      </c>
      <c r="AP216" s="3">
        <f t="shared" si="108"/>
        <v>0.962962962962963</v>
      </c>
      <c r="AR216" s="4">
        <v>1.13104739201237</v>
      </c>
      <c r="AS216">
        <v>0.02</v>
      </c>
      <c r="AT216" s="5">
        <f t="shared" si="109"/>
        <v>1.11104739201237</v>
      </c>
      <c r="AU216">
        <v>2.84</v>
      </c>
      <c r="AV216" s="3">
        <f t="shared" si="110"/>
        <v>0.391213870426891</v>
      </c>
      <c r="AX216" s="4">
        <v>11.5188666708333</v>
      </c>
      <c r="AY216">
        <v>3.44</v>
      </c>
      <c r="AZ216" s="5">
        <f t="shared" si="111"/>
        <v>8.0788666708333</v>
      </c>
      <c r="BA216">
        <v>29.17</v>
      </c>
      <c r="BB216" s="3">
        <f t="shared" si="112"/>
        <v>0.276958062078618</v>
      </c>
      <c r="BD216" s="4">
        <v>0.253166666666667</v>
      </c>
      <c r="BE216">
        <v>0.17</v>
      </c>
      <c r="BF216" s="5">
        <f t="shared" si="113"/>
        <v>0.083166666666667</v>
      </c>
      <c r="BG216">
        <v>4</v>
      </c>
      <c r="BH216" s="3">
        <f t="shared" si="114"/>
        <v>0.0207916666666667</v>
      </c>
      <c r="BJ216" s="9">
        <v>10.0875834041667</v>
      </c>
      <c r="BK216">
        <v>4.8</v>
      </c>
      <c r="BL216" s="5">
        <f t="shared" si="115"/>
        <v>5.2875834041667</v>
      </c>
      <c r="BM216">
        <v>8.9</v>
      </c>
      <c r="BN216" s="3">
        <f t="shared" si="116"/>
        <v>0.594110494850191</v>
      </c>
      <c r="BP216" s="9">
        <v>0.353775</v>
      </c>
      <c r="BQ216">
        <v>0.09</v>
      </c>
      <c r="BR216" s="5">
        <f t="shared" si="117"/>
        <v>0.263775</v>
      </c>
      <c r="BS216">
        <v>0.43</v>
      </c>
      <c r="BT216" s="3">
        <f t="shared" si="118"/>
        <v>0.61343023255814</v>
      </c>
      <c r="BV216" s="4">
        <v>6.95805832083333</v>
      </c>
      <c r="BW216">
        <v>6.18</v>
      </c>
      <c r="BX216" s="5">
        <f t="shared" si="119"/>
        <v>0.77805832083333</v>
      </c>
      <c r="BY216">
        <v>1.68</v>
      </c>
      <c r="BZ216" s="3">
        <f t="shared" si="120"/>
        <v>0.463129952876982</v>
      </c>
      <c r="CB216" s="10">
        <v>74.8</v>
      </c>
      <c r="CC216">
        <v>54.3</v>
      </c>
      <c r="CD216" s="12">
        <f t="shared" si="121"/>
        <v>20.5</v>
      </c>
      <c r="CE216">
        <v>71.3</v>
      </c>
      <c r="CF216" s="3">
        <f t="shared" si="122"/>
        <v>0.287517531556802</v>
      </c>
      <c r="CH216" s="13">
        <v>34.2</v>
      </c>
      <c r="CI216">
        <v>22.6</v>
      </c>
      <c r="CJ216">
        <f t="shared" si="123"/>
        <v>11.6</v>
      </c>
      <c r="CK216">
        <v>25.1</v>
      </c>
      <c r="CL216">
        <f t="shared" si="124"/>
        <v>0.462151394422311</v>
      </c>
      <c r="CN216" s="10">
        <v>5.1</v>
      </c>
      <c r="CO216">
        <v>3</v>
      </c>
      <c r="CP216" s="12">
        <f t="shared" si="125"/>
        <v>2.1</v>
      </c>
      <c r="CQ216">
        <v>3.4</v>
      </c>
      <c r="CR216" s="3">
        <f t="shared" si="126"/>
        <v>0.617647058823529</v>
      </c>
    </row>
    <row r="217" spans="2:96">
      <c r="B217" s="1">
        <v>42875</v>
      </c>
      <c r="C217">
        <v>32416</v>
      </c>
      <c r="D217" s="2">
        <f t="shared" si="127"/>
        <v>10459</v>
      </c>
      <c r="E217">
        <v>31904</v>
      </c>
      <c r="F217" s="3">
        <f t="shared" si="96"/>
        <v>0.327827231695085</v>
      </c>
      <c r="H217" s="1">
        <v>42559</v>
      </c>
      <c r="I217">
        <v>31145</v>
      </c>
      <c r="J217" s="2">
        <f t="shared" si="97"/>
        <v>11414</v>
      </c>
      <c r="K217">
        <v>32760</v>
      </c>
      <c r="L217" s="3">
        <f t="shared" si="98"/>
        <v>0.348412698412698</v>
      </c>
      <c r="N217" s="4">
        <v>261.163337066667</v>
      </c>
      <c r="O217">
        <v>201.27</v>
      </c>
      <c r="P217" s="5">
        <f t="shared" si="99"/>
        <v>59.893337066667</v>
      </c>
      <c r="Q217">
        <v>79.69</v>
      </c>
      <c r="R217" s="3">
        <f t="shared" si="100"/>
        <v>0.751579082277161</v>
      </c>
      <c r="T217" s="4">
        <v>151.141666720833</v>
      </c>
      <c r="U217">
        <v>100.23</v>
      </c>
      <c r="V217" s="5">
        <f t="shared" si="101"/>
        <v>50.911666720833</v>
      </c>
      <c r="W217">
        <v>410.93</v>
      </c>
      <c r="X217" s="3">
        <f t="shared" si="102"/>
        <v>0.123893769549152</v>
      </c>
      <c r="Z217" s="4">
        <v>26.2749999916666</v>
      </c>
      <c r="AA217">
        <v>13.25</v>
      </c>
      <c r="AB217" s="5">
        <f t="shared" si="103"/>
        <v>13.0249999916666</v>
      </c>
      <c r="AC217">
        <v>33.93</v>
      </c>
      <c r="AD217" s="3">
        <f t="shared" si="104"/>
        <v>0.38387857328814</v>
      </c>
      <c r="AF217" s="4">
        <v>3.28398035711634</v>
      </c>
      <c r="AG217">
        <v>2.09</v>
      </c>
      <c r="AH217" s="5">
        <f t="shared" si="105"/>
        <v>1.19398035711634</v>
      </c>
      <c r="AI217">
        <v>3.85</v>
      </c>
      <c r="AJ217" s="3">
        <f t="shared" si="106"/>
        <v>0.310124768082166</v>
      </c>
      <c r="AL217" s="4">
        <v>7.28</v>
      </c>
      <c r="AM217">
        <v>6.1</v>
      </c>
      <c r="AN217" s="5">
        <f t="shared" si="107"/>
        <v>1.18</v>
      </c>
      <c r="AO217">
        <v>1.89</v>
      </c>
      <c r="AP217" s="3">
        <f t="shared" si="108"/>
        <v>0.624338624338625</v>
      </c>
      <c r="AR217" s="4">
        <v>1.71144835270908</v>
      </c>
      <c r="AS217">
        <v>0.02</v>
      </c>
      <c r="AT217" s="5">
        <f t="shared" si="109"/>
        <v>1.69144835270908</v>
      </c>
      <c r="AU217">
        <v>2.84</v>
      </c>
      <c r="AV217" s="3">
        <f t="shared" si="110"/>
        <v>0.595580405883479</v>
      </c>
      <c r="AX217" s="4">
        <v>11.526666675</v>
      </c>
      <c r="AY217">
        <v>3.44</v>
      </c>
      <c r="AZ217" s="5">
        <f t="shared" si="111"/>
        <v>8.086666675</v>
      </c>
      <c r="BA217">
        <v>29.17</v>
      </c>
      <c r="BB217" s="3">
        <f t="shared" si="112"/>
        <v>0.277225460233116</v>
      </c>
      <c r="BD217" s="4">
        <v>0.29225</v>
      </c>
      <c r="BE217">
        <v>0.17</v>
      </c>
      <c r="BF217" s="5">
        <f t="shared" si="113"/>
        <v>0.12225</v>
      </c>
      <c r="BG217">
        <v>4</v>
      </c>
      <c r="BH217" s="3">
        <f t="shared" si="114"/>
        <v>0.0305625</v>
      </c>
      <c r="BJ217" s="9">
        <v>11.2050833583333</v>
      </c>
      <c r="BK217">
        <v>4.8</v>
      </c>
      <c r="BL217" s="5">
        <f t="shared" si="115"/>
        <v>6.4050833583333</v>
      </c>
      <c r="BM217">
        <v>8.9</v>
      </c>
      <c r="BN217" s="3">
        <f t="shared" si="116"/>
        <v>0.71967228745318</v>
      </c>
      <c r="BP217" s="9">
        <v>0.338916666666667</v>
      </c>
      <c r="BQ217">
        <v>0.09</v>
      </c>
      <c r="BR217" s="5">
        <f t="shared" si="117"/>
        <v>0.248916666666667</v>
      </c>
      <c r="BS217">
        <v>0.43</v>
      </c>
      <c r="BT217" s="3">
        <f t="shared" si="118"/>
        <v>0.578875968992249</v>
      </c>
      <c r="BV217" s="4">
        <v>6.93740840416667</v>
      </c>
      <c r="BW217">
        <v>6.18</v>
      </c>
      <c r="BX217" s="5">
        <f t="shared" si="119"/>
        <v>0.757408404166671</v>
      </c>
      <c r="BY217">
        <v>1.68</v>
      </c>
      <c r="BZ217" s="3">
        <f t="shared" si="120"/>
        <v>0.450838335813494</v>
      </c>
      <c r="CB217" s="10">
        <v>75.7</v>
      </c>
      <c r="CC217">
        <v>54.3</v>
      </c>
      <c r="CD217" s="12">
        <f t="shared" si="121"/>
        <v>21.4</v>
      </c>
      <c r="CE217">
        <v>71.3</v>
      </c>
      <c r="CF217" s="3">
        <f t="shared" si="122"/>
        <v>0.300140252454418</v>
      </c>
      <c r="CH217" s="13">
        <v>32.3</v>
      </c>
      <c r="CI217">
        <v>22.6</v>
      </c>
      <c r="CJ217">
        <f t="shared" si="123"/>
        <v>9.7</v>
      </c>
      <c r="CK217">
        <v>25.1</v>
      </c>
      <c r="CL217">
        <f t="shared" si="124"/>
        <v>0.386454183266932</v>
      </c>
      <c r="CN217" s="10">
        <v>5.3</v>
      </c>
      <c r="CO217">
        <v>3</v>
      </c>
      <c r="CP217" s="12">
        <f t="shared" si="125"/>
        <v>2.3</v>
      </c>
      <c r="CQ217">
        <v>3.4</v>
      </c>
      <c r="CR217" s="3">
        <f t="shared" si="126"/>
        <v>0.676470588235294</v>
      </c>
    </row>
    <row r="218" spans="2:96">
      <c r="B218" s="1">
        <v>43856</v>
      </c>
      <c r="C218">
        <v>32416</v>
      </c>
      <c r="D218" s="2">
        <f t="shared" si="127"/>
        <v>11440</v>
      </c>
      <c r="E218">
        <v>31904</v>
      </c>
      <c r="F218" s="3">
        <f t="shared" si="96"/>
        <v>0.358575727181545</v>
      </c>
      <c r="H218" s="1">
        <v>43541</v>
      </c>
      <c r="I218">
        <v>31145</v>
      </c>
      <c r="J218" s="2">
        <f t="shared" si="97"/>
        <v>12396</v>
      </c>
      <c r="K218">
        <v>32760</v>
      </c>
      <c r="L218" s="3">
        <f t="shared" si="98"/>
        <v>0.378388278388278</v>
      </c>
      <c r="N218" s="4">
        <v>257.28000005</v>
      </c>
      <c r="O218">
        <v>201.27</v>
      </c>
      <c r="P218" s="5">
        <f t="shared" si="99"/>
        <v>56.01000005</v>
      </c>
      <c r="Q218">
        <v>79.69</v>
      </c>
      <c r="R218" s="3">
        <f t="shared" si="100"/>
        <v>0.702848538712511</v>
      </c>
      <c r="T218" s="4">
        <v>154.820833204166</v>
      </c>
      <c r="U218">
        <v>100.23</v>
      </c>
      <c r="V218" s="5">
        <f t="shared" si="101"/>
        <v>54.590833204166</v>
      </c>
      <c r="W218">
        <v>410.93</v>
      </c>
      <c r="X218" s="3">
        <f t="shared" si="102"/>
        <v>0.132847037705123</v>
      </c>
      <c r="Z218" s="4">
        <v>29.0458332458333</v>
      </c>
      <c r="AA218">
        <v>13.25</v>
      </c>
      <c r="AB218" s="5">
        <f t="shared" si="103"/>
        <v>15.7958332458333</v>
      </c>
      <c r="AC218">
        <v>33.93</v>
      </c>
      <c r="AD218" s="3">
        <f t="shared" si="104"/>
        <v>0.465541799169859</v>
      </c>
      <c r="AF218" s="4">
        <v>4.18713612539446</v>
      </c>
      <c r="AG218">
        <v>2.09</v>
      </c>
      <c r="AH218" s="5">
        <f t="shared" si="105"/>
        <v>2.09713612539446</v>
      </c>
      <c r="AI218">
        <v>3.85</v>
      </c>
      <c r="AJ218" s="3">
        <f t="shared" si="106"/>
        <v>0.544710681920639</v>
      </c>
      <c r="AL218" s="4">
        <v>7.84</v>
      </c>
      <c r="AM218">
        <v>6.1</v>
      </c>
      <c r="AN218" s="5">
        <f t="shared" si="107"/>
        <v>1.74</v>
      </c>
      <c r="AO218">
        <v>1.89</v>
      </c>
      <c r="AP218" s="3">
        <f t="shared" si="108"/>
        <v>0.920634920634921</v>
      </c>
      <c r="AR218" s="4">
        <v>1.72637070870636</v>
      </c>
      <c r="AS218">
        <v>0.02</v>
      </c>
      <c r="AT218" s="5">
        <f t="shared" si="109"/>
        <v>1.70637070870636</v>
      </c>
      <c r="AU218">
        <v>2.84</v>
      </c>
      <c r="AV218" s="3">
        <f t="shared" si="110"/>
        <v>0.600834756586746</v>
      </c>
      <c r="AX218" s="4">
        <v>11.1453333625</v>
      </c>
      <c r="AY218">
        <v>3.44</v>
      </c>
      <c r="AZ218" s="5">
        <f t="shared" si="111"/>
        <v>7.7053333625</v>
      </c>
      <c r="BA218">
        <v>29.17</v>
      </c>
      <c r="BB218" s="3">
        <f t="shared" si="112"/>
        <v>0.26415266926637</v>
      </c>
      <c r="BD218" s="4">
        <v>0.474916670833333</v>
      </c>
      <c r="BE218">
        <v>0.17</v>
      </c>
      <c r="BF218" s="5">
        <f t="shared" si="113"/>
        <v>0.304916670833333</v>
      </c>
      <c r="BG218">
        <v>4</v>
      </c>
      <c r="BH218" s="3">
        <f t="shared" si="114"/>
        <v>0.0762291677083332</v>
      </c>
      <c r="BJ218" s="9">
        <v>9.88725000416667</v>
      </c>
      <c r="BK218">
        <v>4.8</v>
      </c>
      <c r="BL218" s="5">
        <f t="shared" si="115"/>
        <v>5.08725000416667</v>
      </c>
      <c r="BM218">
        <v>8.9</v>
      </c>
      <c r="BN218" s="3">
        <f t="shared" si="116"/>
        <v>0.571601124063671</v>
      </c>
      <c r="BP218" s="9">
        <v>0.354533333333333</v>
      </c>
      <c r="BQ218">
        <v>0.09</v>
      </c>
      <c r="BR218" s="5">
        <f t="shared" si="117"/>
        <v>0.264533333333333</v>
      </c>
      <c r="BS218">
        <v>0.43</v>
      </c>
      <c r="BT218" s="3">
        <f t="shared" si="118"/>
        <v>0.615193798449612</v>
      </c>
      <c r="BV218" s="4">
        <v>6.94850430434783</v>
      </c>
      <c r="BW218">
        <v>6.18</v>
      </c>
      <c r="BX218" s="5">
        <f t="shared" si="119"/>
        <v>0.768504304347831</v>
      </c>
      <c r="BY218">
        <v>1.68</v>
      </c>
      <c r="BZ218" s="3">
        <f t="shared" si="120"/>
        <v>0.45744303830228</v>
      </c>
      <c r="CB218" s="10">
        <v>77.3</v>
      </c>
      <c r="CC218">
        <v>54.3</v>
      </c>
      <c r="CD218" s="12">
        <f t="shared" si="121"/>
        <v>23</v>
      </c>
      <c r="CE218">
        <v>71.3</v>
      </c>
      <c r="CF218" s="3">
        <f t="shared" si="122"/>
        <v>0.32258064516129</v>
      </c>
      <c r="CH218" s="13">
        <v>30.6</v>
      </c>
      <c r="CI218">
        <v>22.6</v>
      </c>
      <c r="CJ218">
        <f t="shared" si="123"/>
        <v>8</v>
      </c>
      <c r="CK218">
        <v>25.1</v>
      </c>
      <c r="CL218">
        <f t="shared" si="124"/>
        <v>0.318725099601594</v>
      </c>
      <c r="CN218" s="10">
        <v>5.5</v>
      </c>
      <c r="CO218">
        <v>3</v>
      </c>
      <c r="CP218" s="12">
        <f t="shared" si="125"/>
        <v>2.5</v>
      </c>
      <c r="CQ218">
        <v>3.4</v>
      </c>
      <c r="CR218" s="3">
        <f t="shared" si="126"/>
        <v>0.735294117647059</v>
      </c>
    </row>
    <row r="219" spans="2:96">
      <c r="B219" s="1">
        <v>46871</v>
      </c>
      <c r="C219">
        <v>32416</v>
      </c>
      <c r="D219" s="2">
        <f t="shared" si="127"/>
        <v>14455</v>
      </c>
      <c r="E219">
        <v>31904</v>
      </c>
      <c r="F219" s="3">
        <f t="shared" si="96"/>
        <v>0.453077983951856</v>
      </c>
      <c r="H219" s="1">
        <v>46726</v>
      </c>
      <c r="I219">
        <v>31145</v>
      </c>
      <c r="J219" s="2">
        <f t="shared" si="97"/>
        <v>15581</v>
      </c>
      <c r="K219">
        <v>32760</v>
      </c>
      <c r="L219" s="3">
        <f t="shared" si="98"/>
        <v>0.475610500610501</v>
      </c>
      <c r="N219" s="4">
        <v>256.273335145833</v>
      </c>
      <c r="O219">
        <v>201.27</v>
      </c>
      <c r="P219" s="5">
        <f t="shared" si="99"/>
        <v>55.003335145833</v>
      </c>
      <c r="Q219">
        <v>79.69</v>
      </c>
      <c r="R219" s="3">
        <f t="shared" si="100"/>
        <v>0.690216277397829</v>
      </c>
      <c r="T219" s="4">
        <v>162.591666220833</v>
      </c>
      <c r="U219">
        <v>100.23</v>
      </c>
      <c r="V219" s="5">
        <f t="shared" si="101"/>
        <v>62.361666220833</v>
      </c>
      <c r="W219">
        <v>410.93</v>
      </c>
      <c r="X219" s="3">
        <f t="shared" si="102"/>
        <v>0.15175739474079</v>
      </c>
      <c r="Z219" s="4">
        <v>27.2770833958333</v>
      </c>
      <c r="AA219">
        <v>13.25</v>
      </c>
      <c r="AB219" s="5">
        <f t="shared" si="103"/>
        <v>14.0270833958333</v>
      </c>
      <c r="AC219">
        <v>33.93</v>
      </c>
      <c r="AD219" s="3">
        <f t="shared" si="104"/>
        <v>0.413412419564789</v>
      </c>
      <c r="AF219" s="4">
        <v>3.86880559383775</v>
      </c>
      <c r="AG219">
        <v>2.09</v>
      </c>
      <c r="AH219" s="5">
        <f t="shared" si="105"/>
        <v>1.77880559383775</v>
      </c>
      <c r="AI219">
        <v>3.85</v>
      </c>
      <c r="AJ219" s="3">
        <f t="shared" si="106"/>
        <v>0.462027426970844</v>
      </c>
      <c r="AL219" s="4">
        <v>7.98</v>
      </c>
      <c r="AM219">
        <v>6.1</v>
      </c>
      <c r="AN219" s="5">
        <f t="shared" si="107"/>
        <v>1.88</v>
      </c>
      <c r="AO219">
        <v>1.89</v>
      </c>
      <c r="AP219" s="3">
        <f t="shared" si="108"/>
        <v>0.994708994708995</v>
      </c>
      <c r="AR219" s="4">
        <v>1.54735988458751</v>
      </c>
      <c r="AS219">
        <v>0.02</v>
      </c>
      <c r="AT219" s="5">
        <f t="shared" si="109"/>
        <v>1.52735988458751</v>
      </c>
      <c r="AU219">
        <v>2.84</v>
      </c>
      <c r="AV219" s="3">
        <f t="shared" si="110"/>
        <v>0.537802776263208</v>
      </c>
      <c r="AX219" s="4">
        <v>12.2607334375</v>
      </c>
      <c r="AY219">
        <v>3.44</v>
      </c>
      <c r="AZ219" s="5">
        <f t="shared" si="111"/>
        <v>8.8207334375</v>
      </c>
      <c r="BA219">
        <v>29.17</v>
      </c>
      <c r="BB219" s="3">
        <f t="shared" si="112"/>
        <v>0.302390587504285</v>
      </c>
      <c r="BD219" s="4">
        <v>0.317916666666667</v>
      </c>
      <c r="BE219">
        <v>0.17</v>
      </c>
      <c r="BF219" s="5">
        <f t="shared" si="113"/>
        <v>0.147916666666667</v>
      </c>
      <c r="BG219">
        <v>4</v>
      </c>
      <c r="BH219" s="3">
        <f t="shared" si="114"/>
        <v>0.0369791666666668</v>
      </c>
      <c r="BJ219" s="9">
        <v>9.99908335416667</v>
      </c>
      <c r="BK219">
        <v>4.8</v>
      </c>
      <c r="BL219" s="5">
        <f t="shared" si="115"/>
        <v>5.19908335416667</v>
      </c>
      <c r="BM219">
        <v>8.9</v>
      </c>
      <c r="BN219" s="3">
        <f t="shared" si="116"/>
        <v>0.584166669007491</v>
      </c>
      <c r="BP219" s="9">
        <v>0.35175</v>
      </c>
      <c r="BQ219">
        <v>0.09</v>
      </c>
      <c r="BR219" s="5">
        <f t="shared" si="117"/>
        <v>0.26175</v>
      </c>
      <c r="BS219">
        <v>0.43</v>
      </c>
      <c r="BT219" s="3">
        <f t="shared" si="118"/>
        <v>0.608720930232558</v>
      </c>
      <c r="BV219" s="4">
        <v>6.91109999</v>
      </c>
      <c r="BW219">
        <v>6.18</v>
      </c>
      <c r="BX219" s="5">
        <f t="shared" si="119"/>
        <v>0.731099990000001</v>
      </c>
      <c r="BY219">
        <v>1.68</v>
      </c>
      <c r="BZ219" s="3">
        <f t="shared" si="120"/>
        <v>0.435178565476191</v>
      </c>
      <c r="CB219" s="10">
        <v>79.4</v>
      </c>
      <c r="CC219">
        <v>54.3</v>
      </c>
      <c r="CD219" s="12">
        <f t="shared" si="121"/>
        <v>25.1</v>
      </c>
      <c r="CE219">
        <v>71.3</v>
      </c>
      <c r="CF219" s="3">
        <f t="shared" si="122"/>
        <v>0.35203366058906</v>
      </c>
      <c r="CH219" s="13">
        <v>31.8</v>
      </c>
      <c r="CI219">
        <v>22.6</v>
      </c>
      <c r="CJ219">
        <f t="shared" si="123"/>
        <v>9.2</v>
      </c>
      <c r="CK219">
        <v>25.1</v>
      </c>
      <c r="CL219">
        <f t="shared" si="124"/>
        <v>0.366533864541833</v>
      </c>
      <c r="CN219" s="10">
        <v>5.8</v>
      </c>
      <c r="CO219">
        <v>3</v>
      </c>
      <c r="CP219" s="12">
        <f t="shared" si="125"/>
        <v>2.8</v>
      </c>
      <c r="CQ219">
        <v>3.4</v>
      </c>
      <c r="CR219" s="3">
        <f t="shared" si="126"/>
        <v>0.823529411764706</v>
      </c>
    </row>
    <row r="220" spans="2:96">
      <c r="B220" s="1">
        <v>32416</v>
      </c>
      <c r="C220">
        <v>32416</v>
      </c>
      <c r="D220" s="2">
        <f t="shared" si="127"/>
        <v>0</v>
      </c>
      <c r="E220">
        <v>31904</v>
      </c>
      <c r="F220" s="3">
        <f t="shared" si="96"/>
        <v>0</v>
      </c>
      <c r="H220" s="1">
        <v>31145</v>
      </c>
      <c r="I220">
        <v>31145</v>
      </c>
      <c r="J220" s="2">
        <f t="shared" si="97"/>
        <v>0</v>
      </c>
      <c r="K220">
        <v>32760</v>
      </c>
      <c r="L220" s="3">
        <f t="shared" si="98"/>
        <v>0</v>
      </c>
      <c r="N220" s="4">
        <v>256.236668904167</v>
      </c>
      <c r="O220">
        <v>201.27</v>
      </c>
      <c r="P220" s="5">
        <f t="shared" si="99"/>
        <v>54.966668904167</v>
      </c>
      <c r="Q220">
        <v>79.69</v>
      </c>
      <c r="R220" s="3">
        <f t="shared" si="100"/>
        <v>0.68975616644707</v>
      </c>
      <c r="T220" s="4">
        <v>170.187500479166</v>
      </c>
      <c r="U220">
        <v>100.23</v>
      </c>
      <c r="V220" s="5">
        <f t="shared" si="101"/>
        <v>69.957500479166</v>
      </c>
      <c r="W220">
        <v>410.93</v>
      </c>
      <c r="X220" s="3">
        <f t="shared" si="102"/>
        <v>0.17024189151234</v>
      </c>
      <c r="Z220" s="4">
        <v>31.081304447826</v>
      </c>
      <c r="AA220">
        <v>13.25</v>
      </c>
      <c r="AB220" s="5">
        <f t="shared" si="103"/>
        <v>17.831304447826</v>
      </c>
      <c r="AC220">
        <v>33.93</v>
      </c>
      <c r="AD220" s="3">
        <f t="shared" si="104"/>
        <v>0.525532108689243</v>
      </c>
      <c r="AF220" s="4">
        <v>3.97183385827587</v>
      </c>
      <c r="AG220">
        <v>2.09</v>
      </c>
      <c r="AH220" s="5">
        <f t="shared" si="105"/>
        <v>1.88183385827587</v>
      </c>
      <c r="AI220">
        <v>3.85</v>
      </c>
      <c r="AJ220" s="3">
        <f t="shared" si="106"/>
        <v>0.48878801513659</v>
      </c>
      <c r="AL220" s="4">
        <v>7.73</v>
      </c>
      <c r="AM220">
        <v>6.1</v>
      </c>
      <c r="AN220" s="5">
        <f t="shared" si="107"/>
        <v>1.63</v>
      </c>
      <c r="AO220">
        <v>1.89</v>
      </c>
      <c r="AP220" s="3">
        <f t="shared" si="108"/>
        <v>0.862433862433863</v>
      </c>
      <c r="AR220" s="4">
        <v>0.91312512083333</v>
      </c>
      <c r="AS220">
        <v>0.02</v>
      </c>
      <c r="AT220" s="5">
        <f t="shared" si="109"/>
        <v>0.89312512083333</v>
      </c>
      <c r="AU220">
        <v>2.84</v>
      </c>
      <c r="AV220" s="3">
        <f t="shared" si="110"/>
        <v>0.314480676349764</v>
      </c>
      <c r="AX220" s="4">
        <v>14.3112666666667</v>
      </c>
      <c r="AY220">
        <v>3.44</v>
      </c>
      <c r="AZ220" s="5">
        <f t="shared" si="111"/>
        <v>10.8712666666667</v>
      </c>
      <c r="BA220">
        <v>29.17</v>
      </c>
      <c r="BB220" s="3">
        <f t="shared" si="112"/>
        <v>0.37268655010856</v>
      </c>
      <c r="BD220" s="4">
        <v>1.11000000416667</v>
      </c>
      <c r="BE220">
        <v>0.17</v>
      </c>
      <c r="BF220" s="5">
        <f t="shared" si="113"/>
        <v>0.94000000416667</v>
      </c>
      <c r="BG220">
        <v>4</v>
      </c>
      <c r="BH220" s="3">
        <f t="shared" si="114"/>
        <v>0.235000001041667</v>
      </c>
      <c r="BJ220" s="9">
        <v>10.7570000083333</v>
      </c>
      <c r="BK220">
        <v>4.8</v>
      </c>
      <c r="BL220" s="5">
        <f t="shared" si="115"/>
        <v>5.9570000083333</v>
      </c>
      <c r="BM220">
        <v>8.9</v>
      </c>
      <c r="BN220" s="3">
        <f t="shared" si="116"/>
        <v>0.669325843632955</v>
      </c>
      <c r="BP220" s="9">
        <v>0.366208333333333</v>
      </c>
      <c r="BQ220">
        <v>0.09</v>
      </c>
      <c r="BR220" s="5">
        <f t="shared" si="117"/>
        <v>0.276208333333333</v>
      </c>
      <c r="BS220">
        <v>0.43</v>
      </c>
      <c r="BT220" s="3">
        <f t="shared" si="118"/>
        <v>0.642344961240309</v>
      </c>
      <c r="BV220" s="4">
        <v>6.87326316842105</v>
      </c>
      <c r="BW220">
        <v>6.18</v>
      </c>
      <c r="BX220" s="5">
        <f t="shared" si="119"/>
        <v>0.69326316842105</v>
      </c>
      <c r="BY220">
        <v>1.68</v>
      </c>
      <c r="BZ220" s="3">
        <f t="shared" si="120"/>
        <v>0.412656647869673</v>
      </c>
      <c r="CB220" s="10">
        <v>80.5</v>
      </c>
      <c r="CC220">
        <v>54.3</v>
      </c>
      <c r="CD220" s="12">
        <f t="shared" si="121"/>
        <v>26.2</v>
      </c>
      <c r="CE220">
        <v>71.3</v>
      </c>
      <c r="CF220" s="3">
        <f t="shared" si="122"/>
        <v>0.367461430575035</v>
      </c>
      <c r="CH220" s="13">
        <v>32.7</v>
      </c>
      <c r="CI220">
        <v>22.6</v>
      </c>
      <c r="CJ220">
        <f t="shared" si="123"/>
        <v>10.1</v>
      </c>
      <c r="CK220">
        <v>25.1</v>
      </c>
      <c r="CL220">
        <f t="shared" si="124"/>
        <v>0.402390438247012</v>
      </c>
      <c r="CN220" s="10">
        <v>6.2</v>
      </c>
      <c r="CO220">
        <v>3</v>
      </c>
      <c r="CP220" s="12">
        <f t="shared" si="125"/>
        <v>3.2</v>
      </c>
      <c r="CQ220">
        <v>3.4</v>
      </c>
      <c r="CR220" s="3">
        <f t="shared" si="126"/>
        <v>0.941176470588235</v>
      </c>
    </row>
    <row r="221" spans="2:96">
      <c r="B221" s="1">
        <v>55678</v>
      </c>
      <c r="C221">
        <v>32416</v>
      </c>
      <c r="D221" s="2">
        <f t="shared" si="127"/>
        <v>23262</v>
      </c>
      <c r="E221">
        <v>31904</v>
      </c>
      <c r="F221" s="3">
        <f t="shared" si="96"/>
        <v>0.729124874623872</v>
      </c>
      <c r="H221" s="1">
        <v>55289</v>
      </c>
      <c r="I221">
        <v>31145</v>
      </c>
      <c r="J221" s="2">
        <f t="shared" si="97"/>
        <v>24144</v>
      </c>
      <c r="K221">
        <v>32760</v>
      </c>
      <c r="L221" s="3">
        <f t="shared" si="98"/>
        <v>0.736996336996337</v>
      </c>
      <c r="N221" s="4">
        <v>255.660003025</v>
      </c>
      <c r="O221">
        <v>201.27</v>
      </c>
      <c r="P221" s="5">
        <f t="shared" si="99"/>
        <v>54.390003025</v>
      </c>
      <c r="Q221">
        <v>79.69</v>
      </c>
      <c r="R221" s="3">
        <f t="shared" si="100"/>
        <v>0.682519802045426</v>
      </c>
      <c r="T221" s="4">
        <v>168.0833338125</v>
      </c>
      <c r="U221">
        <v>100.23</v>
      </c>
      <c r="V221" s="5">
        <f t="shared" si="101"/>
        <v>67.8533338125</v>
      </c>
      <c r="W221">
        <v>410.93</v>
      </c>
      <c r="X221" s="3">
        <f t="shared" si="102"/>
        <v>0.165121392481688</v>
      </c>
      <c r="Z221" s="4">
        <v>28.023999955</v>
      </c>
      <c r="AA221">
        <v>13.25</v>
      </c>
      <c r="AB221" s="5">
        <f t="shared" si="103"/>
        <v>14.773999955</v>
      </c>
      <c r="AC221">
        <v>33.93</v>
      </c>
      <c r="AD221" s="3">
        <f t="shared" si="104"/>
        <v>0.435425875478927</v>
      </c>
      <c r="AF221" s="4">
        <v>3.58879218718159</v>
      </c>
      <c r="AG221">
        <v>2.09</v>
      </c>
      <c r="AH221" s="5">
        <f t="shared" si="105"/>
        <v>1.49879218718159</v>
      </c>
      <c r="AI221">
        <v>3.85</v>
      </c>
      <c r="AJ221" s="3">
        <f t="shared" si="106"/>
        <v>0.389296671995218</v>
      </c>
      <c r="AL221" s="4">
        <v>7.79</v>
      </c>
      <c r="AM221">
        <v>6.1</v>
      </c>
      <c r="AN221" s="5">
        <f t="shared" si="107"/>
        <v>1.69</v>
      </c>
      <c r="AO221">
        <v>1.89</v>
      </c>
      <c r="AP221" s="3">
        <f t="shared" si="108"/>
        <v>0.894179894179894</v>
      </c>
      <c r="AR221" s="4">
        <v>1.40270834166667</v>
      </c>
      <c r="AS221">
        <v>0.02</v>
      </c>
      <c r="AT221" s="5">
        <f t="shared" si="109"/>
        <v>1.38270834166667</v>
      </c>
      <c r="AU221">
        <v>2.84</v>
      </c>
      <c r="AV221" s="3">
        <f t="shared" si="110"/>
        <v>0.486869134389672</v>
      </c>
      <c r="AX221" s="4">
        <v>14.7367998291667</v>
      </c>
      <c r="AY221">
        <v>3.44</v>
      </c>
      <c r="AZ221" s="5">
        <f t="shared" si="111"/>
        <v>11.2967998291667</v>
      </c>
      <c r="BA221">
        <v>29.17</v>
      </c>
      <c r="BB221" s="3">
        <f t="shared" si="112"/>
        <v>0.38727459133242</v>
      </c>
      <c r="BD221" s="4">
        <v>1.36733333333333</v>
      </c>
      <c r="BE221">
        <v>0.17</v>
      </c>
      <c r="BF221" s="5">
        <f t="shared" si="113"/>
        <v>1.19733333333333</v>
      </c>
      <c r="BG221">
        <v>4</v>
      </c>
      <c r="BH221" s="3">
        <f t="shared" si="114"/>
        <v>0.299333333333333</v>
      </c>
      <c r="BJ221" s="9">
        <v>10.908333375</v>
      </c>
      <c r="BK221">
        <v>4.8</v>
      </c>
      <c r="BL221" s="5">
        <f t="shared" si="115"/>
        <v>6.108333375</v>
      </c>
      <c r="BM221">
        <v>8.9</v>
      </c>
      <c r="BN221" s="3">
        <f t="shared" si="116"/>
        <v>0.686329592696629</v>
      </c>
      <c r="BP221" s="9">
        <v>0.367208333333333</v>
      </c>
      <c r="BQ221">
        <v>0.09</v>
      </c>
      <c r="BR221" s="5">
        <f t="shared" si="117"/>
        <v>0.277208333333333</v>
      </c>
      <c r="BS221">
        <v>0.43</v>
      </c>
      <c r="BT221" s="3">
        <f t="shared" si="118"/>
        <v>0.644670542635658</v>
      </c>
      <c r="BV221" s="4">
        <v>6.31592502916667</v>
      </c>
      <c r="BW221">
        <v>6.18</v>
      </c>
      <c r="BX221" s="5">
        <f t="shared" si="119"/>
        <v>0.13592502916667</v>
      </c>
      <c r="BY221">
        <v>1.68</v>
      </c>
      <c r="BZ221" s="3">
        <f t="shared" si="120"/>
        <v>0.0809077554563514</v>
      </c>
      <c r="CB221" s="10">
        <v>81.2</v>
      </c>
      <c r="CC221">
        <v>54.3</v>
      </c>
      <c r="CD221" s="12">
        <f t="shared" si="121"/>
        <v>26.9</v>
      </c>
      <c r="CE221">
        <v>71.3</v>
      </c>
      <c r="CF221" s="3">
        <f t="shared" si="122"/>
        <v>0.377279102384292</v>
      </c>
      <c r="CH221" s="13">
        <v>33.2</v>
      </c>
      <c r="CI221">
        <v>22.6</v>
      </c>
      <c r="CJ221">
        <f t="shared" si="123"/>
        <v>10.6</v>
      </c>
      <c r="CK221">
        <v>25.1</v>
      </c>
      <c r="CL221">
        <f t="shared" si="124"/>
        <v>0.422310756972112</v>
      </c>
      <c r="CN221" s="11">
        <v>6</v>
      </c>
      <c r="CO221">
        <v>3</v>
      </c>
      <c r="CP221" s="12">
        <f t="shared" si="125"/>
        <v>3</v>
      </c>
      <c r="CQ221">
        <v>3.4</v>
      </c>
      <c r="CR221" s="3">
        <f t="shared" si="126"/>
        <v>0.882352941176471</v>
      </c>
    </row>
    <row r="222" spans="2:96">
      <c r="B222" s="1">
        <v>54435</v>
      </c>
      <c r="C222">
        <v>32416</v>
      </c>
      <c r="D222" s="2">
        <f t="shared" si="127"/>
        <v>22019</v>
      </c>
      <c r="E222">
        <v>31904</v>
      </c>
      <c r="F222" s="3">
        <f t="shared" si="96"/>
        <v>0.690164242728185</v>
      </c>
      <c r="H222" s="1">
        <v>54146</v>
      </c>
      <c r="I222">
        <v>31145</v>
      </c>
      <c r="J222" s="2">
        <f t="shared" si="97"/>
        <v>23001</v>
      </c>
      <c r="K222">
        <v>32760</v>
      </c>
      <c r="L222" s="3">
        <f t="shared" si="98"/>
        <v>0.702106227106227</v>
      </c>
      <c r="N222" s="4">
        <v>261.269999183333</v>
      </c>
      <c r="O222">
        <v>201.27</v>
      </c>
      <c r="P222" s="5">
        <f t="shared" si="99"/>
        <v>59.999999183333</v>
      </c>
      <c r="Q222">
        <v>79.69</v>
      </c>
      <c r="R222" s="3">
        <f t="shared" si="100"/>
        <v>0.752917545279621</v>
      </c>
      <c r="T222" s="4">
        <v>167.979166666666</v>
      </c>
      <c r="U222">
        <v>100.23</v>
      </c>
      <c r="V222" s="5">
        <f t="shared" si="101"/>
        <v>67.749166666666</v>
      </c>
      <c r="W222">
        <v>410.93</v>
      </c>
      <c r="X222" s="3">
        <f t="shared" si="102"/>
        <v>0.16486790126461</v>
      </c>
      <c r="Z222" s="4">
        <v>31.92900016</v>
      </c>
      <c r="AA222">
        <v>13.25</v>
      </c>
      <c r="AB222" s="5">
        <f t="shared" si="103"/>
        <v>18.67900016</v>
      </c>
      <c r="AC222">
        <v>33.93</v>
      </c>
      <c r="AD222" s="3">
        <f t="shared" si="104"/>
        <v>0.550515772472738</v>
      </c>
      <c r="AF222" s="4">
        <v>3.38014836053572</v>
      </c>
      <c r="AG222">
        <v>2.09</v>
      </c>
      <c r="AH222" s="5">
        <f t="shared" si="105"/>
        <v>1.29014836053572</v>
      </c>
      <c r="AI222">
        <v>3.85</v>
      </c>
      <c r="AJ222" s="3">
        <f t="shared" si="106"/>
        <v>0.335103470269018</v>
      </c>
      <c r="AL222" s="4">
        <v>7.81</v>
      </c>
      <c r="AM222">
        <v>6.1</v>
      </c>
      <c r="AN222" s="5">
        <f t="shared" si="107"/>
        <v>1.71</v>
      </c>
      <c r="AO222">
        <v>1.89</v>
      </c>
      <c r="AP222" s="3">
        <f t="shared" si="108"/>
        <v>0.904761904761905</v>
      </c>
      <c r="AR222" s="4">
        <v>1.32645833333333</v>
      </c>
      <c r="AS222">
        <v>0.02</v>
      </c>
      <c r="AT222" s="5">
        <f t="shared" si="109"/>
        <v>1.30645833333333</v>
      </c>
      <c r="AU222">
        <v>2.84</v>
      </c>
      <c r="AV222" s="3">
        <f t="shared" si="110"/>
        <v>0.460020539906102</v>
      </c>
      <c r="AX222" s="4">
        <v>13.2149333583333</v>
      </c>
      <c r="AY222">
        <v>3.44</v>
      </c>
      <c r="AZ222" s="5">
        <f t="shared" si="111"/>
        <v>9.7749333583333</v>
      </c>
      <c r="BA222">
        <v>29.17</v>
      </c>
      <c r="BB222" s="3">
        <f t="shared" si="112"/>
        <v>0.335102274882869</v>
      </c>
      <c r="BD222" s="4">
        <v>0.951249983333333</v>
      </c>
      <c r="BE222">
        <v>0.17</v>
      </c>
      <c r="BF222" s="5">
        <f t="shared" si="113"/>
        <v>0.781249983333333</v>
      </c>
      <c r="BG222">
        <v>4</v>
      </c>
      <c r="BH222" s="3">
        <f t="shared" si="114"/>
        <v>0.195312495833333</v>
      </c>
      <c r="BJ222" s="9">
        <v>11.4815833125</v>
      </c>
      <c r="BK222">
        <v>4.8</v>
      </c>
      <c r="BL222" s="5">
        <f t="shared" si="115"/>
        <v>6.6815833125</v>
      </c>
      <c r="BM222">
        <v>8.9</v>
      </c>
      <c r="BN222" s="3">
        <f t="shared" si="116"/>
        <v>0.750739698033708</v>
      </c>
      <c r="BP222" s="9">
        <v>0.33935</v>
      </c>
      <c r="BQ222">
        <v>0.09</v>
      </c>
      <c r="BR222" s="5">
        <f t="shared" si="117"/>
        <v>0.24935</v>
      </c>
      <c r="BS222">
        <v>0.43</v>
      </c>
      <c r="BT222" s="3">
        <f t="shared" si="118"/>
        <v>0.579883720930233</v>
      </c>
      <c r="BV222" s="4">
        <v>6.32642500833333</v>
      </c>
      <c r="BW222">
        <v>6.18</v>
      </c>
      <c r="BX222" s="5">
        <f t="shared" si="119"/>
        <v>0.14642500833333</v>
      </c>
      <c r="BY222">
        <v>1.68</v>
      </c>
      <c r="BZ222" s="3">
        <f t="shared" si="120"/>
        <v>0.0871577430555537</v>
      </c>
      <c r="CB222" s="10">
        <v>82.6</v>
      </c>
      <c r="CC222">
        <v>54.3</v>
      </c>
      <c r="CD222" s="12">
        <f t="shared" si="121"/>
        <v>28.3</v>
      </c>
      <c r="CE222">
        <v>71.3</v>
      </c>
      <c r="CF222" s="3">
        <f t="shared" si="122"/>
        <v>0.396914446002805</v>
      </c>
      <c r="CH222" s="13">
        <v>33.6</v>
      </c>
      <c r="CI222">
        <v>22.6</v>
      </c>
      <c r="CJ222">
        <f t="shared" si="123"/>
        <v>11</v>
      </c>
      <c r="CK222">
        <v>25.1</v>
      </c>
      <c r="CL222">
        <f t="shared" si="124"/>
        <v>0.438247011952191</v>
      </c>
      <c r="CN222" s="10">
        <v>6.4</v>
      </c>
      <c r="CO222">
        <v>3</v>
      </c>
      <c r="CP222" s="12">
        <f t="shared" si="125"/>
        <v>3.4</v>
      </c>
      <c r="CQ222">
        <v>3.4</v>
      </c>
      <c r="CR222" s="3">
        <f t="shared" si="126"/>
        <v>1</v>
      </c>
    </row>
    <row r="223" spans="2:96">
      <c r="B223" s="1">
        <v>49521</v>
      </c>
      <c r="C223">
        <v>32416</v>
      </c>
      <c r="D223" s="2">
        <f t="shared" si="127"/>
        <v>17105</v>
      </c>
      <c r="E223">
        <v>31904</v>
      </c>
      <c r="F223" s="3">
        <f t="shared" si="96"/>
        <v>0.536139669007021</v>
      </c>
      <c r="H223" s="1">
        <v>49080</v>
      </c>
      <c r="I223">
        <v>31145</v>
      </c>
      <c r="J223" s="2">
        <f t="shared" si="97"/>
        <v>17935</v>
      </c>
      <c r="K223">
        <v>32760</v>
      </c>
      <c r="L223" s="3">
        <f t="shared" si="98"/>
        <v>0.547466422466423</v>
      </c>
      <c r="N223" s="4">
        <v>263.0300025875</v>
      </c>
      <c r="O223">
        <v>201.27</v>
      </c>
      <c r="P223" s="5">
        <f t="shared" si="99"/>
        <v>61.7600025875</v>
      </c>
      <c r="Q223">
        <v>79.69</v>
      </c>
      <c r="R223" s="3">
        <f t="shared" si="100"/>
        <v>0.775003169626051</v>
      </c>
      <c r="T223" s="4">
        <v>167.954166404166</v>
      </c>
      <c r="U223">
        <v>100.23</v>
      </c>
      <c r="V223" s="5">
        <f t="shared" si="101"/>
        <v>67.724166404166</v>
      </c>
      <c r="W223">
        <v>410.93</v>
      </c>
      <c r="X223" s="3">
        <f t="shared" si="102"/>
        <v>0.164807063013569</v>
      </c>
      <c r="Z223" s="4">
        <v>25.0395455454545</v>
      </c>
      <c r="AA223">
        <v>13.25</v>
      </c>
      <c r="AB223" s="5">
        <f t="shared" si="103"/>
        <v>11.7895455454545</v>
      </c>
      <c r="AC223">
        <v>33.93</v>
      </c>
      <c r="AD223" s="3">
        <f t="shared" si="104"/>
        <v>0.347466712214987</v>
      </c>
      <c r="AF223" s="4">
        <v>3.50268362274257</v>
      </c>
      <c r="AG223">
        <v>2.09</v>
      </c>
      <c r="AH223" s="5">
        <f t="shared" si="105"/>
        <v>1.41268362274257</v>
      </c>
      <c r="AI223">
        <v>3.85</v>
      </c>
      <c r="AJ223" s="3">
        <f t="shared" si="106"/>
        <v>0.366930811101966</v>
      </c>
      <c r="AL223" s="4">
        <v>7.76</v>
      </c>
      <c r="AM223">
        <v>6.1</v>
      </c>
      <c r="AN223" s="5">
        <f t="shared" si="107"/>
        <v>1.66</v>
      </c>
      <c r="AO223">
        <v>1.89</v>
      </c>
      <c r="AP223" s="3">
        <f t="shared" si="108"/>
        <v>0.878306878306878</v>
      </c>
      <c r="AR223" s="4">
        <v>1.38375000833333</v>
      </c>
      <c r="AS223">
        <v>0.02</v>
      </c>
      <c r="AT223" s="5">
        <f t="shared" si="109"/>
        <v>1.36375000833333</v>
      </c>
      <c r="AU223">
        <v>2.84</v>
      </c>
      <c r="AV223" s="3">
        <f t="shared" si="110"/>
        <v>0.480193664906102</v>
      </c>
      <c r="AX223" s="4">
        <v>12.2901999541667</v>
      </c>
      <c r="AY223">
        <v>3.44</v>
      </c>
      <c r="AZ223" s="5">
        <f t="shared" si="111"/>
        <v>8.8501999541667</v>
      </c>
      <c r="BA223">
        <v>29.17</v>
      </c>
      <c r="BB223" s="3">
        <f t="shared" si="112"/>
        <v>0.303400752628272</v>
      </c>
      <c r="BD223" s="4">
        <v>0.9746666625</v>
      </c>
      <c r="BE223">
        <v>0.17</v>
      </c>
      <c r="BF223" s="5">
        <f t="shared" si="113"/>
        <v>0.8046666625</v>
      </c>
      <c r="BG223">
        <v>4</v>
      </c>
      <c r="BH223" s="3">
        <f t="shared" si="114"/>
        <v>0.201166665625</v>
      </c>
      <c r="BJ223" s="9">
        <v>10.1900834583333</v>
      </c>
      <c r="BK223">
        <v>4.8</v>
      </c>
      <c r="BL223" s="5">
        <f t="shared" si="115"/>
        <v>5.3900834583333</v>
      </c>
      <c r="BM223">
        <v>8.9</v>
      </c>
      <c r="BN223" s="3">
        <f t="shared" si="116"/>
        <v>0.60562735486891</v>
      </c>
      <c r="BP223" s="9">
        <v>0.344916666666667</v>
      </c>
      <c r="BQ223">
        <v>0.09</v>
      </c>
      <c r="BR223" s="5">
        <f t="shared" si="117"/>
        <v>0.254916666666667</v>
      </c>
      <c r="BS223">
        <v>0.43</v>
      </c>
      <c r="BT223" s="3">
        <f t="shared" si="118"/>
        <v>0.592829457364342</v>
      </c>
      <c r="BV223" s="4">
        <v>6.2786499875</v>
      </c>
      <c r="BW223">
        <v>6.18</v>
      </c>
      <c r="BX223" s="5">
        <f t="shared" si="119"/>
        <v>0.0986499875</v>
      </c>
      <c r="BY223">
        <v>1.68</v>
      </c>
      <c r="BZ223" s="3">
        <f t="shared" si="120"/>
        <v>0.0587202306547619</v>
      </c>
      <c r="CB223" s="10">
        <v>83.5</v>
      </c>
      <c r="CC223">
        <v>54.3</v>
      </c>
      <c r="CD223" s="12">
        <f t="shared" si="121"/>
        <v>29.2</v>
      </c>
      <c r="CE223">
        <v>71.3</v>
      </c>
      <c r="CF223" s="3">
        <f t="shared" si="122"/>
        <v>0.409537166900421</v>
      </c>
      <c r="CH223" s="13">
        <v>31.5</v>
      </c>
      <c r="CI223">
        <v>22.6</v>
      </c>
      <c r="CJ223">
        <f t="shared" si="123"/>
        <v>8.9</v>
      </c>
      <c r="CK223">
        <v>25.1</v>
      </c>
      <c r="CL223">
        <f t="shared" si="124"/>
        <v>0.354581673306773</v>
      </c>
      <c r="CN223" s="10">
        <v>6.1</v>
      </c>
      <c r="CO223">
        <v>3</v>
      </c>
      <c r="CP223" s="12">
        <f t="shared" si="125"/>
        <v>3.1</v>
      </c>
      <c r="CQ223">
        <v>3.4</v>
      </c>
      <c r="CR223" s="3">
        <f t="shared" si="126"/>
        <v>0.911764705882353</v>
      </c>
    </row>
    <row r="224" spans="2:96">
      <c r="B224" s="1">
        <v>48031</v>
      </c>
      <c r="C224">
        <v>32416</v>
      </c>
      <c r="D224" s="2">
        <f t="shared" si="127"/>
        <v>15615</v>
      </c>
      <c r="E224">
        <v>31904</v>
      </c>
      <c r="F224" s="3">
        <f t="shared" si="96"/>
        <v>0.489437061183551</v>
      </c>
      <c r="H224" s="1">
        <v>47828</v>
      </c>
      <c r="I224">
        <v>31145</v>
      </c>
      <c r="J224" s="2">
        <f t="shared" si="97"/>
        <v>16683</v>
      </c>
      <c r="K224">
        <v>32760</v>
      </c>
      <c r="L224" s="3">
        <f t="shared" si="98"/>
        <v>0.509249084249084</v>
      </c>
      <c r="N224" s="4">
        <v>259.3666693375</v>
      </c>
      <c r="O224">
        <v>201.27</v>
      </c>
      <c r="P224" s="5">
        <f t="shared" si="99"/>
        <v>58.0966693375</v>
      </c>
      <c r="Q224">
        <v>79.69</v>
      </c>
      <c r="R224" s="3">
        <f t="shared" si="100"/>
        <v>0.729033371031497</v>
      </c>
      <c r="T224" s="4">
        <v>171.758333679166</v>
      </c>
      <c r="U224">
        <v>100.23</v>
      </c>
      <c r="V224" s="5">
        <f t="shared" si="101"/>
        <v>71.528333679166</v>
      </c>
      <c r="W224">
        <v>410.93</v>
      </c>
      <c r="X224" s="3">
        <f t="shared" si="102"/>
        <v>0.174064521157292</v>
      </c>
      <c r="Z224" s="4">
        <v>29.2915385307692</v>
      </c>
      <c r="AA224">
        <v>13.25</v>
      </c>
      <c r="AB224" s="5">
        <f t="shared" si="103"/>
        <v>16.0415385307692</v>
      </c>
      <c r="AC224">
        <v>33.93</v>
      </c>
      <c r="AD224" s="3">
        <f t="shared" si="104"/>
        <v>0.472783334240177</v>
      </c>
      <c r="AF224" s="4">
        <v>4.12285556000486</v>
      </c>
      <c r="AG224">
        <v>2.09</v>
      </c>
      <c r="AH224" s="5">
        <f t="shared" si="105"/>
        <v>2.03285556000486</v>
      </c>
      <c r="AI224">
        <v>3.85</v>
      </c>
      <c r="AJ224" s="3">
        <f t="shared" si="106"/>
        <v>0.528014431170094</v>
      </c>
      <c r="AL224" s="4">
        <v>7.85</v>
      </c>
      <c r="AM224">
        <v>6.1</v>
      </c>
      <c r="AN224" s="5">
        <f t="shared" si="107"/>
        <v>1.75</v>
      </c>
      <c r="AO224">
        <v>1.89</v>
      </c>
      <c r="AP224" s="3">
        <f t="shared" si="108"/>
        <v>0.925925925925926</v>
      </c>
      <c r="AR224" s="4">
        <v>1.35520834166667</v>
      </c>
      <c r="AS224">
        <v>0.02</v>
      </c>
      <c r="AT224" s="5">
        <f t="shared" si="109"/>
        <v>1.33520834166667</v>
      </c>
      <c r="AU224">
        <v>2.84</v>
      </c>
      <c r="AV224" s="3">
        <f t="shared" si="110"/>
        <v>0.470143782276996</v>
      </c>
      <c r="AX224" s="4">
        <v>12.13940005</v>
      </c>
      <c r="AY224">
        <v>3.44</v>
      </c>
      <c r="AZ224" s="5">
        <f t="shared" si="111"/>
        <v>8.69940005</v>
      </c>
      <c r="BA224">
        <v>29.17</v>
      </c>
      <c r="BB224" s="3">
        <f t="shared" si="112"/>
        <v>0.298231061021598</v>
      </c>
      <c r="BD224" s="4">
        <v>0.962</v>
      </c>
      <c r="BE224">
        <v>0.17</v>
      </c>
      <c r="BF224" s="5">
        <f t="shared" si="113"/>
        <v>0.792</v>
      </c>
      <c r="BG224">
        <v>4</v>
      </c>
      <c r="BH224" s="3">
        <f t="shared" si="114"/>
        <v>0.198</v>
      </c>
      <c r="BJ224" s="9">
        <v>10.5741666166667</v>
      </c>
      <c r="BK224">
        <v>4.8</v>
      </c>
      <c r="BL224" s="5">
        <f t="shared" si="115"/>
        <v>5.7741666166667</v>
      </c>
      <c r="BM224">
        <v>8.9</v>
      </c>
      <c r="BN224" s="3">
        <f t="shared" si="116"/>
        <v>0.648782765917607</v>
      </c>
      <c r="BP224" s="9">
        <v>0.339266666666667</v>
      </c>
      <c r="BQ224">
        <v>0.09</v>
      </c>
      <c r="BR224" s="5">
        <f t="shared" si="117"/>
        <v>0.249266666666667</v>
      </c>
      <c r="BS224">
        <v>0.43</v>
      </c>
      <c r="BT224" s="3">
        <f t="shared" si="118"/>
        <v>0.579689922480621</v>
      </c>
      <c r="BV224" s="4">
        <v>6.95671667916667</v>
      </c>
      <c r="BW224">
        <v>6.18</v>
      </c>
      <c r="BX224" s="5">
        <f t="shared" si="119"/>
        <v>0.77671667916667</v>
      </c>
      <c r="BY224">
        <v>1.68</v>
      </c>
      <c r="BZ224" s="3">
        <f t="shared" si="120"/>
        <v>0.462331356646827</v>
      </c>
      <c r="CB224" s="10">
        <v>86.1</v>
      </c>
      <c r="CC224">
        <v>54.3</v>
      </c>
      <c r="CD224" s="12">
        <f t="shared" si="121"/>
        <v>31.8</v>
      </c>
      <c r="CE224">
        <v>71.3</v>
      </c>
      <c r="CF224" s="3">
        <f t="shared" si="122"/>
        <v>0.446002805049088</v>
      </c>
      <c r="CH224" s="13">
        <v>32.7</v>
      </c>
      <c r="CI224">
        <v>22.6</v>
      </c>
      <c r="CJ224">
        <f t="shared" si="123"/>
        <v>10.1</v>
      </c>
      <c r="CK224">
        <v>25.1</v>
      </c>
      <c r="CL224">
        <f t="shared" si="124"/>
        <v>0.402390438247012</v>
      </c>
      <c r="CN224" s="10">
        <v>5.8</v>
      </c>
      <c r="CO224">
        <v>3</v>
      </c>
      <c r="CP224" s="12">
        <f t="shared" si="125"/>
        <v>2.8</v>
      </c>
      <c r="CQ224">
        <v>3.4</v>
      </c>
      <c r="CR224" s="3">
        <f t="shared" si="126"/>
        <v>0.823529411764706</v>
      </c>
    </row>
    <row r="225" spans="2:96">
      <c r="B225" s="1">
        <v>50462</v>
      </c>
      <c r="C225">
        <v>32416</v>
      </c>
      <c r="D225" s="2">
        <f t="shared" si="127"/>
        <v>18046</v>
      </c>
      <c r="E225">
        <v>31904</v>
      </c>
      <c r="F225" s="3">
        <f t="shared" si="96"/>
        <v>0.565634403209629</v>
      </c>
      <c r="H225" s="1">
        <v>50265</v>
      </c>
      <c r="I225">
        <v>31145</v>
      </c>
      <c r="J225" s="2">
        <f t="shared" si="97"/>
        <v>19120</v>
      </c>
      <c r="K225">
        <v>32760</v>
      </c>
      <c r="L225" s="3">
        <f t="shared" si="98"/>
        <v>0.583638583638584</v>
      </c>
      <c r="N225" s="4">
        <v>250.703333529167</v>
      </c>
      <c r="O225">
        <v>201.27</v>
      </c>
      <c r="P225" s="5">
        <f t="shared" si="99"/>
        <v>49.433333529167</v>
      </c>
      <c r="Q225">
        <v>79.69</v>
      </c>
      <c r="R225" s="3">
        <f t="shared" si="100"/>
        <v>0.620320410706073</v>
      </c>
      <c r="T225" s="4">
        <v>181.8833333625</v>
      </c>
      <c r="U225">
        <v>100.23</v>
      </c>
      <c r="V225" s="5">
        <f t="shared" si="101"/>
        <v>81.6533333625</v>
      </c>
      <c r="W225">
        <v>410.93</v>
      </c>
      <c r="X225" s="3">
        <f t="shared" si="102"/>
        <v>0.198703753346069</v>
      </c>
      <c r="Z225" s="4">
        <v>32.7218749</v>
      </c>
      <c r="AA225">
        <v>13.25</v>
      </c>
      <c r="AB225" s="5">
        <f t="shared" si="103"/>
        <v>19.4718749</v>
      </c>
      <c r="AC225">
        <v>33.93</v>
      </c>
      <c r="AD225" s="3">
        <f t="shared" si="104"/>
        <v>0.573883728264073</v>
      </c>
      <c r="AF225" s="4">
        <v>3.50520624973322</v>
      </c>
      <c r="AG225">
        <v>2.09</v>
      </c>
      <c r="AH225" s="5">
        <f t="shared" si="105"/>
        <v>1.41520624973322</v>
      </c>
      <c r="AI225">
        <v>3.85</v>
      </c>
      <c r="AJ225" s="3">
        <f t="shared" si="106"/>
        <v>0.367586038891746</v>
      </c>
      <c r="AL225" s="4">
        <v>7.65</v>
      </c>
      <c r="AM225">
        <v>6.1</v>
      </c>
      <c r="AN225" s="5">
        <f t="shared" si="107"/>
        <v>1.55</v>
      </c>
      <c r="AO225">
        <v>1.89</v>
      </c>
      <c r="AP225" s="3">
        <f t="shared" si="108"/>
        <v>0.820105820105821</v>
      </c>
      <c r="AR225" s="4">
        <v>1.38937500833333</v>
      </c>
      <c r="AS225">
        <v>0.02</v>
      </c>
      <c r="AT225" s="5">
        <f t="shared" si="109"/>
        <v>1.36937500833333</v>
      </c>
      <c r="AU225">
        <v>2.84</v>
      </c>
      <c r="AV225" s="3">
        <f t="shared" si="110"/>
        <v>0.482174298708919</v>
      </c>
      <c r="AX225" s="4">
        <v>15.3001334333333</v>
      </c>
      <c r="AY225">
        <v>3.44</v>
      </c>
      <c r="AZ225" s="5">
        <f t="shared" si="111"/>
        <v>11.8601334333333</v>
      </c>
      <c r="BA225">
        <v>29.17</v>
      </c>
      <c r="BB225" s="3">
        <f t="shared" si="112"/>
        <v>0.406586679236658</v>
      </c>
      <c r="BD225" s="4">
        <v>1.13908332916667</v>
      </c>
      <c r="BE225">
        <v>0.17</v>
      </c>
      <c r="BF225" s="5">
        <f t="shared" si="113"/>
        <v>0.96908332916667</v>
      </c>
      <c r="BG225">
        <v>4</v>
      </c>
      <c r="BH225" s="3">
        <f t="shared" si="114"/>
        <v>0.242270832291667</v>
      </c>
      <c r="BJ225" s="9">
        <v>9.65816659583333</v>
      </c>
      <c r="BK225">
        <v>4.8</v>
      </c>
      <c r="BL225" s="5">
        <f t="shared" si="115"/>
        <v>4.85816659583333</v>
      </c>
      <c r="BM225">
        <v>8.9</v>
      </c>
      <c r="BN225" s="3">
        <f t="shared" si="116"/>
        <v>0.545861415262172</v>
      </c>
      <c r="BP225" s="9">
        <v>0.339341666666667</v>
      </c>
      <c r="BQ225">
        <v>0.09</v>
      </c>
      <c r="BR225" s="5">
        <f t="shared" si="117"/>
        <v>0.249341666666667</v>
      </c>
      <c r="BS225">
        <v>0.43</v>
      </c>
      <c r="BT225" s="3">
        <f t="shared" si="118"/>
        <v>0.579864341085272</v>
      </c>
      <c r="BV225" s="4">
        <v>6.97503340416667</v>
      </c>
      <c r="BW225">
        <v>6.18</v>
      </c>
      <c r="BX225" s="5">
        <f t="shared" si="119"/>
        <v>0.79503340416667</v>
      </c>
      <c r="BY225">
        <v>1.68</v>
      </c>
      <c r="BZ225" s="3">
        <f t="shared" si="120"/>
        <v>0.473234169146827</v>
      </c>
      <c r="CB225" s="10">
        <v>82.7</v>
      </c>
      <c r="CC225">
        <v>54.3</v>
      </c>
      <c r="CD225" s="12">
        <f t="shared" si="121"/>
        <v>28.4</v>
      </c>
      <c r="CE225">
        <v>71.3</v>
      </c>
      <c r="CF225" s="3">
        <f t="shared" si="122"/>
        <v>0.398316970546985</v>
      </c>
      <c r="CH225" s="13">
        <v>29.8</v>
      </c>
      <c r="CI225">
        <v>22.6</v>
      </c>
      <c r="CJ225">
        <f t="shared" si="123"/>
        <v>7.2</v>
      </c>
      <c r="CK225">
        <v>25.1</v>
      </c>
      <c r="CL225">
        <f t="shared" si="124"/>
        <v>0.286852589641434</v>
      </c>
      <c r="CN225" s="10">
        <v>5.6</v>
      </c>
      <c r="CO225">
        <v>3</v>
      </c>
      <c r="CP225" s="12">
        <f t="shared" si="125"/>
        <v>2.6</v>
      </c>
      <c r="CQ225">
        <v>3.4</v>
      </c>
      <c r="CR225" s="3">
        <f t="shared" si="126"/>
        <v>0.764705882352941</v>
      </c>
    </row>
    <row r="226" spans="2:96">
      <c r="B226" s="1">
        <v>59031</v>
      </c>
      <c r="C226">
        <v>32416</v>
      </c>
      <c r="D226" s="2">
        <f t="shared" si="127"/>
        <v>26615</v>
      </c>
      <c r="E226">
        <v>31904</v>
      </c>
      <c r="F226" s="3">
        <f t="shared" si="96"/>
        <v>0.834221414242728</v>
      </c>
      <c r="H226" s="1">
        <v>58765</v>
      </c>
      <c r="I226">
        <v>31145</v>
      </c>
      <c r="J226" s="2">
        <f t="shared" si="97"/>
        <v>27620</v>
      </c>
      <c r="K226">
        <v>32760</v>
      </c>
      <c r="L226" s="3">
        <f t="shared" si="98"/>
        <v>0.843101343101343</v>
      </c>
      <c r="N226" s="4">
        <v>268.883337008333</v>
      </c>
      <c r="O226">
        <v>201.27</v>
      </c>
      <c r="P226" s="5">
        <f t="shared" si="99"/>
        <v>67.613337008333</v>
      </c>
      <c r="Q226">
        <v>79.69</v>
      </c>
      <c r="R226" s="3">
        <f t="shared" si="100"/>
        <v>0.84845447368971</v>
      </c>
      <c r="T226" s="4">
        <v>200.037500704167</v>
      </c>
      <c r="U226">
        <v>100.23</v>
      </c>
      <c r="V226" s="5">
        <f t="shared" si="101"/>
        <v>99.807500704167</v>
      </c>
      <c r="W226">
        <v>410.93</v>
      </c>
      <c r="X226" s="3">
        <f t="shared" si="102"/>
        <v>0.242882001080882</v>
      </c>
      <c r="Z226" s="4">
        <v>31.086458275</v>
      </c>
      <c r="AA226">
        <v>13.25</v>
      </c>
      <c r="AB226" s="5">
        <f t="shared" si="103"/>
        <v>17.836458275</v>
      </c>
      <c r="AC226">
        <v>33.93</v>
      </c>
      <c r="AD226" s="3">
        <f t="shared" si="104"/>
        <v>0.525684004568229</v>
      </c>
      <c r="AF226" s="4">
        <v>3.76</v>
      </c>
      <c r="AG226">
        <v>2.09</v>
      </c>
      <c r="AH226" s="5">
        <f t="shared" si="105"/>
        <v>1.67</v>
      </c>
      <c r="AI226">
        <v>3.85</v>
      </c>
      <c r="AJ226" s="3">
        <f t="shared" si="106"/>
        <v>0.433766233766234</v>
      </c>
      <c r="AL226" s="4">
        <v>7.85</v>
      </c>
      <c r="AM226">
        <v>6.1</v>
      </c>
      <c r="AN226" s="5">
        <f t="shared" si="107"/>
        <v>1.75</v>
      </c>
      <c r="AO226">
        <v>1.89</v>
      </c>
      <c r="AP226" s="3">
        <f t="shared" si="108"/>
        <v>0.925925925925926</v>
      </c>
      <c r="AR226" s="4">
        <v>1.4595833375</v>
      </c>
      <c r="AS226">
        <v>0.02</v>
      </c>
      <c r="AT226" s="5">
        <f t="shared" si="109"/>
        <v>1.4395833375</v>
      </c>
      <c r="AU226">
        <v>2.84</v>
      </c>
      <c r="AV226" s="3">
        <f t="shared" si="110"/>
        <v>0.506895541373239</v>
      </c>
      <c r="AX226" s="4">
        <v>11.784066675</v>
      </c>
      <c r="AY226">
        <v>3.44</v>
      </c>
      <c r="AZ226" s="5">
        <f t="shared" si="111"/>
        <v>8.344066675</v>
      </c>
      <c r="BA226">
        <v>29.17</v>
      </c>
      <c r="BB226" s="3">
        <f t="shared" si="112"/>
        <v>0.286049594617758</v>
      </c>
      <c r="BD226" s="4">
        <v>0.547916679166667</v>
      </c>
      <c r="BE226">
        <v>0.17</v>
      </c>
      <c r="BF226" s="5">
        <f t="shared" si="113"/>
        <v>0.377916679166667</v>
      </c>
      <c r="BG226">
        <v>4</v>
      </c>
      <c r="BH226" s="3">
        <f t="shared" si="114"/>
        <v>0.0944791697916667</v>
      </c>
      <c r="BJ226" s="9">
        <v>9.45141669583333</v>
      </c>
      <c r="BK226">
        <v>4.8</v>
      </c>
      <c r="BL226" s="5">
        <f t="shared" si="115"/>
        <v>4.65141669583333</v>
      </c>
      <c r="BM226">
        <v>8.9</v>
      </c>
      <c r="BN226" s="3">
        <f t="shared" si="116"/>
        <v>0.522631089419475</v>
      </c>
      <c r="BP226" s="9">
        <v>0.371316666666667</v>
      </c>
      <c r="BQ226">
        <v>0.09</v>
      </c>
      <c r="BR226" s="5">
        <f t="shared" si="117"/>
        <v>0.281316666666667</v>
      </c>
      <c r="BS226">
        <v>0.43</v>
      </c>
      <c r="BT226" s="3">
        <f t="shared" si="118"/>
        <v>0.654224806201551</v>
      </c>
      <c r="BV226" s="4">
        <v>6.95519997083333</v>
      </c>
      <c r="BW226">
        <v>6.18</v>
      </c>
      <c r="BX226" s="5">
        <f t="shared" si="119"/>
        <v>0.77519997083333</v>
      </c>
      <c r="BY226">
        <v>1.68</v>
      </c>
      <c r="BZ226" s="3">
        <f t="shared" si="120"/>
        <v>0.461428554067458</v>
      </c>
      <c r="CB226" s="10">
        <v>88.9</v>
      </c>
      <c r="CC226">
        <v>54.3</v>
      </c>
      <c r="CD226" s="12">
        <f t="shared" si="121"/>
        <v>34.6</v>
      </c>
      <c r="CE226">
        <v>71.3</v>
      </c>
      <c r="CF226" s="3">
        <f t="shared" si="122"/>
        <v>0.485273492286115</v>
      </c>
      <c r="CH226" s="13">
        <v>28.9</v>
      </c>
      <c r="CI226">
        <v>22.6</v>
      </c>
      <c r="CJ226">
        <f t="shared" si="123"/>
        <v>6.3</v>
      </c>
      <c r="CK226">
        <v>25.1</v>
      </c>
      <c r="CL226">
        <f t="shared" si="124"/>
        <v>0.250996015936255</v>
      </c>
      <c r="CN226" s="10">
        <v>5.5</v>
      </c>
      <c r="CO226">
        <v>3</v>
      </c>
      <c r="CP226" s="12">
        <f t="shared" si="125"/>
        <v>2.5</v>
      </c>
      <c r="CQ226">
        <v>3.4</v>
      </c>
      <c r="CR226" s="3">
        <f t="shared" si="126"/>
        <v>0.735294117647059</v>
      </c>
    </row>
    <row r="227" spans="2:96">
      <c r="B227" s="1">
        <v>59974</v>
      </c>
      <c r="C227">
        <v>32416</v>
      </c>
      <c r="D227" s="2">
        <f t="shared" si="127"/>
        <v>27558</v>
      </c>
      <c r="E227">
        <v>31904</v>
      </c>
      <c r="F227" s="3">
        <f t="shared" si="96"/>
        <v>0.863778836509529</v>
      </c>
      <c r="H227" s="1">
        <v>59712</v>
      </c>
      <c r="I227">
        <v>31145</v>
      </c>
      <c r="J227" s="2">
        <f t="shared" si="97"/>
        <v>28567</v>
      </c>
      <c r="K227">
        <v>32760</v>
      </c>
      <c r="L227" s="3">
        <f t="shared" si="98"/>
        <v>0.872008547008547</v>
      </c>
      <c r="N227" s="4">
        <v>254.316671379167</v>
      </c>
      <c r="O227">
        <v>201.27</v>
      </c>
      <c r="P227" s="5">
        <f t="shared" si="99"/>
        <v>53.046671379167</v>
      </c>
      <c r="Q227">
        <v>79.69</v>
      </c>
      <c r="R227" s="3">
        <f t="shared" si="100"/>
        <v>0.665662835728033</v>
      </c>
      <c r="T227" s="4">
        <v>181.79999955</v>
      </c>
      <c r="U227">
        <v>100.23</v>
      </c>
      <c r="V227" s="5">
        <f t="shared" si="101"/>
        <v>81.56999955</v>
      </c>
      <c r="W227">
        <v>410.93</v>
      </c>
      <c r="X227" s="3">
        <f t="shared" si="102"/>
        <v>0.198500960139196</v>
      </c>
      <c r="Z227" s="4">
        <v>28.1170833833333</v>
      </c>
      <c r="AA227">
        <v>13.25</v>
      </c>
      <c r="AB227" s="5">
        <f t="shared" si="103"/>
        <v>14.8670833833333</v>
      </c>
      <c r="AC227">
        <v>33.93</v>
      </c>
      <c r="AD227" s="3">
        <f t="shared" si="104"/>
        <v>0.438169271539443</v>
      </c>
      <c r="AF227" s="4">
        <v>4.33</v>
      </c>
      <c r="AG227">
        <v>2.09</v>
      </c>
      <c r="AH227" s="5">
        <f t="shared" si="105"/>
        <v>2.24</v>
      </c>
      <c r="AI227">
        <v>3.85</v>
      </c>
      <c r="AJ227" s="3">
        <f t="shared" si="106"/>
        <v>0.581818181818182</v>
      </c>
      <c r="AL227" s="4">
        <v>7.92</v>
      </c>
      <c r="AM227">
        <v>6.1</v>
      </c>
      <c r="AN227" s="5">
        <f t="shared" si="107"/>
        <v>1.82</v>
      </c>
      <c r="AO227">
        <v>1.89</v>
      </c>
      <c r="AP227" s="3">
        <f t="shared" si="108"/>
        <v>0.962962962962963</v>
      </c>
      <c r="AR227" s="4">
        <v>1.393749975</v>
      </c>
      <c r="AS227">
        <v>0.02</v>
      </c>
      <c r="AT227" s="5">
        <f t="shared" si="109"/>
        <v>1.373749975</v>
      </c>
      <c r="AU227">
        <v>2.84</v>
      </c>
      <c r="AV227" s="3">
        <f t="shared" si="110"/>
        <v>0.483714779929577</v>
      </c>
      <c r="AX227" s="4">
        <v>10.8723333208333</v>
      </c>
      <c r="AY227">
        <v>3.44</v>
      </c>
      <c r="AZ227" s="5">
        <f t="shared" si="111"/>
        <v>7.4323333208333</v>
      </c>
      <c r="BA227">
        <v>29.17</v>
      </c>
      <c r="BB227" s="3">
        <f t="shared" si="112"/>
        <v>0.254793737430007</v>
      </c>
      <c r="BD227" s="4">
        <v>0.343333333333333</v>
      </c>
      <c r="BE227">
        <v>0.17</v>
      </c>
      <c r="BF227" s="5">
        <f t="shared" si="113"/>
        <v>0.173333333333333</v>
      </c>
      <c r="BG227">
        <v>4</v>
      </c>
      <c r="BH227" s="3">
        <f t="shared" si="114"/>
        <v>0.0433333333333332</v>
      </c>
      <c r="BJ227" s="9">
        <v>9.0435833375</v>
      </c>
      <c r="BK227">
        <v>4.8</v>
      </c>
      <c r="BL227" s="5">
        <f t="shared" si="115"/>
        <v>4.2435833375</v>
      </c>
      <c r="BM227">
        <v>8.9</v>
      </c>
      <c r="BN227" s="3">
        <f t="shared" si="116"/>
        <v>0.476807116573034</v>
      </c>
      <c r="BP227" s="9">
        <v>0.369241666666667</v>
      </c>
      <c r="BQ227">
        <v>0.09</v>
      </c>
      <c r="BR227" s="5">
        <f t="shared" si="117"/>
        <v>0.279241666666667</v>
      </c>
      <c r="BS227">
        <v>0.43</v>
      </c>
      <c r="BT227" s="3">
        <f t="shared" si="118"/>
        <v>0.649399224806202</v>
      </c>
      <c r="BV227" s="4">
        <v>6.985941625</v>
      </c>
      <c r="BW227">
        <v>6.18</v>
      </c>
      <c r="BX227" s="5">
        <f t="shared" si="119"/>
        <v>0.805941625</v>
      </c>
      <c r="BY227">
        <v>1.68</v>
      </c>
      <c r="BZ227" s="3">
        <f t="shared" si="120"/>
        <v>0.479727157738095</v>
      </c>
      <c r="CB227" s="10">
        <v>87.5</v>
      </c>
      <c r="CC227">
        <v>54.3</v>
      </c>
      <c r="CD227" s="12">
        <f t="shared" si="121"/>
        <v>33.2</v>
      </c>
      <c r="CE227">
        <v>71.3</v>
      </c>
      <c r="CF227" s="3">
        <f t="shared" si="122"/>
        <v>0.465638148667602</v>
      </c>
      <c r="CH227" s="13">
        <v>30.5</v>
      </c>
      <c r="CI227">
        <v>22.6</v>
      </c>
      <c r="CJ227">
        <f t="shared" si="123"/>
        <v>7.9</v>
      </c>
      <c r="CK227">
        <v>25.1</v>
      </c>
      <c r="CL227">
        <f t="shared" si="124"/>
        <v>0.314741035856574</v>
      </c>
      <c r="CN227" s="10">
        <v>5.3</v>
      </c>
      <c r="CO227">
        <v>3</v>
      </c>
      <c r="CP227" s="12">
        <f t="shared" si="125"/>
        <v>2.3</v>
      </c>
      <c r="CQ227">
        <v>3.4</v>
      </c>
      <c r="CR227" s="3">
        <f t="shared" si="126"/>
        <v>0.676470588235294</v>
      </c>
    </row>
    <row r="228" spans="2:96">
      <c r="B228" s="1">
        <v>53468</v>
      </c>
      <c r="C228">
        <v>32416</v>
      </c>
      <c r="D228" s="2">
        <f t="shared" si="127"/>
        <v>21052</v>
      </c>
      <c r="E228">
        <v>31904</v>
      </c>
      <c r="F228" s="3">
        <f t="shared" si="96"/>
        <v>0.659854563691073</v>
      </c>
      <c r="H228" s="1">
        <v>53199</v>
      </c>
      <c r="I228">
        <v>31145</v>
      </c>
      <c r="J228" s="2">
        <f t="shared" si="97"/>
        <v>22054</v>
      </c>
      <c r="K228">
        <v>32760</v>
      </c>
      <c r="L228" s="3">
        <f t="shared" si="98"/>
        <v>0.673199023199023</v>
      </c>
      <c r="N228" s="4">
        <v>266.046665829167</v>
      </c>
      <c r="O228">
        <v>201.27</v>
      </c>
      <c r="P228" s="5">
        <f t="shared" si="99"/>
        <v>64.776665829167</v>
      </c>
      <c r="Q228">
        <v>79.69</v>
      </c>
      <c r="R228" s="3">
        <f t="shared" si="100"/>
        <v>0.812858148188819</v>
      </c>
      <c r="T228" s="4">
        <v>179.550000829166</v>
      </c>
      <c r="U228">
        <v>100.23</v>
      </c>
      <c r="V228" s="5">
        <f t="shared" si="101"/>
        <v>79.320000829166</v>
      </c>
      <c r="W228">
        <v>410.93</v>
      </c>
      <c r="X228" s="3">
        <f t="shared" si="102"/>
        <v>0.193025578149967</v>
      </c>
      <c r="Z228" s="4">
        <v>29.0458332458333</v>
      </c>
      <c r="AA228">
        <v>13.25</v>
      </c>
      <c r="AB228" s="5">
        <f t="shared" si="103"/>
        <v>15.7958332458333</v>
      </c>
      <c r="AC228">
        <v>33.93</v>
      </c>
      <c r="AD228" s="3">
        <f t="shared" si="104"/>
        <v>0.465541799169859</v>
      </c>
      <c r="AF228" s="4">
        <v>4.74</v>
      </c>
      <c r="AG228">
        <v>2.09</v>
      </c>
      <c r="AH228" s="5">
        <f t="shared" si="105"/>
        <v>2.65</v>
      </c>
      <c r="AI228">
        <v>3.85</v>
      </c>
      <c r="AJ228" s="3">
        <f t="shared" si="106"/>
        <v>0.688311688311688</v>
      </c>
      <c r="AL228" s="4">
        <v>7.79</v>
      </c>
      <c r="AM228">
        <v>6.1</v>
      </c>
      <c r="AN228" s="5">
        <f t="shared" si="107"/>
        <v>1.69</v>
      </c>
      <c r="AO228">
        <v>1.89</v>
      </c>
      <c r="AP228" s="3">
        <f t="shared" si="108"/>
        <v>0.894179894179894</v>
      </c>
      <c r="AR228" s="4">
        <v>1.156666675</v>
      </c>
      <c r="AS228">
        <v>0.02</v>
      </c>
      <c r="AT228" s="5">
        <f t="shared" si="109"/>
        <v>1.136666675</v>
      </c>
      <c r="AU228">
        <v>2.84</v>
      </c>
      <c r="AV228" s="3">
        <f t="shared" si="110"/>
        <v>0.40023474471831</v>
      </c>
      <c r="AX228" s="4">
        <v>10.6261999583333</v>
      </c>
      <c r="AY228">
        <v>3.44</v>
      </c>
      <c r="AZ228" s="5">
        <f t="shared" si="111"/>
        <v>7.1861999583333</v>
      </c>
      <c r="BA228">
        <v>29.17</v>
      </c>
      <c r="BB228" s="3">
        <f t="shared" si="112"/>
        <v>0.246355843617871</v>
      </c>
      <c r="BD228" s="4">
        <v>0.28325</v>
      </c>
      <c r="BE228">
        <v>0.17</v>
      </c>
      <c r="BF228" s="5">
        <f t="shared" si="113"/>
        <v>0.11325</v>
      </c>
      <c r="BG228">
        <v>4</v>
      </c>
      <c r="BH228" s="3">
        <f t="shared" si="114"/>
        <v>0.0283125</v>
      </c>
      <c r="BJ228" s="9">
        <v>9.40666665</v>
      </c>
      <c r="BK228">
        <v>4.8</v>
      </c>
      <c r="BL228" s="5">
        <f t="shared" si="115"/>
        <v>4.60666665</v>
      </c>
      <c r="BM228">
        <v>8.9</v>
      </c>
      <c r="BN228" s="3">
        <f t="shared" si="116"/>
        <v>0.517602994382023</v>
      </c>
      <c r="BP228" s="9">
        <v>0.392591666666667</v>
      </c>
      <c r="BQ228">
        <v>0.09</v>
      </c>
      <c r="BR228" s="5">
        <f t="shared" si="117"/>
        <v>0.302591666666667</v>
      </c>
      <c r="BS228">
        <v>0.43</v>
      </c>
      <c r="BT228" s="3">
        <f t="shared" si="118"/>
        <v>0.703701550387598</v>
      </c>
      <c r="BV228" s="4">
        <v>6.99935839166667</v>
      </c>
      <c r="BW228">
        <v>6.18</v>
      </c>
      <c r="BX228" s="5">
        <f t="shared" si="119"/>
        <v>0.81935839166667</v>
      </c>
      <c r="BY228">
        <v>1.68</v>
      </c>
      <c r="BZ228" s="3">
        <f t="shared" si="120"/>
        <v>0.487713328373018</v>
      </c>
      <c r="CB228" s="10">
        <v>88.4</v>
      </c>
      <c r="CC228">
        <v>54.3</v>
      </c>
      <c r="CD228" s="12">
        <f t="shared" si="121"/>
        <v>34.1</v>
      </c>
      <c r="CE228">
        <v>71.3</v>
      </c>
      <c r="CF228" s="3">
        <f t="shared" si="122"/>
        <v>0.478260869565218</v>
      </c>
      <c r="CH228" s="13">
        <v>32.8</v>
      </c>
      <c r="CI228">
        <v>22.6</v>
      </c>
      <c r="CJ228">
        <f t="shared" si="123"/>
        <v>10.2</v>
      </c>
      <c r="CK228">
        <v>25.1</v>
      </c>
      <c r="CL228">
        <f t="shared" si="124"/>
        <v>0.406374501992032</v>
      </c>
      <c r="CN228" s="11">
        <v>5.9</v>
      </c>
      <c r="CO228">
        <v>3</v>
      </c>
      <c r="CP228" s="12">
        <f t="shared" si="125"/>
        <v>2.9</v>
      </c>
      <c r="CQ228">
        <v>3.4</v>
      </c>
      <c r="CR228" s="3">
        <f t="shared" si="126"/>
        <v>0.852941176470588</v>
      </c>
    </row>
    <row r="229" spans="2:96">
      <c r="B229" s="1">
        <v>54897</v>
      </c>
      <c r="C229">
        <v>32416</v>
      </c>
      <c r="D229" s="2">
        <f t="shared" si="127"/>
        <v>22481</v>
      </c>
      <c r="E229">
        <v>31904</v>
      </c>
      <c r="F229" s="3">
        <f t="shared" si="96"/>
        <v>0.70464518555667</v>
      </c>
      <c r="H229" s="1">
        <v>54743</v>
      </c>
      <c r="I229">
        <v>31145</v>
      </c>
      <c r="J229" s="2">
        <f t="shared" si="97"/>
        <v>23598</v>
      </c>
      <c r="K229">
        <v>32760</v>
      </c>
      <c r="L229" s="3">
        <f t="shared" si="98"/>
        <v>0.72032967032967</v>
      </c>
      <c r="N229" s="4">
        <v>265.593331033333</v>
      </c>
      <c r="O229">
        <v>201.27</v>
      </c>
      <c r="P229" s="5">
        <f t="shared" si="99"/>
        <v>64.323331033333</v>
      </c>
      <c r="Q229">
        <v>79.69</v>
      </c>
      <c r="R229" s="3">
        <f t="shared" si="100"/>
        <v>0.807169419416903</v>
      </c>
      <c r="T229" s="4">
        <v>176.475000066666</v>
      </c>
      <c r="U229">
        <v>100.23</v>
      </c>
      <c r="V229" s="5">
        <f t="shared" si="101"/>
        <v>76.245000066666</v>
      </c>
      <c r="W229">
        <v>410.93</v>
      </c>
      <c r="X229" s="3">
        <f t="shared" si="102"/>
        <v>0.185542549988236</v>
      </c>
      <c r="Z229" s="4">
        <v>27.2770833958333</v>
      </c>
      <c r="AA229">
        <v>13.25</v>
      </c>
      <c r="AB229" s="5">
        <f t="shared" si="103"/>
        <v>14.0270833958333</v>
      </c>
      <c r="AC229">
        <v>33.93</v>
      </c>
      <c r="AD229" s="3">
        <f t="shared" si="104"/>
        <v>0.413412419564789</v>
      </c>
      <c r="AF229" s="4">
        <v>4.12</v>
      </c>
      <c r="AG229">
        <v>2.09</v>
      </c>
      <c r="AH229" s="5">
        <f t="shared" si="105"/>
        <v>2.03</v>
      </c>
      <c r="AI229">
        <v>3.85</v>
      </c>
      <c r="AJ229" s="3">
        <f t="shared" si="106"/>
        <v>0.527272727272727</v>
      </c>
      <c r="AL229" s="4">
        <v>7.92</v>
      </c>
      <c r="AM229">
        <v>6.1</v>
      </c>
      <c r="AN229" s="5">
        <f t="shared" si="107"/>
        <v>1.82</v>
      </c>
      <c r="AO229">
        <v>1.89</v>
      </c>
      <c r="AP229" s="3">
        <f t="shared" si="108"/>
        <v>0.962962962962963</v>
      </c>
      <c r="AR229" s="4">
        <v>0.770208333333333</v>
      </c>
      <c r="AS229">
        <v>0.02</v>
      </c>
      <c r="AT229" s="5">
        <f t="shared" si="109"/>
        <v>0.750208333333333</v>
      </c>
      <c r="AU229">
        <v>2.84</v>
      </c>
      <c r="AV229" s="3">
        <f t="shared" si="110"/>
        <v>0.264157863849765</v>
      </c>
      <c r="AX229" s="4">
        <v>11.5266667666667</v>
      </c>
      <c r="AY229">
        <v>3.44</v>
      </c>
      <c r="AZ229" s="5">
        <f t="shared" si="111"/>
        <v>8.0866667666667</v>
      </c>
      <c r="BA229">
        <v>29.17</v>
      </c>
      <c r="BB229" s="3">
        <f t="shared" si="112"/>
        <v>0.277225463375615</v>
      </c>
      <c r="BD229" s="4">
        <v>0.815916670833333</v>
      </c>
      <c r="BE229">
        <v>0.17</v>
      </c>
      <c r="BF229" s="5">
        <f t="shared" si="113"/>
        <v>0.645916670833333</v>
      </c>
      <c r="BG229">
        <v>4</v>
      </c>
      <c r="BH229" s="3">
        <f t="shared" si="114"/>
        <v>0.161479167708333</v>
      </c>
      <c r="BJ229" s="9">
        <v>9.86549998333333</v>
      </c>
      <c r="BK229">
        <v>4.8</v>
      </c>
      <c r="BL229" s="5">
        <f t="shared" si="115"/>
        <v>5.06549998333333</v>
      </c>
      <c r="BM229">
        <v>8.9</v>
      </c>
      <c r="BN229" s="3">
        <f t="shared" si="116"/>
        <v>0.569157301498127</v>
      </c>
      <c r="BP229" s="9">
        <v>0.382916666666667</v>
      </c>
      <c r="BQ229">
        <v>0.09</v>
      </c>
      <c r="BR229" s="5">
        <f t="shared" si="117"/>
        <v>0.292916666666667</v>
      </c>
      <c r="BS229">
        <v>0.43</v>
      </c>
      <c r="BT229" s="3">
        <f t="shared" si="118"/>
        <v>0.681201550387598</v>
      </c>
      <c r="BV229" s="4">
        <v>7.0487082375</v>
      </c>
      <c r="BW229">
        <v>6.18</v>
      </c>
      <c r="BX229" s="5">
        <f t="shared" si="119"/>
        <v>0.8687082375</v>
      </c>
      <c r="BY229">
        <v>1.68</v>
      </c>
      <c r="BZ229" s="3">
        <f t="shared" si="120"/>
        <v>0.517088236607143</v>
      </c>
      <c r="CB229" s="10">
        <v>86.2</v>
      </c>
      <c r="CC229">
        <v>54.3</v>
      </c>
      <c r="CD229" s="12">
        <f t="shared" si="121"/>
        <v>31.9</v>
      </c>
      <c r="CE229">
        <v>71.3</v>
      </c>
      <c r="CF229" s="3">
        <f t="shared" si="122"/>
        <v>0.447405329593268</v>
      </c>
      <c r="CH229" s="13">
        <v>30.9</v>
      </c>
      <c r="CI229">
        <v>22.6</v>
      </c>
      <c r="CJ229">
        <f t="shared" si="123"/>
        <v>8.3</v>
      </c>
      <c r="CK229">
        <v>25.1</v>
      </c>
      <c r="CL229">
        <f t="shared" si="124"/>
        <v>0.330677290836653</v>
      </c>
      <c r="CN229" s="10">
        <v>5.6</v>
      </c>
      <c r="CO229">
        <v>3</v>
      </c>
      <c r="CP229" s="12">
        <f t="shared" si="125"/>
        <v>2.6</v>
      </c>
      <c r="CQ229">
        <v>3.4</v>
      </c>
      <c r="CR229" s="3">
        <f t="shared" si="126"/>
        <v>0.764705882352941</v>
      </c>
    </row>
    <row r="230" spans="2:96">
      <c r="B230" s="1">
        <v>54365</v>
      </c>
      <c r="C230">
        <v>32416</v>
      </c>
      <c r="D230" s="2">
        <f t="shared" si="127"/>
        <v>21949</v>
      </c>
      <c r="E230">
        <v>31904</v>
      </c>
      <c r="F230" s="3">
        <f t="shared" si="96"/>
        <v>0.687970160481444</v>
      </c>
      <c r="H230" s="1">
        <v>54009</v>
      </c>
      <c r="I230">
        <v>31145</v>
      </c>
      <c r="J230" s="2">
        <f t="shared" si="97"/>
        <v>22864</v>
      </c>
      <c r="K230">
        <v>32760</v>
      </c>
      <c r="L230" s="3">
        <f t="shared" si="98"/>
        <v>0.697924297924298</v>
      </c>
      <c r="N230" s="4">
        <v>263.470001858333</v>
      </c>
      <c r="O230">
        <v>201.27</v>
      </c>
      <c r="P230" s="5">
        <f t="shared" si="99"/>
        <v>62.200001858333</v>
      </c>
      <c r="Q230">
        <v>79.69</v>
      </c>
      <c r="R230" s="3">
        <f t="shared" si="100"/>
        <v>0.78052455588321</v>
      </c>
      <c r="T230" s="4">
        <v>191.083331741666</v>
      </c>
      <c r="U230">
        <v>100.23</v>
      </c>
      <c r="V230" s="5">
        <f t="shared" si="101"/>
        <v>90.853331741666</v>
      </c>
      <c r="W230">
        <v>410.93</v>
      </c>
      <c r="X230" s="3">
        <f t="shared" si="102"/>
        <v>0.221091990708067</v>
      </c>
      <c r="Z230" s="4">
        <v>31.081304447826</v>
      </c>
      <c r="AA230">
        <v>13.25</v>
      </c>
      <c r="AB230" s="5">
        <f t="shared" si="103"/>
        <v>17.831304447826</v>
      </c>
      <c r="AC230">
        <v>33.93</v>
      </c>
      <c r="AD230" s="3">
        <f t="shared" si="104"/>
        <v>0.525532108689243</v>
      </c>
      <c r="AF230" s="4">
        <v>4.19</v>
      </c>
      <c r="AG230">
        <v>2.09</v>
      </c>
      <c r="AH230" s="5">
        <f t="shared" si="105"/>
        <v>2.1</v>
      </c>
      <c r="AI230">
        <v>3.85</v>
      </c>
      <c r="AJ230" s="3">
        <f t="shared" si="106"/>
        <v>0.545454545454546</v>
      </c>
      <c r="AL230" s="4">
        <v>7.96</v>
      </c>
      <c r="AM230">
        <v>6.1</v>
      </c>
      <c r="AN230" s="5">
        <f t="shared" si="107"/>
        <v>1.86</v>
      </c>
      <c r="AO230">
        <v>1.89</v>
      </c>
      <c r="AP230" s="3">
        <f t="shared" si="108"/>
        <v>0.984126984126984</v>
      </c>
      <c r="AR230" s="4">
        <v>0.6725</v>
      </c>
      <c r="AS230">
        <v>0.02</v>
      </c>
      <c r="AT230" s="5">
        <f t="shared" si="109"/>
        <v>0.6525</v>
      </c>
      <c r="AU230">
        <v>2.84</v>
      </c>
      <c r="AV230" s="3">
        <f t="shared" si="110"/>
        <v>0.229753521126761</v>
      </c>
      <c r="AX230" s="4">
        <v>11.7918666583333</v>
      </c>
      <c r="AY230">
        <v>3.44</v>
      </c>
      <c r="AZ230" s="5">
        <f t="shared" si="111"/>
        <v>8.3518666583333</v>
      </c>
      <c r="BA230">
        <v>29.17</v>
      </c>
      <c r="BB230" s="3">
        <f t="shared" si="112"/>
        <v>0.286316992058049</v>
      </c>
      <c r="BD230" s="4">
        <v>0.966333329166667</v>
      </c>
      <c r="BE230">
        <v>0.17</v>
      </c>
      <c r="BF230" s="5">
        <f t="shared" si="113"/>
        <v>0.796333329166667</v>
      </c>
      <c r="BG230">
        <v>4</v>
      </c>
      <c r="BH230" s="3">
        <f t="shared" si="114"/>
        <v>0.199083332291667</v>
      </c>
      <c r="BJ230" s="9">
        <v>10.9124166583333</v>
      </c>
      <c r="BK230">
        <v>4.8</v>
      </c>
      <c r="BL230" s="5">
        <f t="shared" si="115"/>
        <v>6.1124166583333</v>
      </c>
      <c r="BM230">
        <v>8.9</v>
      </c>
      <c r="BN230" s="3">
        <f t="shared" si="116"/>
        <v>0.686788388576775</v>
      </c>
      <c r="BP230" s="9">
        <v>0.393608333333333</v>
      </c>
      <c r="BQ230">
        <v>0.09</v>
      </c>
      <c r="BR230" s="5">
        <f t="shared" si="117"/>
        <v>0.303608333333333</v>
      </c>
      <c r="BS230">
        <v>0.43</v>
      </c>
      <c r="BT230" s="3">
        <f t="shared" si="118"/>
        <v>0.706065891472868</v>
      </c>
      <c r="BV230" s="4">
        <v>7.0534916125</v>
      </c>
      <c r="BW230">
        <v>6.18</v>
      </c>
      <c r="BX230" s="5">
        <f t="shared" si="119"/>
        <v>0.873491612500001</v>
      </c>
      <c r="BY230">
        <v>1.68</v>
      </c>
      <c r="BZ230" s="3">
        <f t="shared" si="120"/>
        <v>0.519935483630953</v>
      </c>
      <c r="CB230" s="10">
        <v>87.5</v>
      </c>
      <c r="CC230">
        <v>54.3</v>
      </c>
      <c r="CD230" s="12">
        <f t="shared" si="121"/>
        <v>33.2</v>
      </c>
      <c r="CE230">
        <v>71.3</v>
      </c>
      <c r="CF230" s="3">
        <f t="shared" si="122"/>
        <v>0.465638148667602</v>
      </c>
      <c r="CH230" s="13">
        <v>32.4</v>
      </c>
      <c r="CI230">
        <v>22.6</v>
      </c>
      <c r="CJ230">
        <f t="shared" si="123"/>
        <v>9.8</v>
      </c>
      <c r="CK230">
        <v>25.1</v>
      </c>
      <c r="CL230">
        <f t="shared" si="124"/>
        <v>0.390438247011952</v>
      </c>
      <c r="CN230" s="10">
        <v>5.1</v>
      </c>
      <c r="CO230">
        <v>3</v>
      </c>
      <c r="CP230" s="12">
        <f t="shared" si="125"/>
        <v>2.1</v>
      </c>
      <c r="CQ230">
        <v>3.4</v>
      </c>
      <c r="CR230" s="3">
        <f t="shared" si="126"/>
        <v>0.617647058823529</v>
      </c>
    </row>
    <row r="231" spans="2:96">
      <c r="B231" s="1">
        <v>57914</v>
      </c>
      <c r="C231">
        <v>32416</v>
      </c>
      <c r="D231" s="2">
        <f t="shared" si="127"/>
        <v>25498</v>
      </c>
      <c r="E231">
        <v>31904</v>
      </c>
      <c r="F231" s="3">
        <f t="shared" si="96"/>
        <v>0.799210130391174</v>
      </c>
      <c r="H231" s="1">
        <v>57749</v>
      </c>
      <c r="I231">
        <v>31145</v>
      </c>
      <c r="J231" s="2">
        <f t="shared" si="97"/>
        <v>26604</v>
      </c>
      <c r="K231">
        <v>32760</v>
      </c>
      <c r="L231" s="3">
        <f t="shared" si="98"/>
        <v>0.812087912087912</v>
      </c>
      <c r="N231" s="4">
        <v>267.256669366667</v>
      </c>
      <c r="O231">
        <v>201.27</v>
      </c>
      <c r="P231" s="5">
        <f t="shared" si="99"/>
        <v>65.986669366667</v>
      </c>
      <c r="Q231">
        <v>79.69</v>
      </c>
      <c r="R231" s="3">
        <f t="shared" si="100"/>
        <v>0.828042029949391</v>
      </c>
      <c r="T231" s="4">
        <v>240.2333316875</v>
      </c>
      <c r="U231">
        <v>100.23</v>
      </c>
      <c r="V231" s="5">
        <f t="shared" si="101"/>
        <v>140.0033316875</v>
      </c>
      <c r="W231">
        <v>410.93</v>
      </c>
      <c r="X231" s="3">
        <f t="shared" si="102"/>
        <v>0.3406987362507</v>
      </c>
      <c r="Z231" s="4">
        <v>34.976249925</v>
      </c>
      <c r="AA231">
        <v>13.25</v>
      </c>
      <c r="AB231" s="5">
        <f t="shared" si="103"/>
        <v>21.726249925</v>
      </c>
      <c r="AC231">
        <v>33.93</v>
      </c>
      <c r="AD231" s="3">
        <f t="shared" si="104"/>
        <v>0.640325668287651</v>
      </c>
      <c r="AF231" s="4">
        <v>4.39</v>
      </c>
      <c r="AG231">
        <v>2.09</v>
      </c>
      <c r="AH231" s="5">
        <f t="shared" si="105"/>
        <v>2.3</v>
      </c>
      <c r="AI231">
        <v>3.85</v>
      </c>
      <c r="AJ231" s="3">
        <f t="shared" si="106"/>
        <v>0.597402597402597</v>
      </c>
      <c r="AL231" s="4">
        <v>7.11404167916667</v>
      </c>
      <c r="AM231">
        <v>6.1</v>
      </c>
      <c r="AN231" s="5">
        <f t="shared" si="107"/>
        <v>1.01404167916667</v>
      </c>
      <c r="AO231">
        <v>1.89</v>
      </c>
      <c r="AP231" s="3">
        <f t="shared" si="108"/>
        <v>0.536529988977074</v>
      </c>
      <c r="AR231" s="4">
        <v>0.780416666666666</v>
      </c>
      <c r="AS231">
        <v>0.02</v>
      </c>
      <c r="AT231" s="5">
        <f t="shared" si="109"/>
        <v>0.760416666666666</v>
      </c>
      <c r="AU231">
        <v>2.84</v>
      </c>
      <c r="AV231" s="3">
        <f t="shared" si="110"/>
        <v>0.26775234741784</v>
      </c>
      <c r="AX231" s="4">
        <v>10.4866666833333</v>
      </c>
      <c r="AY231">
        <v>3.44</v>
      </c>
      <c r="AZ231" s="5">
        <f t="shared" si="111"/>
        <v>7.0466666833333</v>
      </c>
      <c r="BA231">
        <v>29.17</v>
      </c>
      <c r="BB231" s="3">
        <f t="shared" si="112"/>
        <v>0.241572392298022</v>
      </c>
      <c r="BD231" s="4">
        <v>1.07208331666667</v>
      </c>
      <c r="BE231">
        <v>0.17</v>
      </c>
      <c r="BF231" s="5">
        <f t="shared" si="113"/>
        <v>0.90208331666667</v>
      </c>
      <c r="BG231">
        <v>4</v>
      </c>
      <c r="BH231" s="3">
        <f t="shared" si="114"/>
        <v>0.225520829166667</v>
      </c>
      <c r="BJ231" s="9">
        <v>11.2620000041667</v>
      </c>
      <c r="BK231">
        <v>4.8</v>
      </c>
      <c r="BL231" s="5">
        <f t="shared" si="115"/>
        <v>6.4620000041667</v>
      </c>
      <c r="BM231">
        <v>8.9</v>
      </c>
      <c r="BN231" s="3">
        <f t="shared" si="116"/>
        <v>0.726067416198506</v>
      </c>
      <c r="BP231" s="9">
        <v>0.41675</v>
      </c>
      <c r="BQ231">
        <v>0.09</v>
      </c>
      <c r="BR231" s="5">
        <f t="shared" si="117"/>
        <v>0.32675</v>
      </c>
      <c r="BS231">
        <v>0.43</v>
      </c>
      <c r="BT231" s="3">
        <f t="shared" si="118"/>
        <v>0.759883720930232</v>
      </c>
      <c r="BV231" s="4">
        <v>7.00734999166666</v>
      </c>
      <c r="BW231">
        <v>6.18</v>
      </c>
      <c r="BX231" s="5">
        <f t="shared" si="119"/>
        <v>0.827349991666661</v>
      </c>
      <c r="BY231">
        <v>1.68</v>
      </c>
      <c r="BZ231" s="3">
        <f t="shared" si="120"/>
        <v>0.492470233134917</v>
      </c>
      <c r="CB231" s="10">
        <v>84.1</v>
      </c>
      <c r="CC231">
        <v>54.3</v>
      </c>
      <c r="CD231" s="12">
        <f t="shared" si="121"/>
        <v>29.8</v>
      </c>
      <c r="CE231">
        <v>71.3</v>
      </c>
      <c r="CF231" s="3">
        <f t="shared" si="122"/>
        <v>0.417952314165498</v>
      </c>
      <c r="CH231" s="13">
        <v>31.6</v>
      </c>
      <c r="CI231">
        <v>22.6</v>
      </c>
      <c r="CJ231">
        <f t="shared" si="123"/>
        <v>9</v>
      </c>
      <c r="CK231">
        <v>25.1</v>
      </c>
      <c r="CL231">
        <f t="shared" si="124"/>
        <v>0.358565737051793</v>
      </c>
      <c r="CN231" s="10">
        <v>4.9</v>
      </c>
      <c r="CO231">
        <v>3</v>
      </c>
      <c r="CP231" s="12">
        <f t="shared" si="125"/>
        <v>1.9</v>
      </c>
      <c r="CQ231">
        <v>3.4</v>
      </c>
      <c r="CR231" s="3">
        <f t="shared" si="126"/>
        <v>0.558823529411765</v>
      </c>
    </row>
    <row r="232" spans="2:96">
      <c r="B232" s="1">
        <v>57648</v>
      </c>
      <c r="C232">
        <v>32416</v>
      </c>
      <c r="D232" s="2">
        <f t="shared" si="127"/>
        <v>25232</v>
      </c>
      <c r="E232">
        <v>31904</v>
      </c>
      <c r="F232" s="3">
        <f t="shared" si="96"/>
        <v>0.790872617853561</v>
      </c>
      <c r="H232" s="1">
        <v>57402</v>
      </c>
      <c r="I232">
        <v>31145</v>
      </c>
      <c r="J232" s="2">
        <f t="shared" si="97"/>
        <v>26257</v>
      </c>
      <c r="K232">
        <v>32760</v>
      </c>
      <c r="L232" s="3">
        <f t="shared" si="98"/>
        <v>0.801495726495727</v>
      </c>
      <c r="N232" s="4">
        <v>276.343331658333</v>
      </c>
      <c r="O232">
        <v>201.27</v>
      </c>
      <c r="P232" s="5">
        <f t="shared" si="99"/>
        <v>75.073331658333</v>
      </c>
      <c r="Q232">
        <v>79.69</v>
      </c>
      <c r="R232" s="3">
        <f t="shared" si="100"/>
        <v>0.942067155958502</v>
      </c>
      <c r="T232" s="4">
        <v>188.116667754167</v>
      </c>
      <c r="U232">
        <v>100.23</v>
      </c>
      <c r="V232" s="5">
        <f t="shared" si="101"/>
        <v>87.886667754167</v>
      </c>
      <c r="W232">
        <v>410.93</v>
      </c>
      <c r="X232" s="3">
        <f t="shared" si="102"/>
        <v>0.213872600574713</v>
      </c>
      <c r="Z232" s="4">
        <v>32.3287499375</v>
      </c>
      <c r="AA232">
        <v>13.25</v>
      </c>
      <c r="AB232" s="5">
        <f t="shared" si="103"/>
        <v>19.0787499375</v>
      </c>
      <c r="AC232">
        <v>33.93</v>
      </c>
      <c r="AD232" s="3">
        <f t="shared" si="104"/>
        <v>0.562297375110522</v>
      </c>
      <c r="AF232" s="4">
        <v>3.69</v>
      </c>
      <c r="AG232">
        <v>2.09</v>
      </c>
      <c r="AH232" s="5">
        <f t="shared" si="105"/>
        <v>1.6</v>
      </c>
      <c r="AI232">
        <v>3.85</v>
      </c>
      <c r="AJ232" s="3">
        <f t="shared" si="106"/>
        <v>0.415584415584416</v>
      </c>
      <c r="AL232" s="4">
        <v>7.06184342173913</v>
      </c>
      <c r="AM232">
        <v>6.1</v>
      </c>
      <c r="AN232" s="5">
        <f t="shared" si="107"/>
        <v>0.961843421739131</v>
      </c>
      <c r="AO232">
        <v>1.89</v>
      </c>
      <c r="AP232" s="3">
        <f t="shared" si="108"/>
        <v>0.508911863354037</v>
      </c>
      <c r="AR232" s="4">
        <v>0.882916666666666</v>
      </c>
      <c r="AS232">
        <v>0.02</v>
      </c>
      <c r="AT232" s="5">
        <f t="shared" si="109"/>
        <v>0.862916666666666</v>
      </c>
      <c r="AU232">
        <v>2.84</v>
      </c>
      <c r="AV232" s="3">
        <f t="shared" si="110"/>
        <v>0.303843896713615</v>
      </c>
      <c r="AX232" s="4">
        <v>9.41720005416667</v>
      </c>
      <c r="AY232">
        <v>3.44</v>
      </c>
      <c r="AZ232" s="5">
        <f t="shared" si="111"/>
        <v>5.97720005416667</v>
      </c>
      <c r="BA232">
        <v>29.17</v>
      </c>
      <c r="BB232" s="3">
        <f t="shared" si="112"/>
        <v>0.204909155096561</v>
      </c>
      <c r="BD232" s="4">
        <v>0.62625</v>
      </c>
      <c r="BE232">
        <v>0.17</v>
      </c>
      <c r="BF232" s="5">
        <f t="shared" si="113"/>
        <v>0.45625</v>
      </c>
      <c r="BG232">
        <v>4</v>
      </c>
      <c r="BH232" s="3">
        <f t="shared" si="114"/>
        <v>0.1140625</v>
      </c>
      <c r="BJ232" s="9">
        <v>10.2664165708333</v>
      </c>
      <c r="BK232">
        <v>4.8</v>
      </c>
      <c r="BL232" s="5">
        <f t="shared" si="115"/>
        <v>5.4664165708333</v>
      </c>
      <c r="BM232">
        <v>8.9</v>
      </c>
      <c r="BN232" s="3">
        <f t="shared" si="116"/>
        <v>0.614204109082393</v>
      </c>
      <c r="BP232" s="9">
        <v>0.520358333333333</v>
      </c>
      <c r="BQ232">
        <v>0.09</v>
      </c>
      <c r="BR232" s="5">
        <f t="shared" si="117"/>
        <v>0.430358333333333</v>
      </c>
      <c r="BS232">
        <v>0.43</v>
      </c>
      <c r="BT232" s="3">
        <f t="shared" si="118"/>
        <v>1.00083333333333</v>
      </c>
      <c r="BV232" s="4">
        <v>6.97200002916667</v>
      </c>
      <c r="BW232">
        <v>6.18</v>
      </c>
      <c r="BX232" s="5">
        <f t="shared" si="119"/>
        <v>0.792000029166671</v>
      </c>
      <c r="BY232">
        <v>1.68</v>
      </c>
      <c r="BZ232" s="3">
        <f t="shared" si="120"/>
        <v>0.471428588789685</v>
      </c>
      <c r="CB232" s="10">
        <v>85.8</v>
      </c>
      <c r="CC232">
        <v>54.3</v>
      </c>
      <c r="CD232" s="12">
        <f t="shared" si="121"/>
        <v>31.5</v>
      </c>
      <c r="CE232">
        <v>71.3</v>
      </c>
      <c r="CF232" s="3">
        <f t="shared" si="122"/>
        <v>0.44179523141655</v>
      </c>
      <c r="CH232" s="13">
        <v>33.4</v>
      </c>
      <c r="CI232">
        <v>22.6</v>
      </c>
      <c r="CJ232">
        <f t="shared" si="123"/>
        <v>10.8</v>
      </c>
      <c r="CK232">
        <v>25.1</v>
      </c>
      <c r="CL232">
        <f t="shared" si="124"/>
        <v>0.430278884462151</v>
      </c>
      <c r="CN232" s="11">
        <v>4.6</v>
      </c>
      <c r="CO232">
        <v>3</v>
      </c>
      <c r="CP232" s="12">
        <f t="shared" si="125"/>
        <v>1.6</v>
      </c>
      <c r="CQ232">
        <v>3.4</v>
      </c>
      <c r="CR232" s="3">
        <f t="shared" si="126"/>
        <v>0.470588235294118</v>
      </c>
    </row>
    <row r="233" spans="2:96">
      <c r="B233" s="1">
        <v>58674</v>
      </c>
      <c r="C233">
        <v>32416</v>
      </c>
      <c r="D233" s="2">
        <f t="shared" si="127"/>
        <v>26258</v>
      </c>
      <c r="E233">
        <v>31904</v>
      </c>
      <c r="F233" s="3">
        <f t="shared" si="96"/>
        <v>0.823031594784353</v>
      </c>
      <c r="H233" s="1">
        <v>58355</v>
      </c>
      <c r="I233">
        <v>31145</v>
      </c>
      <c r="J233" s="2">
        <f t="shared" si="97"/>
        <v>27210</v>
      </c>
      <c r="K233">
        <v>32760</v>
      </c>
      <c r="L233" s="3">
        <f t="shared" si="98"/>
        <v>0.830586080586081</v>
      </c>
      <c r="N233" s="4">
        <v>275.356667841667</v>
      </c>
      <c r="O233">
        <v>201.27</v>
      </c>
      <c r="P233" s="5">
        <f t="shared" si="99"/>
        <v>74.086667841667</v>
      </c>
      <c r="Q233">
        <v>79.69</v>
      </c>
      <c r="R233" s="3">
        <f t="shared" si="100"/>
        <v>0.929685880808972</v>
      </c>
      <c r="T233" s="4">
        <v>156.595832825</v>
      </c>
      <c r="U233">
        <v>100.23</v>
      </c>
      <c r="V233" s="5">
        <f t="shared" si="101"/>
        <v>56.365832825</v>
      </c>
      <c r="W233">
        <v>410.93</v>
      </c>
      <c r="X233" s="3">
        <f t="shared" si="102"/>
        <v>0.137166507251843</v>
      </c>
      <c r="Z233" s="4">
        <v>24.5512501333333</v>
      </c>
      <c r="AA233">
        <v>13.25</v>
      </c>
      <c r="AB233" s="5">
        <f t="shared" si="103"/>
        <v>11.3012501333333</v>
      </c>
      <c r="AC233">
        <v>33.93</v>
      </c>
      <c r="AD233" s="3">
        <f t="shared" si="104"/>
        <v>0.333075453384418</v>
      </c>
      <c r="AF233" s="17">
        <v>3.182</v>
      </c>
      <c r="AG233">
        <v>2.09</v>
      </c>
      <c r="AH233" s="5">
        <f t="shared" si="105"/>
        <v>1.092</v>
      </c>
      <c r="AI233">
        <v>3.85</v>
      </c>
      <c r="AJ233" s="3">
        <f t="shared" si="106"/>
        <v>0.283636363636364</v>
      </c>
      <c r="AL233" s="4">
        <v>7.11706676666667</v>
      </c>
      <c r="AM233">
        <v>6.1</v>
      </c>
      <c r="AN233" s="5">
        <f t="shared" si="107"/>
        <v>1.01706676666667</v>
      </c>
      <c r="AO233">
        <v>1.89</v>
      </c>
      <c r="AP233" s="3">
        <f t="shared" si="108"/>
        <v>0.5381305643739</v>
      </c>
      <c r="AR233" s="4">
        <v>0.878958333333333</v>
      </c>
      <c r="AS233">
        <v>0.02</v>
      </c>
      <c r="AT233" s="5">
        <f t="shared" si="109"/>
        <v>0.858958333333333</v>
      </c>
      <c r="AU233">
        <v>2.84</v>
      </c>
      <c r="AV233" s="3">
        <f t="shared" si="110"/>
        <v>0.302450117370892</v>
      </c>
      <c r="AX233" s="4">
        <v>9.54113330416667</v>
      </c>
      <c r="AY233">
        <v>3.44</v>
      </c>
      <c r="AZ233" s="5">
        <f t="shared" si="111"/>
        <v>6.10113330416667</v>
      </c>
      <c r="BA233">
        <v>29.17</v>
      </c>
      <c r="BB233" s="3">
        <f t="shared" si="112"/>
        <v>0.209157809536053</v>
      </c>
      <c r="BD233" s="4">
        <v>0.423083341666667</v>
      </c>
      <c r="BE233">
        <v>0.17</v>
      </c>
      <c r="BF233" s="5">
        <f t="shared" si="113"/>
        <v>0.253083341666667</v>
      </c>
      <c r="BG233">
        <v>4</v>
      </c>
      <c r="BH233" s="3">
        <f t="shared" si="114"/>
        <v>0.0632708354166668</v>
      </c>
      <c r="BJ233" s="9">
        <v>6.62116670416667</v>
      </c>
      <c r="BK233">
        <v>4.8</v>
      </c>
      <c r="BL233" s="5">
        <f t="shared" si="115"/>
        <v>1.82116670416667</v>
      </c>
      <c r="BM233">
        <v>8.9</v>
      </c>
      <c r="BN233" s="3">
        <f t="shared" si="116"/>
        <v>0.204625472378278</v>
      </c>
      <c r="BP233" s="9">
        <v>0.3106</v>
      </c>
      <c r="BQ233">
        <v>0.09</v>
      </c>
      <c r="BR233" s="5">
        <f t="shared" si="117"/>
        <v>0.2206</v>
      </c>
      <c r="BS233">
        <v>0.43</v>
      </c>
      <c r="BT233" s="3">
        <f t="shared" si="118"/>
        <v>0.513023255813953</v>
      </c>
      <c r="BV233" s="4">
        <v>7.0314999875</v>
      </c>
      <c r="BW233">
        <v>6.18</v>
      </c>
      <c r="BX233" s="5">
        <f t="shared" si="119"/>
        <v>0.8514999875</v>
      </c>
      <c r="BY233">
        <v>1.68</v>
      </c>
      <c r="BZ233" s="3">
        <f t="shared" si="120"/>
        <v>0.506845230654762</v>
      </c>
      <c r="CB233" s="10">
        <v>89.9</v>
      </c>
      <c r="CC233">
        <v>54.3</v>
      </c>
      <c r="CD233" s="12">
        <f t="shared" si="121"/>
        <v>35.6</v>
      </c>
      <c r="CE233">
        <v>71.3</v>
      </c>
      <c r="CF233" s="3">
        <f t="shared" si="122"/>
        <v>0.49929873772791</v>
      </c>
      <c r="CH233" s="13">
        <v>36.6</v>
      </c>
      <c r="CI233">
        <v>22.6</v>
      </c>
      <c r="CJ233">
        <f t="shared" si="123"/>
        <v>14</v>
      </c>
      <c r="CK233">
        <v>25.1</v>
      </c>
      <c r="CL233">
        <f t="shared" si="124"/>
        <v>0.557768924302789</v>
      </c>
      <c r="CN233" s="10">
        <v>4.7</v>
      </c>
      <c r="CO233">
        <v>3</v>
      </c>
      <c r="CP233" s="12">
        <f t="shared" si="125"/>
        <v>1.7</v>
      </c>
      <c r="CQ233">
        <v>3.4</v>
      </c>
      <c r="CR233" s="3">
        <f t="shared" si="126"/>
        <v>0.5</v>
      </c>
    </row>
    <row r="234" spans="2:96">
      <c r="B234" s="1">
        <v>57164</v>
      </c>
      <c r="C234">
        <v>32416</v>
      </c>
      <c r="D234" s="2">
        <f t="shared" si="127"/>
        <v>24748</v>
      </c>
      <c r="E234">
        <v>31904</v>
      </c>
      <c r="F234" s="3">
        <f t="shared" si="96"/>
        <v>0.775702106318957</v>
      </c>
      <c r="H234" s="1">
        <v>56983</v>
      </c>
      <c r="I234">
        <v>31145</v>
      </c>
      <c r="J234" s="2">
        <f t="shared" si="97"/>
        <v>25838</v>
      </c>
      <c r="K234">
        <v>32760</v>
      </c>
      <c r="L234" s="3">
        <f t="shared" si="98"/>
        <v>0.788705738705739</v>
      </c>
      <c r="N234" s="4">
        <v>267.183335620833</v>
      </c>
      <c r="O234">
        <v>201.27</v>
      </c>
      <c r="P234" s="5">
        <f t="shared" si="99"/>
        <v>65.913335620833</v>
      </c>
      <c r="Q234">
        <v>79.69</v>
      </c>
      <c r="R234" s="3">
        <f t="shared" si="100"/>
        <v>0.827121792205208</v>
      </c>
      <c r="T234" s="4">
        <v>194.291667304166</v>
      </c>
      <c r="U234">
        <v>100.23</v>
      </c>
      <c r="V234" s="5">
        <f t="shared" si="101"/>
        <v>94.061667304166</v>
      </c>
      <c r="W234">
        <v>410.93</v>
      </c>
      <c r="X234" s="3">
        <f t="shared" si="102"/>
        <v>0.228899489704246</v>
      </c>
      <c r="Z234" s="4">
        <v>21.5137503166667</v>
      </c>
      <c r="AA234">
        <v>13.25</v>
      </c>
      <c r="AB234" s="5">
        <f t="shared" si="103"/>
        <v>8.2637503166667</v>
      </c>
      <c r="AC234">
        <v>33.93</v>
      </c>
      <c r="AD234" s="3">
        <f t="shared" si="104"/>
        <v>0.243552912368603</v>
      </c>
      <c r="AF234" s="4">
        <v>4.04</v>
      </c>
      <c r="AG234">
        <v>2.09</v>
      </c>
      <c r="AH234" s="5">
        <f t="shared" si="105"/>
        <v>1.95</v>
      </c>
      <c r="AI234">
        <v>3.85</v>
      </c>
      <c r="AJ234" s="3">
        <f t="shared" si="106"/>
        <v>0.506493506493507</v>
      </c>
      <c r="AL234" s="4">
        <v>7.12754742105263</v>
      </c>
      <c r="AM234">
        <v>6.1</v>
      </c>
      <c r="AN234" s="5">
        <f t="shared" si="107"/>
        <v>1.02754742105263</v>
      </c>
      <c r="AO234">
        <v>1.89</v>
      </c>
      <c r="AP234" s="3">
        <f t="shared" si="108"/>
        <v>0.543675884154831</v>
      </c>
      <c r="AR234" s="4">
        <v>0.770208333333333</v>
      </c>
      <c r="AS234">
        <v>0.02</v>
      </c>
      <c r="AT234" s="5">
        <f t="shared" si="109"/>
        <v>0.750208333333333</v>
      </c>
      <c r="AU234">
        <v>2.84</v>
      </c>
      <c r="AV234" s="3">
        <f t="shared" si="110"/>
        <v>0.264157863849765</v>
      </c>
      <c r="AX234" s="4">
        <v>9.49173314583333</v>
      </c>
      <c r="AY234">
        <v>3.44</v>
      </c>
      <c r="AZ234" s="5">
        <f t="shared" si="111"/>
        <v>6.05173314583333</v>
      </c>
      <c r="BA234">
        <v>29.17</v>
      </c>
      <c r="BB234" s="3">
        <f t="shared" si="112"/>
        <v>0.207464283367615</v>
      </c>
      <c r="BD234" s="4">
        <v>0.218333333333333</v>
      </c>
      <c r="BE234">
        <v>0.17</v>
      </c>
      <c r="BF234" s="5">
        <f t="shared" si="113"/>
        <v>0.048333333333333</v>
      </c>
      <c r="BG234">
        <v>4</v>
      </c>
      <c r="BH234" s="3">
        <f t="shared" si="114"/>
        <v>0.0120833333333332</v>
      </c>
      <c r="BJ234" s="9">
        <v>6.70066666666667</v>
      </c>
      <c r="BK234">
        <v>4.8</v>
      </c>
      <c r="BL234" s="5">
        <f t="shared" si="115"/>
        <v>1.90066666666667</v>
      </c>
      <c r="BM234">
        <v>8.9</v>
      </c>
      <c r="BN234" s="3">
        <f t="shared" si="116"/>
        <v>0.213558052434457</v>
      </c>
      <c r="BP234" s="9">
        <v>0.305416666666667</v>
      </c>
      <c r="BQ234">
        <v>0.09</v>
      </c>
      <c r="BR234" s="5">
        <f t="shared" si="117"/>
        <v>0.215416666666667</v>
      </c>
      <c r="BS234">
        <v>0.43</v>
      </c>
      <c r="BT234" s="3">
        <f t="shared" si="118"/>
        <v>0.500968992248063</v>
      </c>
      <c r="BV234" s="4">
        <v>7.0329583875</v>
      </c>
      <c r="BW234">
        <v>6.18</v>
      </c>
      <c r="BX234" s="5">
        <f t="shared" si="119"/>
        <v>0.8529583875</v>
      </c>
      <c r="BY234">
        <v>1.68</v>
      </c>
      <c r="BZ234" s="3">
        <f t="shared" si="120"/>
        <v>0.507713325892857</v>
      </c>
      <c r="CB234" s="10">
        <v>92.7</v>
      </c>
      <c r="CC234">
        <v>54.3</v>
      </c>
      <c r="CD234" s="12">
        <f t="shared" si="121"/>
        <v>38.4</v>
      </c>
      <c r="CE234">
        <v>71.3</v>
      </c>
      <c r="CF234" s="3">
        <f t="shared" si="122"/>
        <v>0.538569424964937</v>
      </c>
      <c r="CH234" s="13">
        <v>38.9</v>
      </c>
      <c r="CI234">
        <v>22.6</v>
      </c>
      <c r="CJ234">
        <f t="shared" si="123"/>
        <v>16.3</v>
      </c>
      <c r="CK234">
        <v>25.1</v>
      </c>
      <c r="CL234">
        <f t="shared" si="124"/>
        <v>0.649402390438247</v>
      </c>
      <c r="CN234" s="10">
        <v>4.8</v>
      </c>
      <c r="CO234">
        <v>3</v>
      </c>
      <c r="CP234" s="12">
        <f t="shared" si="125"/>
        <v>1.8</v>
      </c>
      <c r="CQ234">
        <v>3.4</v>
      </c>
      <c r="CR234" s="3">
        <f t="shared" si="126"/>
        <v>0.529411764705882</v>
      </c>
    </row>
    <row r="235" spans="2:96">
      <c r="B235" s="1">
        <v>48834</v>
      </c>
      <c r="C235">
        <v>32416</v>
      </c>
      <c r="D235" s="2">
        <f t="shared" si="127"/>
        <v>16418</v>
      </c>
      <c r="E235">
        <v>31904</v>
      </c>
      <c r="F235" s="3">
        <f t="shared" si="96"/>
        <v>0.514606318956871</v>
      </c>
      <c r="H235" s="1">
        <v>48578</v>
      </c>
      <c r="I235">
        <v>31145</v>
      </c>
      <c r="J235" s="2">
        <f t="shared" si="97"/>
        <v>17433</v>
      </c>
      <c r="K235">
        <v>32760</v>
      </c>
      <c r="L235" s="3">
        <f t="shared" si="98"/>
        <v>0.532142857142857</v>
      </c>
      <c r="N235" s="4">
        <v>271.840001429167</v>
      </c>
      <c r="O235">
        <v>201.27</v>
      </c>
      <c r="P235" s="5">
        <f t="shared" si="99"/>
        <v>70.570001429167</v>
      </c>
      <c r="Q235">
        <v>79.69</v>
      </c>
      <c r="R235" s="3">
        <f t="shared" si="100"/>
        <v>0.885556549493876</v>
      </c>
      <c r="T235" s="4">
        <v>188.570834479166</v>
      </c>
      <c r="U235">
        <v>100.23</v>
      </c>
      <c r="V235" s="5">
        <f t="shared" si="101"/>
        <v>88.340834479166</v>
      </c>
      <c r="W235">
        <v>410.93</v>
      </c>
      <c r="X235" s="3">
        <f t="shared" si="102"/>
        <v>0.214977817339123</v>
      </c>
      <c r="Z235" s="4">
        <v>30.9575000583333</v>
      </c>
      <c r="AA235">
        <v>13.25</v>
      </c>
      <c r="AB235" s="5">
        <f t="shared" si="103"/>
        <v>17.7075000583333</v>
      </c>
      <c r="AC235">
        <v>33.93</v>
      </c>
      <c r="AD235" s="3">
        <f t="shared" si="104"/>
        <v>0.521883290843893</v>
      </c>
      <c r="AF235" s="4">
        <v>4.6</v>
      </c>
      <c r="AG235">
        <v>2.09</v>
      </c>
      <c r="AH235" s="5">
        <f t="shared" si="105"/>
        <v>2.51</v>
      </c>
      <c r="AI235">
        <v>3.85</v>
      </c>
      <c r="AJ235" s="3">
        <f t="shared" si="106"/>
        <v>0.651948051948052</v>
      </c>
      <c r="AL235" s="4">
        <v>7.13537991</v>
      </c>
      <c r="AM235">
        <v>6.1</v>
      </c>
      <c r="AN235" s="5">
        <f t="shared" si="107"/>
        <v>1.03537991</v>
      </c>
      <c r="AO235">
        <v>1.89</v>
      </c>
      <c r="AP235" s="3">
        <f t="shared" si="108"/>
        <v>0.547820058201059</v>
      </c>
      <c r="AR235" s="4">
        <v>0.6725</v>
      </c>
      <c r="AS235">
        <v>0.02</v>
      </c>
      <c r="AT235" s="5">
        <f t="shared" si="109"/>
        <v>0.6525</v>
      </c>
      <c r="AU235">
        <v>2.84</v>
      </c>
      <c r="AV235" s="3">
        <f t="shared" si="110"/>
        <v>0.229753521126761</v>
      </c>
      <c r="AX235" s="4">
        <v>10.1599333375</v>
      </c>
      <c r="AY235">
        <v>3.44</v>
      </c>
      <c r="AZ235" s="5">
        <f t="shared" si="111"/>
        <v>6.7199333375</v>
      </c>
      <c r="BA235">
        <v>29.17</v>
      </c>
      <c r="BB235" s="3">
        <f t="shared" si="112"/>
        <v>0.230371386270141</v>
      </c>
      <c r="BD235" s="4">
        <v>0.282916666666667</v>
      </c>
      <c r="BE235">
        <v>0.17</v>
      </c>
      <c r="BF235" s="5">
        <f t="shared" si="113"/>
        <v>0.112916666666667</v>
      </c>
      <c r="BG235">
        <v>4</v>
      </c>
      <c r="BH235" s="3">
        <f t="shared" si="114"/>
        <v>0.0282291666666667</v>
      </c>
      <c r="BJ235" s="9">
        <v>6.90766665833333</v>
      </c>
      <c r="BK235">
        <v>4.8</v>
      </c>
      <c r="BL235" s="5">
        <f t="shared" si="115"/>
        <v>2.10766665833333</v>
      </c>
      <c r="BM235">
        <v>8.9</v>
      </c>
      <c r="BN235" s="3">
        <f t="shared" si="116"/>
        <v>0.236816478464419</v>
      </c>
      <c r="BP235" s="9">
        <v>0.345458333333333</v>
      </c>
      <c r="BQ235">
        <v>0.09</v>
      </c>
      <c r="BR235" s="5">
        <f t="shared" si="117"/>
        <v>0.255458333333333</v>
      </c>
      <c r="BS235">
        <v>0.43</v>
      </c>
      <c r="BT235" s="3">
        <f t="shared" si="118"/>
        <v>0.594089147286821</v>
      </c>
      <c r="BV235" s="4">
        <v>7.056291625</v>
      </c>
      <c r="BW235">
        <v>6.18</v>
      </c>
      <c r="BX235" s="5">
        <f t="shared" si="119"/>
        <v>0.876291625</v>
      </c>
      <c r="BY235">
        <v>1.68</v>
      </c>
      <c r="BZ235" s="3">
        <f t="shared" si="120"/>
        <v>0.521602157738095</v>
      </c>
      <c r="CB235" s="10">
        <v>97.6</v>
      </c>
      <c r="CC235">
        <v>54.3</v>
      </c>
      <c r="CD235" s="12">
        <f t="shared" si="121"/>
        <v>43.3</v>
      </c>
      <c r="CE235">
        <v>71.3</v>
      </c>
      <c r="CF235" s="3">
        <f t="shared" si="122"/>
        <v>0.607293127629734</v>
      </c>
      <c r="CH235" s="13">
        <v>39.7</v>
      </c>
      <c r="CI235">
        <v>22.6</v>
      </c>
      <c r="CJ235">
        <f t="shared" si="123"/>
        <v>17.1</v>
      </c>
      <c r="CK235">
        <v>25.1</v>
      </c>
      <c r="CL235">
        <f t="shared" si="124"/>
        <v>0.681274900398406</v>
      </c>
      <c r="CN235" s="10">
        <v>5.4</v>
      </c>
      <c r="CO235">
        <v>3</v>
      </c>
      <c r="CP235" s="12">
        <f t="shared" si="125"/>
        <v>2.4</v>
      </c>
      <c r="CQ235">
        <v>3.4</v>
      </c>
      <c r="CR235" s="3">
        <f t="shared" si="126"/>
        <v>0.705882352941177</v>
      </c>
    </row>
    <row r="236" spans="2:96">
      <c r="B236" s="1">
        <v>42891</v>
      </c>
      <c r="C236">
        <v>32416</v>
      </c>
      <c r="D236" s="2">
        <f t="shared" si="127"/>
        <v>10475</v>
      </c>
      <c r="E236">
        <v>31904</v>
      </c>
      <c r="F236" s="3">
        <f t="shared" si="96"/>
        <v>0.328328736208626</v>
      </c>
      <c r="H236" s="1">
        <v>42634</v>
      </c>
      <c r="I236">
        <v>31145</v>
      </c>
      <c r="J236" s="2">
        <f t="shared" si="97"/>
        <v>11489</v>
      </c>
      <c r="K236">
        <v>32760</v>
      </c>
      <c r="L236" s="3">
        <f t="shared" si="98"/>
        <v>0.350702075702076</v>
      </c>
      <c r="N236" s="4">
        <v>271.333337145833</v>
      </c>
      <c r="O236">
        <v>201.27</v>
      </c>
      <c r="P236" s="5">
        <f t="shared" si="99"/>
        <v>70.063337145833</v>
      </c>
      <c r="Q236">
        <v>79.69</v>
      </c>
      <c r="R236" s="3">
        <f t="shared" si="100"/>
        <v>0.879198608932526</v>
      </c>
      <c r="T236" s="4">
        <v>197.629167245833</v>
      </c>
      <c r="U236">
        <v>100.23</v>
      </c>
      <c r="V236" s="5">
        <f t="shared" si="101"/>
        <v>97.399167245833</v>
      </c>
      <c r="W236">
        <v>410.93</v>
      </c>
      <c r="X236" s="3">
        <f t="shared" si="102"/>
        <v>0.237021310797053</v>
      </c>
      <c r="Z236" s="4">
        <v>38.6429164458333</v>
      </c>
      <c r="AA236">
        <v>13.25</v>
      </c>
      <c r="AB236" s="5">
        <f t="shared" si="103"/>
        <v>25.3929164458333</v>
      </c>
      <c r="AC236">
        <v>33.93</v>
      </c>
      <c r="AD236" s="3">
        <f t="shared" si="104"/>
        <v>0.74839128929659</v>
      </c>
      <c r="AF236" s="4">
        <v>4.62</v>
      </c>
      <c r="AG236">
        <v>2.09</v>
      </c>
      <c r="AH236" s="5">
        <f t="shared" si="105"/>
        <v>2.53</v>
      </c>
      <c r="AI236">
        <v>3.85</v>
      </c>
      <c r="AJ236" s="3">
        <f t="shared" si="106"/>
        <v>0.657142857142857</v>
      </c>
      <c r="AL236" s="4">
        <v>7.159040035</v>
      </c>
      <c r="AM236">
        <v>6.1</v>
      </c>
      <c r="AN236" s="5">
        <f t="shared" si="107"/>
        <v>1.059040035</v>
      </c>
      <c r="AO236">
        <v>1.89</v>
      </c>
      <c r="AP236" s="3">
        <f t="shared" si="108"/>
        <v>0.560338642857143</v>
      </c>
      <c r="AR236" s="4">
        <v>0.780416666666666</v>
      </c>
      <c r="AS236">
        <v>0.02</v>
      </c>
      <c r="AT236" s="5">
        <f t="shared" si="109"/>
        <v>0.760416666666666</v>
      </c>
      <c r="AU236">
        <v>2.84</v>
      </c>
      <c r="AV236" s="3">
        <f t="shared" si="110"/>
        <v>0.26775234741784</v>
      </c>
      <c r="AX236" s="4">
        <v>10.9910668583333</v>
      </c>
      <c r="AY236">
        <v>3.44</v>
      </c>
      <c r="AZ236" s="5">
        <f t="shared" si="111"/>
        <v>7.5510668583333</v>
      </c>
      <c r="BA236">
        <v>29.17</v>
      </c>
      <c r="BB236" s="3">
        <f t="shared" si="112"/>
        <v>0.258864136384412</v>
      </c>
      <c r="BD236" s="4">
        <v>0.805249983333333</v>
      </c>
      <c r="BE236">
        <v>0.17</v>
      </c>
      <c r="BF236" s="5">
        <f t="shared" si="113"/>
        <v>0.635249983333333</v>
      </c>
      <c r="BG236">
        <v>4</v>
      </c>
      <c r="BH236" s="3">
        <f t="shared" si="114"/>
        <v>0.158812495833333</v>
      </c>
      <c r="BJ236" s="9">
        <v>8.0850833</v>
      </c>
      <c r="BK236">
        <v>4.8</v>
      </c>
      <c r="BL236" s="5">
        <f t="shared" si="115"/>
        <v>3.2850833</v>
      </c>
      <c r="BM236">
        <v>8.9</v>
      </c>
      <c r="BN236" s="3">
        <f t="shared" si="116"/>
        <v>0.369110483146068</v>
      </c>
      <c r="BP236" s="9">
        <v>0.317008333333333</v>
      </c>
      <c r="BQ236">
        <v>0.09</v>
      </c>
      <c r="BR236" s="5">
        <f t="shared" si="117"/>
        <v>0.227008333333333</v>
      </c>
      <c r="BS236">
        <v>0.43</v>
      </c>
      <c r="BT236" s="3">
        <f t="shared" si="118"/>
        <v>0.527926356589147</v>
      </c>
      <c r="BV236" s="4">
        <v>7.02747497916667</v>
      </c>
      <c r="BW236">
        <v>6.18</v>
      </c>
      <c r="BX236" s="5">
        <f t="shared" si="119"/>
        <v>0.84747497916667</v>
      </c>
      <c r="BY236">
        <v>1.68</v>
      </c>
      <c r="BZ236" s="3">
        <f t="shared" si="120"/>
        <v>0.504449392361113</v>
      </c>
      <c r="CB236" s="10">
        <v>104.2</v>
      </c>
      <c r="CC236">
        <v>54.3</v>
      </c>
      <c r="CD236" s="12">
        <f t="shared" si="121"/>
        <v>49.9</v>
      </c>
      <c r="CE236">
        <v>71.3</v>
      </c>
      <c r="CF236" s="3">
        <f t="shared" si="122"/>
        <v>0.699859747545582</v>
      </c>
      <c r="CH236" s="13">
        <v>40.4</v>
      </c>
      <c r="CI236">
        <v>22.6</v>
      </c>
      <c r="CJ236">
        <f t="shared" si="123"/>
        <v>17.8</v>
      </c>
      <c r="CK236">
        <v>25.1</v>
      </c>
      <c r="CL236">
        <f t="shared" si="124"/>
        <v>0.709163346613546</v>
      </c>
      <c r="CN236" s="10">
        <v>5.7</v>
      </c>
      <c r="CO236">
        <v>3</v>
      </c>
      <c r="CP236" s="12">
        <f t="shared" si="125"/>
        <v>2.7</v>
      </c>
      <c r="CQ236">
        <v>3.4</v>
      </c>
      <c r="CR236" s="3">
        <f t="shared" si="126"/>
        <v>0.794117647058824</v>
      </c>
    </row>
    <row r="237" spans="2:96">
      <c r="B237" s="1">
        <v>45561</v>
      </c>
      <c r="C237">
        <v>32416</v>
      </c>
      <c r="D237" s="2">
        <f t="shared" si="127"/>
        <v>13145</v>
      </c>
      <c r="E237">
        <v>31904</v>
      </c>
      <c r="F237" s="3">
        <f t="shared" si="96"/>
        <v>0.412017301905717</v>
      </c>
      <c r="H237" s="1">
        <v>45169</v>
      </c>
      <c r="I237">
        <v>31145</v>
      </c>
      <c r="J237" s="2">
        <f t="shared" si="97"/>
        <v>14024</v>
      </c>
      <c r="K237">
        <v>32760</v>
      </c>
      <c r="L237" s="3">
        <f t="shared" si="98"/>
        <v>0.428083028083028</v>
      </c>
      <c r="N237" s="4">
        <v>269.853332525</v>
      </c>
      <c r="O237">
        <v>201.27</v>
      </c>
      <c r="P237" s="5">
        <f t="shared" si="99"/>
        <v>68.583332525</v>
      </c>
      <c r="Q237">
        <v>79.69</v>
      </c>
      <c r="R237" s="3">
        <f t="shared" si="100"/>
        <v>0.860626584577738</v>
      </c>
      <c r="T237" s="4">
        <v>217.241666320833</v>
      </c>
      <c r="U237">
        <v>100.23</v>
      </c>
      <c r="V237" s="5">
        <f t="shared" si="101"/>
        <v>117.011666320833</v>
      </c>
      <c r="W237">
        <v>410.93</v>
      </c>
      <c r="X237" s="3">
        <f t="shared" si="102"/>
        <v>0.284748415352573</v>
      </c>
      <c r="Z237" s="4">
        <v>39.987499875</v>
      </c>
      <c r="AA237">
        <v>13.25</v>
      </c>
      <c r="AB237" s="5">
        <f t="shared" si="103"/>
        <v>26.737499875</v>
      </c>
      <c r="AC237">
        <v>33.93</v>
      </c>
      <c r="AD237" s="3">
        <f t="shared" si="104"/>
        <v>0.7880194481285</v>
      </c>
      <c r="AF237" s="4">
        <v>3.74</v>
      </c>
      <c r="AG237">
        <v>2.09</v>
      </c>
      <c r="AH237" s="5">
        <f t="shared" si="105"/>
        <v>1.65</v>
      </c>
      <c r="AI237">
        <v>3.85</v>
      </c>
      <c r="AJ237" s="3">
        <f t="shared" si="106"/>
        <v>0.428571428571429</v>
      </c>
      <c r="AL237" s="4">
        <v>7.20619998571429</v>
      </c>
      <c r="AM237">
        <v>6.1</v>
      </c>
      <c r="AN237" s="5">
        <f t="shared" si="107"/>
        <v>1.10619998571429</v>
      </c>
      <c r="AO237">
        <v>1.89</v>
      </c>
      <c r="AP237" s="3">
        <f t="shared" si="108"/>
        <v>0.585290997732429</v>
      </c>
      <c r="AR237" s="4">
        <v>0.882916666666666</v>
      </c>
      <c r="AS237">
        <v>0.02</v>
      </c>
      <c r="AT237" s="5">
        <f t="shared" si="109"/>
        <v>0.862916666666666</v>
      </c>
      <c r="AU237">
        <v>2.84</v>
      </c>
      <c r="AV237" s="3">
        <f t="shared" si="110"/>
        <v>0.303843896713615</v>
      </c>
      <c r="AX237" s="4">
        <v>11.9002000458333</v>
      </c>
      <c r="AY237">
        <v>3.44</v>
      </c>
      <c r="AZ237" s="5">
        <f t="shared" si="111"/>
        <v>8.4602000458333</v>
      </c>
      <c r="BA237">
        <v>29.17</v>
      </c>
      <c r="BB237" s="3">
        <f t="shared" si="112"/>
        <v>0.290030855187977</v>
      </c>
      <c r="BD237" s="4">
        <v>1.02724999583333</v>
      </c>
      <c r="BE237">
        <v>0.17</v>
      </c>
      <c r="BF237" s="5">
        <f t="shared" si="113"/>
        <v>0.85724999583333</v>
      </c>
      <c r="BG237">
        <v>4</v>
      </c>
      <c r="BH237" s="3">
        <f t="shared" si="114"/>
        <v>0.214312498958333</v>
      </c>
      <c r="BJ237" s="9">
        <v>9.12191679583333</v>
      </c>
      <c r="BK237">
        <v>4.8</v>
      </c>
      <c r="BL237" s="5">
        <f t="shared" si="115"/>
        <v>4.32191679583333</v>
      </c>
      <c r="BM237">
        <v>8.9</v>
      </c>
      <c r="BN237" s="3">
        <f t="shared" si="116"/>
        <v>0.485608628745318</v>
      </c>
      <c r="BP237" s="9">
        <v>0.272591666666667</v>
      </c>
      <c r="BQ237">
        <v>0.09</v>
      </c>
      <c r="BR237" s="5">
        <f t="shared" si="117"/>
        <v>0.182591666666667</v>
      </c>
      <c r="BS237">
        <v>0.43</v>
      </c>
      <c r="BT237" s="3">
        <f t="shared" si="118"/>
        <v>0.424631782945737</v>
      </c>
      <c r="BV237" s="4">
        <v>6.40785829583333</v>
      </c>
      <c r="BW237">
        <v>6.18</v>
      </c>
      <c r="BX237" s="5">
        <f t="shared" si="119"/>
        <v>0.227858295833331</v>
      </c>
      <c r="BY237">
        <v>1.68</v>
      </c>
      <c r="BZ237" s="3">
        <f t="shared" si="120"/>
        <v>0.13562993799603</v>
      </c>
      <c r="CB237" s="10">
        <v>103.7</v>
      </c>
      <c r="CC237">
        <v>54.3</v>
      </c>
      <c r="CD237" s="12">
        <f t="shared" si="121"/>
        <v>49.4</v>
      </c>
      <c r="CE237">
        <v>71.3</v>
      </c>
      <c r="CF237" s="3">
        <f t="shared" si="122"/>
        <v>0.692847124824685</v>
      </c>
      <c r="CH237" s="13">
        <v>41.8</v>
      </c>
      <c r="CI237">
        <v>22.6</v>
      </c>
      <c r="CJ237">
        <f t="shared" si="123"/>
        <v>19.2</v>
      </c>
      <c r="CK237">
        <v>25.1</v>
      </c>
      <c r="CL237">
        <f t="shared" si="124"/>
        <v>0.764940239043824</v>
      </c>
      <c r="CN237" s="10">
        <v>5.8</v>
      </c>
      <c r="CO237">
        <v>3</v>
      </c>
      <c r="CP237" s="12">
        <f t="shared" si="125"/>
        <v>2.8</v>
      </c>
      <c r="CQ237">
        <v>3.4</v>
      </c>
      <c r="CR237" s="3">
        <f t="shared" si="126"/>
        <v>0.823529411764706</v>
      </c>
    </row>
    <row r="238" spans="2:96">
      <c r="B238" s="1">
        <v>42654</v>
      </c>
      <c r="C238">
        <v>32416</v>
      </c>
      <c r="D238" s="2">
        <f t="shared" si="127"/>
        <v>10238</v>
      </c>
      <c r="E238">
        <v>31904</v>
      </c>
      <c r="F238" s="3">
        <f t="shared" si="96"/>
        <v>0.320900200601805</v>
      </c>
      <c r="H238" s="1">
        <v>42294</v>
      </c>
      <c r="I238">
        <v>31145</v>
      </c>
      <c r="J238" s="2">
        <f t="shared" si="97"/>
        <v>11149</v>
      </c>
      <c r="K238">
        <v>32760</v>
      </c>
      <c r="L238" s="3">
        <f t="shared" si="98"/>
        <v>0.340323565323565</v>
      </c>
      <c r="N238" s="4">
        <v>257.763338720833</v>
      </c>
      <c r="O238">
        <v>201.27</v>
      </c>
      <c r="P238" s="5">
        <f t="shared" si="99"/>
        <v>56.493338720833</v>
      </c>
      <c r="Q238">
        <v>79.69</v>
      </c>
      <c r="R238" s="3">
        <f t="shared" si="100"/>
        <v>0.708913774888104</v>
      </c>
      <c r="T238" s="4">
        <v>207.716666533333</v>
      </c>
      <c r="U238">
        <v>100.23</v>
      </c>
      <c r="V238" s="5">
        <f t="shared" si="101"/>
        <v>107.486666533333</v>
      </c>
      <c r="W238">
        <v>410.93</v>
      </c>
      <c r="X238" s="3">
        <f t="shared" si="102"/>
        <v>0.261569285604198</v>
      </c>
      <c r="Z238" s="4">
        <v>37.6887497833333</v>
      </c>
      <c r="AA238">
        <v>13.25</v>
      </c>
      <c r="AB238" s="5">
        <f t="shared" si="103"/>
        <v>24.4387497833333</v>
      </c>
      <c r="AC238">
        <v>33.93</v>
      </c>
      <c r="AD238" s="3">
        <f t="shared" si="104"/>
        <v>0.720269666470183</v>
      </c>
      <c r="AF238" s="4">
        <v>4.05</v>
      </c>
      <c r="AG238">
        <v>2.09</v>
      </c>
      <c r="AH238" s="5">
        <f t="shared" si="105"/>
        <v>1.96</v>
      </c>
      <c r="AI238">
        <v>3.85</v>
      </c>
      <c r="AJ238" s="3">
        <f t="shared" si="106"/>
        <v>0.509090909090909</v>
      </c>
      <c r="AL238" s="4">
        <v>7.19653340476191</v>
      </c>
      <c r="AM238">
        <v>6.1</v>
      </c>
      <c r="AN238" s="5">
        <f t="shared" si="107"/>
        <v>1.09653340476191</v>
      </c>
      <c r="AO238">
        <v>1.89</v>
      </c>
      <c r="AP238" s="3">
        <f t="shared" si="108"/>
        <v>0.580176404635931</v>
      </c>
      <c r="AR238" s="4">
        <v>0.878958333333333</v>
      </c>
      <c r="AS238">
        <v>0.02</v>
      </c>
      <c r="AT238" s="5">
        <f t="shared" si="109"/>
        <v>0.858958333333333</v>
      </c>
      <c r="AU238">
        <v>2.84</v>
      </c>
      <c r="AV238" s="3">
        <f t="shared" si="110"/>
        <v>0.302450117370892</v>
      </c>
      <c r="AX238" s="4">
        <v>11.7502667875</v>
      </c>
      <c r="AY238">
        <v>3.44</v>
      </c>
      <c r="AZ238" s="5">
        <f t="shared" si="111"/>
        <v>8.3102667875</v>
      </c>
      <c r="BA238">
        <v>29.17</v>
      </c>
      <c r="BB238" s="3">
        <f t="shared" si="112"/>
        <v>0.284890873757285</v>
      </c>
      <c r="BD238" s="4">
        <v>1.08491665833333</v>
      </c>
      <c r="BE238">
        <v>0.17</v>
      </c>
      <c r="BF238" s="5">
        <f t="shared" si="113"/>
        <v>0.91491665833333</v>
      </c>
      <c r="BG238">
        <v>4</v>
      </c>
      <c r="BH238" s="3">
        <f t="shared" si="114"/>
        <v>0.228729164583333</v>
      </c>
      <c r="BJ238" s="9">
        <v>9.74583322916667</v>
      </c>
      <c r="BK238">
        <v>4.8</v>
      </c>
      <c r="BL238" s="5">
        <f t="shared" si="115"/>
        <v>4.94583322916667</v>
      </c>
      <c r="BM238">
        <v>8.9</v>
      </c>
      <c r="BN238" s="3">
        <f t="shared" si="116"/>
        <v>0.555711598782772</v>
      </c>
      <c r="BP238" s="9">
        <v>0.364008333333333</v>
      </c>
      <c r="BQ238">
        <v>0.09</v>
      </c>
      <c r="BR238" s="5">
        <f t="shared" si="117"/>
        <v>0.274008333333333</v>
      </c>
      <c r="BS238">
        <v>0.43</v>
      </c>
      <c r="BT238" s="3">
        <f t="shared" si="118"/>
        <v>0.637228682170542</v>
      </c>
      <c r="BV238" s="4">
        <v>6.35640842083333</v>
      </c>
      <c r="BW238">
        <v>6.18</v>
      </c>
      <c r="BX238" s="5">
        <f t="shared" si="119"/>
        <v>0.17640842083333</v>
      </c>
      <c r="BY238">
        <v>1.68</v>
      </c>
      <c r="BZ238" s="3">
        <f t="shared" si="120"/>
        <v>0.105005012400792</v>
      </c>
      <c r="CB238" s="10">
        <v>100.5</v>
      </c>
      <c r="CC238">
        <v>54.3</v>
      </c>
      <c r="CD238" s="12">
        <f t="shared" si="121"/>
        <v>46.2</v>
      </c>
      <c r="CE238">
        <v>71.3</v>
      </c>
      <c r="CF238" s="3">
        <f t="shared" si="122"/>
        <v>0.64796633941094</v>
      </c>
      <c r="CH238" s="13">
        <v>42.4</v>
      </c>
      <c r="CI238">
        <v>22.6</v>
      </c>
      <c r="CJ238">
        <f t="shared" si="123"/>
        <v>19.8</v>
      </c>
      <c r="CK238">
        <v>25.1</v>
      </c>
      <c r="CL238">
        <f t="shared" si="124"/>
        <v>0.788844621513944</v>
      </c>
      <c r="CN238" s="10">
        <v>5.2</v>
      </c>
      <c r="CO238">
        <v>3</v>
      </c>
      <c r="CP238" s="12">
        <f t="shared" si="125"/>
        <v>2.2</v>
      </c>
      <c r="CQ238">
        <v>3.4</v>
      </c>
      <c r="CR238" s="3">
        <f t="shared" si="126"/>
        <v>0.647058823529412</v>
      </c>
    </row>
    <row r="239" spans="2:96">
      <c r="B239" s="1">
        <v>46570</v>
      </c>
      <c r="C239">
        <v>32416</v>
      </c>
      <c r="D239" s="2">
        <f t="shared" si="127"/>
        <v>14154</v>
      </c>
      <c r="E239">
        <v>31904</v>
      </c>
      <c r="F239" s="3">
        <f t="shared" si="96"/>
        <v>0.443643430290873</v>
      </c>
      <c r="H239" s="1">
        <v>46380</v>
      </c>
      <c r="I239">
        <v>31145</v>
      </c>
      <c r="J239" s="2">
        <f t="shared" si="97"/>
        <v>15235</v>
      </c>
      <c r="K239">
        <v>32760</v>
      </c>
      <c r="L239" s="3">
        <f t="shared" si="98"/>
        <v>0.46504884004884</v>
      </c>
      <c r="N239" s="4">
        <v>269.8699995625</v>
      </c>
      <c r="O239">
        <v>201.27</v>
      </c>
      <c r="P239" s="5">
        <f t="shared" si="99"/>
        <v>68.5999995625</v>
      </c>
      <c r="Q239">
        <v>79.69</v>
      </c>
      <c r="R239" s="3">
        <f t="shared" si="100"/>
        <v>0.860835732996612</v>
      </c>
      <c r="T239" s="4">
        <v>212.845831870833</v>
      </c>
      <c r="U239">
        <v>100.23</v>
      </c>
      <c r="V239" s="5">
        <f t="shared" si="101"/>
        <v>112.615831870833</v>
      </c>
      <c r="W239">
        <v>410.93</v>
      </c>
      <c r="X239" s="3">
        <f t="shared" si="102"/>
        <v>0.274051132482012</v>
      </c>
      <c r="Z239" s="4">
        <v>36.3424999208333</v>
      </c>
      <c r="AA239">
        <v>13.25</v>
      </c>
      <c r="AB239" s="5">
        <f t="shared" si="103"/>
        <v>23.0924999208333</v>
      </c>
      <c r="AC239">
        <v>33.93</v>
      </c>
      <c r="AD239" s="3">
        <f t="shared" si="104"/>
        <v>0.680592393776401</v>
      </c>
      <c r="AF239" s="4">
        <v>3.6</v>
      </c>
      <c r="AG239">
        <v>2.09</v>
      </c>
      <c r="AH239" s="5">
        <f t="shared" si="105"/>
        <v>1.51</v>
      </c>
      <c r="AI239">
        <v>3.85</v>
      </c>
      <c r="AJ239" s="3">
        <f t="shared" si="106"/>
        <v>0.392207792207792</v>
      </c>
      <c r="AL239" s="4">
        <v>7.21095447272727</v>
      </c>
      <c r="AM239">
        <v>6.1</v>
      </c>
      <c r="AN239" s="5">
        <f t="shared" si="107"/>
        <v>1.11095447272727</v>
      </c>
      <c r="AO239">
        <v>1.89</v>
      </c>
      <c r="AP239" s="3">
        <f t="shared" si="108"/>
        <v>0.587806599326598</v>
      </c>
      <c r="AR239" s="4">
        <v>0.788541666666666</v>
      </c>
      <c r="AS239">
        <v>0.02</v>
      </c>
      <c r="AT239" s="5">
        <f t="shared" si="109"/>
        <v>0.768541666666666</v>
      </c>
      <c r="AU239">
        <v>2.84</v>
      </c>
      <c r="AV239" s="3">
        <f t="shared" si="110"/>
        <v>0.270613262910798</v>
      </c>
      <c r="AX239" s="4">
        <v>12.6836667458333</v>
      </c>
      <c r="AY239">
        <v>3.44</v>
      </c>
      <c r="AZ239" s="5">
        <f t="shared" si="111"/>
        <v>9.2436667458333</v>
      </c>
      <c r="BA239">
        <v>29.17</v>
      </c>
      <c r="BB239" s="3">
        <f t="shared" si="112"/>
        <v>0.316889501057021</v>
      </c>
      <c r="BD239" s="4">
        <v>1.22449997916667</v>
      </c>
      <c r="BE239">
        <v>0.17</v>
      </c>
      <c r="BF239" s="5">
        <f t="shared" si="113"/>
        <v>1.05449997916667</v>
      </c>
      <c r="BG239">
        <v>4</v>
      </c>
      <c r="BH239" s="3">
        <f t="shared" si="114"/>
        <v>0.263624994791668</v>
      </c>
      <c r="BJ239" s="4">
        <v>11.1675832708333</v>
      </c>
      <c r="BK239">
        <v>4.8</v>
      </c>
      <c r="BL239" s="5">
        <f t="shared" si="115"/>
        <v>6.3675832708333</v>
      </c>
      <c r="BM239">
        <v>8.9</v>
      </c>
      <c r="BN239" s="3">
        <f t="shared" si="116"/>
        <v>0.715458794475652</v>
      </c>
      <c r="BP239" s="4">
        <v>0.361841666666667</v>
      </c>
      <c r="BQ239">
        <v>0.09</v>
      </c>
      <c r="BR239" s="5">
        <f t="shared" si="117"/>
        <v>0.271841666666667</v>
      </c>
      <c r="BS239">
        <v>0.43</v>
      </c>
      <c r="BT239" s="3">
        <f t="shared" si="118"/>
        <v>0.632189922480621</v>
      </c>
      <c r="BV239" s="4">
        <v>6.33890835833333</v>
      </c>
      <c r="BW239">
        <v>6.18</v>
      </c>
      <c r="BX239" s="5">
        <f t="shared" si="119"/>
        <v>0.15890835833333</v>
      </c>
      <c r="BY239">
        <v>1.68</v>
      </c>
      <c r="BZ239" s="3">
        <f t="shared" si="120"/>
        <v>0.0945883085317443</v>
      </c>
      <c r="CB239" s="10">
        <v>102.4</v>
      </c>
      <c r="CC239">
        <v>54.3</v>
      </c>
      <c r="CD239" s="12">
        <f t="shared" si="121"/>
        <v>48.1</v>
      </c>
      <c r="CE239">
        <v>71.3</v>
      </c>
      <c r="CF239" s="3">
        <f t="shared" si="122"/>
        <v>0.674614305750351</v>
      </c>
      <c r="CH239" s="13">
        <v>43.5</v>
      </c>
      <c r="CI239">
        <v>22.6</v>
      </c>
      <c r="CJ239">
        <f t="shared" si="123"/>
        <v>20.9</v>
      </c>
      <c r="CK239">
        <v>25.1</v>
      </c>
      <c r="CL239">
        <f t="shared" si="124"/>
        <v>0.832669322709163</v>
      </c>
      <c r="CN239" s="10">
        <v>5.5</v>
      </c>
      <c r="CO239">
        <v>3</v>
      </c>
      <c r="CP239" s="12">
        <f t="shared" si="125"/>
        <v>2.5</v>
      </c>
      <c r="CQ239">
        <v>3.4</v>
      </c>
      <c r="CR239" s="3">
        <f t="shared" si="126"/>
        <v>0.735294117647059</v>
      </c>
    </row>
    <row r="240" spans="2:96">
      <c r="B240" s="1">
        <v>47365</v>
      </c>
      <c r="C240">
        <v>32416</v>
      </c>
      <c r="D240" s="2">
        <f t="shared" si="127"/>
        <v>14949</v>
      </c>
      <c r="E240">
        <v>31904</v>
      </c>
      <c r="F240" s="3">
        <f t="shared" si="96"/>
        <v>0.468561935807422</v>
      </c>
      <c r="H240" s="1">
        <v>47132</v>
      </c>
      <c r="I240">
        <v>31145</v>
      </c>
      <c r="J240" s="2">
        <f t="shared" si="97"/>
        <v>15987</v>
      </c>
      <c r="K240">
        <v>32760</v>
      </c>
      <c r="L240" s="3">
        <f t="shared" si="98"/>
        <v>0.488003663003663</v>
      </c>
      <c r="N240" s="4">
        <v>251.650002166667</v>
      </c>
      <c r="O240">
        <v>201.27</v>
      </c>
      <c r="P240" s="5">
        <f t="shared" si="99"/>
        <v>50.380002166667</v>
      </c>
      <c r="Q240">
        <v>79.69</v>
      </c>
      <c r="R240" s="3">
        <f t="shared" si="100"/>
        <v>0.632199801313427</v>
      </c>
      <c r="T240" s="4">
        <v>157.037500220833</v>
      </c>
      <c r="U240">
        <v>100.23</v>
      </c>
      <c r="V240" s="5">
        <f t="shared" si="101"/>
        <v>56.807500220833</v>
      </c>
      <c r="W240">
        <v>410.93</v>
      </c>
      <c r="X240" s="3">
        <f t="shared" si="102"/>
        <v>0.138241306842608</v>
      </c>
      <c r="Z240" s="4">
        <v>38.8037505083333</v>
      </c>
      <c r="AA240">
        <v>13.25</v>
      </c>
      <c r="AB240" s="5">
        <f t="shared" si="103"/>
        <v>25.5537505083333</v>
      </c>
      <c r="AC240">
        <v>33.93</v>
      </c>
      <c r="AD240" s="3">
        <f t="shared" si="104"/>
        <v>0.753131462078789</v>
      </c>
      <c r="AF240" s="4">
        <v>3.74</v>
      </c>
      <c r="AG240">
        <v>2.09</v>
      </c>
      <c r="AH240" s="5">
        <f t="shared" si="105"/>
        <v>1.65</v>
      </c>
      <c r="AI240">
        <v>3.85</v>
      </c>
      <c r="AJ240" s="3">
        <f t="shared" si="106"/>
        <v>0.428571428571429</v>
      </c>
      <c r="AL240" s="4">
        <v>7.19386664285714</v>
      </c>
      <c r="AM240">
        <v>6.1</v>
      </c>
      <c r="AN240" s="5">
        <f t="shared" si="107"/>
        <v>1.09386664285714</v>
      </c>
      <c r="AO240">
        <v>1.89</v>
      </c>
      <c r="AP240" s="3">
        <f t="shared" si="108"/>
        <v>0.578765419501132</v>
      </c>
      <c r="AR240" s="4">
        <v>1.07458333333333</v>
      </c>
      <c r="AS240">
        <v>0.02</v>
      </c>
      <c r="AT240" s="5">
        <f t="shared" si="109"/>
        <v>1.05458333333333</v>
      </c>
      <c r="AU240">
        <v>2.84</v>
      </c>
      <c r="AV240" s="3">
        <f t="shared" si="110"/>
        <v>0.371332159624412</v>
      </c>
      <c r="AX240" s="4">
        <v>13.363999925</v>
      </c>
      <c r="AY240">
        <v>3.44</v>
      </c>
      <c r="AZ240" s="5">
        <f t="shared" si="111"/>
        <v>9.923999925</v>
      </c>
      <c r="BA240">
        <v>29.17</v>
      </c>
      <c r="BB240" s="3">
        <f t="shared" si="112"/>
        <v>0.340212544566335</v>
      </c>
      <c r="BD240" s="4">
        <v>1.70325001666667</v>
      </c>
      <c r="BE240">
        <v>0.17</v>
      </c>
      <c r="BF240" s="5">
        <f t="shared" si="113"/>
        <v>1.53325001666667</v>
      </c>
      <c r="BG240">
        <v>4</v>
      </c>
      <c r="BH240" s="3">
        <f t="shared" si="114"/>
        <v>0.383312504166668</v>
      </c>
      <c r="BJ240" s="4">
        <v>11.5053333375</v>
      </c>
      <c r="BK240">
        <v>4.8</v>
      </c>
      <c r="BL240" s="5">
        <f t="shared" si="115"/>
        <v>6.7053333375</v>
      </c>
      <c r="BM240">
        <v>8.9</v>
      </c>
      <c r="BN240" s="3">
        <f t="shared" si="116"/>
        <v>0.753408240168539</v>
      </c>
      <c r="BP240" s="4">
        <v>0.365583333333333</v>
      </c>
      <c r="BQ240">
        <v>0.09</v>
      </c>
      <c r="BR240" s="5">
        <f t="shared" si="117"/>
        <v>0.275583333333333</v>
      </c>
      <c r="BS240">
        <v>0.43</v>
      </c>
      <c r="BT240" s="3">
        <f t="shared" si="118"/>
        <v>0.640891472868216</v>
      </c>
      <c r="BV240" s="4">
        <v>6.94850430434783</v>
      </c>
      <c r="BW240">
        <v>6.18</v>
      </c>
      <c r="BX240" s="5">
        <f t="shared" si="119"/>
        <v>0.768504304347831</v>
      </c>
      <c r="BY240">
        <v>1.68</v>
      </c>
      <c r="BZ240" s="3">
        <f t="shared" si="120"/>
        <v>0.45744303830228</v>
      </c>
      <c r="CB240" s="10">
        <v>89.6</v>
      </c>
      <c r="CC240">
        <v>54.3</v>
      </c>
      <c r="CD240" s="12">
        <f t="shared" si="121"/>
        <v>35.3</v>
      </c>
      <c r="CE240">
        <v>71.3</v>
      </c>
      <c r="CF240" s="3">
        <f t="shared" si="122"/>
        <v>0.495091164095372</v>
      </c>
      <c r="CH240" s="13">
        <v>39.8</v>
      </c>
      <c r="CI240">
        <v>22.6</v>
      </c>
      <c r="CJ240">
        <f t="shared" si="123"/>
        <v>17.2</v>
      </c>
      <c r="CK240">
        <v>25.1</v>
      </c>
      <c r="CL240">
        <f t="shared" si="124"/>
        <v>0.685258964143426</v>
      </c>
      <c r="CN240" s="11">
        <v>5.9</v>
      </c>
      <c r="CO240">
        <v>3</v>
      </c>
      <c r="CP240" s="12">
        <f t="shared" si="125"/>
        <v>2.9</v>
      </c>
      <c r="CQ240">
        <v>3.4</v>
      </c>
      <c r="CR240" s="3">
        <f t="shared" si="126"/>
        <v>0.852941176470588</v>
      </c>
    </row>
    <row r="241" spans="2:96">
      <c r="B241" s="1">
        <v>44915</v>
      </c>
      <c r="C241">
        <v>32416</v>
      </c>
      <c r="D241" s="2">
        <f t="shared" si="127"/>
        <v>12499</v>
      </c>
      <c r="E241">
        <v>31904</v>
      </c>
      <c r="F241" s="3">
        <f t="shared" si="96"/>
        <v>0.391769057171515</v>
      </c>
      <c r="H241" s="1">
        <v>44773</v>
      </c>
      <c r="I241">
        <v>31145</v>
      </c>
      <c r="J241" s="2">
        <f t="shared" si="97"/>
        <v>13628</v>
      </c>
      <c r="K241">
        <v>32760</v>
      </c>
      <c r="L241" s="3">
        <f t="shared" si="98"/>
        <v>0.415995115995116</v>
      </c>
      <c r="N241" s="4">
        <v>250.456668220833</v>
      </c>
      <c r="O241">
        <v>201.27</v>
      </c>
      <c r="P241" s="5">
        <f t="shared" si="99"/>
        <v>49.186668220833</v>
      </c>
      <c r="Q241">
        <v>79.69</v>
      </c>
      <c r="R241" s="3">
        <f t="shared" si="100"/>
        <v>0.617225100023001</v>
      </c>
      <c r="T241" s="4">
        <v>161.3416657375</v>
      </c>
      <c r="U241">
        <v>100.23</v>
      </c>
      <c r="V241" s="5">
        <f t="shared" si="101"/>
        <v>61.1116657375</v>
      </c>
      <c r="W241">
        <v>410.93</v>
      </c>
      <c r="X241" s="3">
        <f t="shared" si="102"/>
        <v>0.148715512952328</v>
      </c>
      <c r="Z241" s="4">
        <v>40.6550002</v>
      </c>
      <c r="AA241">
        <v>13.25</v>
      </c>
      <c r="AB241" s="5">
        <f t="shared" si="103"/>
        <v>27.4050002</v>
      </c>
      <c r="AC241">
        <v>33.93</v>
      </c>
      <c r="AD241" s="3">
        <f t="shared" si="104"/>
        <v>0.807692313586796</v>
      </c>
      <c r="AF241" s="4">
        <v>4.16</v>
      </c>
      <c r="AG241">
        <v>2.09</v>
      </c>
      <c r="AH241" s="5">
        <f t="shared" si="105"/>
        <v>2.07</v>
      </c>
      <c r="AI241">
        <v>3.85</v>
      </c>
      <c r="AJ241" s="3">
        <f t="shared" si="106"/>
        <v>0.537662337662338</v>
      </c>
      <c r="AL241" s="4">
        <v>7.17715822916667</v>
      </c>
      <c r="AM241">
        <v>6.1</v>
      </c>
      <c r="AN241" s="5">
        <f t="shared" si="107"/>
        <v>1.07715822916667</v>
      </c>
      <c r="AO241">
        <v>1.89</v>
      </c>
      <c r="AP241" s="3">
        <f t="shared" si="108"/>
        <v>0.569924988977074</v>
      </c>
      <c r="AR241" s="4">
        <v>0.885208333333333</v>
      </c>
      <c r="AS241">
        <v>0.02</v>
      </c>
      <c r="AT241" s="5">
        <f t="shared" si="109"/>
        <v>0.865208333333333</v>
      </c>
      <c r="AU241">
        <v>2.84</v>
      </c>
      <c r="AV241" s="3">
        <f t="shared" si="110"/>
        <v>0.304650821596244</v>
      </c>
      <c r="AX241" s="4">
        <v>12.9922001</v>
      </c>
      <c r="AY241">
        <v>3.44</v>
      </c>
      <c r="AZ241" s="5">
        <f t="shared" si="111"/>
        <v>9.5522001</v>
      </c>
      <c r="BA241">
        <v>29.17</v>
      </c>
      <c r="BB241" s="3">
        <f t="shared" si="112"/>
        <v>0.327466578676723</v>
      </c>
      <c r="BD241" s="4">
        <v>1.95708334583333</v>
      </c>
      <c r="BE241">
        <v>0.17</v>
      </c>
      <c r="BF241" s="5">
        <f t="shared" si="113"/>
        <v>1.78708334583333</v>
      </c>
      <c r="BG241">
        <v>4</v>
      </c>
      <c r="BH241" s="3">
        <f t="shared" si="114"/>
        <v>0.446770836458333</v>
      </c>
      <c r="BJ241" s="4">
        <v>12.2632500333333</v>
      </c>
      <c r="BK241">
        <v>4.8</v>
      </c>
      <c r="BL241" s="5">
        <f t="shared" si="115"/>
        <v>7.4632500333333</v>
      </c>
      <c r="BM241">
        <v>8.9</v>
      </c>
      <c r="BN241" s="3">
        <f t="shared" si="116"/>
        <v>0.838567419475652</v>
      </c>
      <c r="BP241" s="4">
        <v>0.364925</v>
      </c>
      <c r="BQ241">
        <v>0.09</v>
      </c>
      <c r="BR241" s="5">
        <f t="shared" si="117"/>
        <v>0.274925</v>
      </c>
      <c r="BS241">
        <v>0.43</v>
      </c>
      <c r="BT241" s="3">
        <f t="shared" si="118"/>
        <v>0.639360465116279</v>
      </c>
      <c r="BV241" s="4">
        <v>6.90516845263158</v>
      </c>
      <c r="BW241">
        <v>6.18</v>
      </c>
      <c r="BX241" s="5">
        <f t="shared" si="119"/>
        <v>0.72516845263158</v>
      </c>
      <c r="BY241">
        <v>1.68</v>
      </c>
      <c r="BZ241" s="3">
        <f t="shared" si="120"/>
        <v>0.431647888471179</v>
      </c>
      <c r="CB241" s="10">
        <v>83.4</v>
      </c>
      <c r="CC241">
        <v>54.3</v>
      </c>
      <c r="CD241" s="12">
        <f t="shared" si="121"/>
        <v>29.1</v>
      </c>
      <c r="CE241">
        <v>71.3</v>
      </c>
      <c r="CF241" s="3">
        <f t="shared" si="122"/>
        <v>0.408134642356241</v>
      </c>
      <c r="CH241" s="13">
        <v>40.2</v>
      </c>
      <c r="CI241">
        <v>22.6</v>
      </c>
      <c r="CJ241">
        <f t="shared" si="123"/>
        <v>17.6</v>
      </c>
      <c r="CK241">
        <v>25.1</v>
      </c>
      <c r="CL241">
        <f t="shared" si="124"/>
        <v>0.701195219123506</v>
      </c>
      <c r="CN241" s="10">
        <v>6.1</v>
      </c>
      <c r="CO241">
        <v>3</v>
      </c>
      <c r="CP241" s="12">
        <f t="shared" si="125"/>
        <v>3.1</v>
      </c>
      <c r="CQ241">
        <v>3.4</v>
      </c>
      <c r="CR241" s="3">
        <f t="shared" si="126"/>
        <v>0.911764705882353</v>
      </c>
    </row>
    <row r="242" spans="2:96">
      <c r="B242" s="1">
        <v>38918</v>
      </c>
      <c r="C242">
        <v>32416</v>
      </c>
      <c r="D242" s="2">
        <f t="shared" si="127"/>
        <v>6502</v>
      </c>
      <c r="E242">
        <v>31904</v>
      </c>
      <c r="F242" s="3">
        <f t="shared" si="96"/>
        <v>0.20379889669007</v>
      </c>
      <c r="H242" s="1">
        <v>38718</v>
      </c>
      <c r="I242">
        <v>31145</v>
      </c>
      <c r="J242" s="2">
        <f t="shared" si="97"/>
        <v>7573</v>
      </c>
      <c r="K242">
        <v>32760</v>
      </c>
      <c r="L242" s="3">
        <f t="shared" si="98"/>
        <v>0.231166056166056</v>
      </c>
      <c r="N242" s="4">
        <v>253.383335741667</v>
      </c>
      <c r="O242">
        <v>201.27</v>
      </c>
      <c r="P242" s="5">
        <f t="shared" si="99"/>
        <v>52.113335741667</v>
      </c>
      <c r="Q242">
        <v>79.69</v>
      </c>
      <c r="R242" s="3">
        <f t="shared" si="100"/>
        <v>0.653950755950144</v>
      </c>
      <c r="T242" s="4">
        <v>146.624999845833</v>
      </c>
      <c r="U242">
        <v>100.23</v>
      </c>
      <c r="V242" s="5">
        <f t="shared" si="101"/>
        <v>46.394999845833</v>
      </c>
      <c r="W242">
        <v>410.93</v>
      </c>
      <c r="X242" s="3">
        <f t="shared" si="102"/>
        <v>0.112902440429837</v>
      </c>
      <c r="Z242" s="4">
        <v>29.3562499708333</v>
      </c>
      <c r="AA242">
        <v>13.25</v>
      </c>
      <c r="AB242" s="5">
        <f t="shared" si="103"/>
        <v>16.1062499708333</v>
      </c>
      <c r="AC242">
        <v>33.93</v>
      </c>
      <c r="AD242" s="3">
        <f t="shared" si="104"/>
        <v>0.474690538486098</v>
      </c>
      <c r="AF242" s="4">
        <v>3.76</v>
      </c>
      <c r="AG242">
        <v>2.09</v>
      </c>
      <c r="AH242" s="5">
        <f t="shared" si="105"/>
        <v>1.67</v>
      </c>
      <c r="AI242">
        <v>3.85</v>
      </c>
      <c r="AJ242" s="3">
        <f t="shared" si="106"/>
        <v>0.433766233766234</v>
      </c>
      <c r="AL242" s="4">
        <v>7.16345005</v>
      </c>
      <c r="AM242">
        <v>6.1</v>
      </c>
      <c r="AN242" s="5">
        <f t="shared" si="107"/>
        <v>1.06345005</v>
      </c>
      <c r="AO242">
        <v>1.89</v>
      </c>
      <c r="AP242" s="3">
        <f t="shared" si="108"/>
        <v>0.562671984126984</v>
      </c>
      <c r="AR242" s="4">
        <v>0.784166666666666</v>
      </c>
      <c r="AS242">
        <v>0.02</v>
      </c>
      <c r="AT242" s="5">
        <f t="shared" si="109"/>
        <v>0.764166666666666</v>
      </c>
      <c r="AU242">
        <v>2.84</v>
      </c>
      <c r="AV242" s="3">
        <f t="shared" si="110"/>
        <v>0.269072769953051</v>
      </c>
      <c r="AX242" s="4">
        <v>12.6906000083333</v>
      </c>
      <c r="AY242">
        <v>3.44</v>
      </c>
      <c r="AZ242" s="5">
        <f t="shared" si="111"/>
        <v>9.2506000083333</v>
      </c>
      <c r="BA242">
        <v>29.17</v>
      </c>
      <c r="BB242" s="3">
        <f t="shared" si="112"/>
        <v>0.317127185750199</v>
      </c>
      <c r="BD242" s="4">
        <v>1.80275001666667</v>
      </c>
      <c r="BE242">
        <v>0.17</v>
      </c>
      <c r="BF242" s="5">
        <f t="shared" si="113"/>
        <v>1.63275001666667</v>
      </c>
      <c r="BG242">
        <v>4</v>
      </c>
      <c r="BH242" s="3">
        <f t="shared" si="114"/>
        <v>0.408187504166667</v>
      </c>
      <c r="BJ242" s="4">
        <v>11.2648333291667</v>
      </c>
      <c r="BK242">
        <v>4.8</v>
      </c>
      <c r="BL242" s="5">
        <f t="shared" si="115"/>
        <v>6.4648333291667</v>
      </c>
      <c r="BM242">
        <v>8.9</v>
      </c>
      <c r="BN242" s="3">
        <f t="shared" si="116"/>
        <v>0.726385767322101</v>
      </c>
      <c r="BP242" s="4">
        <v>0.326208333333333</v>
      </c>
      <c r="BQ242">
        <v>0.09</v>
      </c>
      <c r="BR242" s="5">
        <f t="shared" si="117"/>
        <v>0.236208333333333</v>
      </c>
      <c r="BS242">
        <v>0.43</v>
      </c>
      <c r="BT242" s="3">
        <f t="shared" si="118"/>
        <v>0.549321705426356</v>
      </c>
      <c r="BV242" s="4">
        <v>6.89556002</v>
      </c>
      <c r="BW242">
        <v>6.18</v>
      </c>
      <c r="BX242" s="5">
        <f t="shared" si="119"/>
        <v>0.71556002</v>
      </c>
      <c r="BY242">
        <v>1.68</v>
      </c>
      <c r="BZ242" s="3">
        <f t="shared" si="120"/>
        <v>0.425928583333333</v>
      </c>
      <c r="CB242" s="10">
        <v>74.5</v>
      </c>
      <c r="CC242">
        <v>54.3</v>
      </c>
      <c r="CD242" s="12">
        <f t="shared" si="121"/>
        <v>20.2</v>
      </c>
      <c r="CE242">
        <v>71.3</v>
      </c>
      <c r="CF242" s="3">
        <f t="shared" si="122"/>
        <v>0.283309957924264</v>
      </c>
      <c r="CH242" s="13">
        <v>42.5</v>
      </c>
      <c r="CI242">
        <v>22.6</v>
      </c>
      <c r="CJ242">
        <f t="shared" si="123"/>
        <v>19.9</v>
      </c>
      <c r="CK242">
        <v>25.1</v>
      </c>
      <c r="CL242">
        <f t="shared" si="124"/>
        <v>0.792828685258964</v>
      </c>
      <c r="CN242" s="10">
        <v>6.3</v>
      </c>
      <c r="CO242">
        <v>3</v>
      </c>
      <c r="CP242" s="12">
        <f t="shared" si="125"/>
        <v>3.3</v>
      </c>
      <c r="CQ242">
        <v>3.4</v>
      </c>
      <c r="CR242" s="3">
        <f t="shared" si="126"/>
        <v>0.970588235294118</v>
      </c>
    </row>
    <row r="243" spans="2:96">
      <c r="B243" s="1">
        <v>41653</v>
      </c>
      <c r="C243">
        <v>32416</v>
      </c>
      <c r="D243" s="2">
        <f t="shared" si="127"/>
        <v>9237</v>
      </c>
      <c r="E243">
        <v>31904</v>
      </c>
      <c r="F243" s="3">
        <f t="shared" si="96"/>
        <v>0.28952482447342</v>
      </c>
      <c r="H243" s="1">
        <v>41142</v>
      </c>
      <c r="I243">
        <v>31145</v>
      </c>
      <c r="J243" s="2">
        <f t="shared" si="97"/>
        <v>9997</v>
      </c>
      <c r="K243">
        <v>32760</v>
      </c>
      <c r="L243" s="3">
        <f t="shared" si="98"/>
        <v>0.30515873015873</v>
      </c>
      <c r="N243" s="4">
        <v>255.00999895</v>
      </c>
      <c r="O243">
        <v>201.27</v>
      </c>
      <c r="P243" s="5">
        <f t="shared" si="99"/>
        <v>53.73999895</v>
      </c>
      <c r="Q243">
        <v>79.69</v>
      </c>
      <c r="R243" s="3">
        <f t="shared" si="100"/>
        <v>0.674363144058226</v>
      </c>
      <c r="T243" s="4">
        <v>156.7375003375</v>
      </c>
      <c r="U243">
        <v>100.23</v>
      </c>
      <c r="V243" s="5">
        <f t="shared" si="101"/>
        <v>56.5075003375</v>
      </c>
      <c r="W243">
        <v>410.93</v>
      </c>
      <c r="X243" s="3">
        <f t="shared" si="102"/>
        <v>0.137511255779573</v>
      </c>
      <c r="Z243" s="4">
        <v>36.9887498291667</v>
      </c>
      <c r="AA243">
        <v>13.25</v>
      </c>
      <c r="AB243" s="5">
        <f t="shared" si="103"/>
        <v>23.7387498291667</v>
      </c>
      <c r="AC243">
        <v>33.93</v>
      </c>
      <c r="AD243" s="3">
        <f t="shared" si="104"/>
        <v>0.699638957535122</v>
      </c>
      <c r="AF243" s="4">
        <v>4.33</v>
      </c>
      <c r="AG243">
        <v>2.09</v>
      </c>
      <c r="AH243" s="5">
        <f t="shared" si="105"/>
        <v>2.24</v>
      </c>
      <c r="AI243">
        <v>3.85</v>
      </c>
      <c r="AJ243" s="3">
        <f t="shared" si="106"/>
        <v>0.581818181818182</v>
      </c>
      <c r="AL243" s="4">
        <v>7.14297494166667</v>
      </c>
      <c r="AM243">
        <v>6.1</v>
      </c>
      <c r="AN243" s="5">
        <f t="shared" si="107"/>
        <v>1.04297494166667</v>
      </c>
      <c r="AO243">
        <v>1.89</v>
      </c>
      <c r="AP243" s="3">
        <f t="shared" si="108"/>
        <v>0.551838593474429</v>
      </c>
      <c r="AR243" s="4">
        <v>1.08770833333333</v>
      </c>
      <c r="AS243">
        <v>0.02</v>
      </c>
      <c r="AT243" s="5">
        <f t="shared" si="109"/>
        <v>1.06770833333333</v>
      </c>
      <c r="AU243">
        <v>2.84</v>
      </c>
      <c r="AV243" s="3">
        <f t="shared" si="110"/>
        <v>0.375953638497651</v>
      </c>
      <c r="AX243" s="4">
        <v>13.0597999</v>
      </c>
      <c r="AY243">
        <v>3.44</v>
      </c>
      <c r="AZ243" s="5">
        <f t="shared" si="111"/>
        <v>9.6197999</v>
      </c>
      <c r="BA243">
        <v>29.17</v>
      </c>
      <c r="BB243" s="3">
        <f t="shared" si="112"/>
        <v>0.329784021254714</v>
      </c>
      <c r="BD243" s="4">
        <v>1.23458332083333</v>
      </c>
      <c r="BE243">
        <v>0.17</v>
      </c>
      <c r="BF243" s="5">
        <f t="shared" si="113"/>
        <v>1.06458332083333</v>
      </c>
      <c r="BG243">
        <v>4</v>
      </c>
      <c r="BH243" s="3">
        <f t="shared" si="114"/>
        <v>0.266145830208332</v>
      </c>
      <c r="BJ243" s="4">
        <v>10.2483332666667</v>
      </c>
      <c r="BK243">
        <v>4.8</v>
      </c>
      <c r="BL243" s="5">
        <f t="shared" si="115"/>
        <v>5.4483332666667</v>
      </c>
      <c r="BM243">
        <v>8.9</v>
      </c>
      <c r="BN243" s="3">
        <f t="shared" si="116"/>
        <v>0.612172277153562</v>
      </c>
      <c r="BP243" s="4">
        <v>0.237775</v>
      </c>
      <c r="BQ243">
        <v>0.09</v>
      </c>
      <c r="BR243" s="5">
        <f t="shared" si="117"/>
        <v>0.147775</v>
      </c>
      <c r="BS243">
        <v>0.43</v>
      </c>
      <c r="BT243" s="3">
        <f t="shared" si="118"/>
        <v>0.343662790697674</v>
      </c>
      <c r="BV243" s="4">
        <v>6.97386662916667</v>
      </c>
      <c r="BW243">
        <v>6.18</v>
      </c>
      <c r="BX243" s="5">
        <f t="shared" si="119"/>
        <v>0.79386662916667</v>
      </c>
      <c r="BY243">
        <v>1.68</v>
      </c>
      <c r="BZ243" s="3">
        <f t="shared" si="120"/>
        <v>0.472539660218256</v>
      </c>
      <c r="CB243" s="11">
        <v>79.6</v>
      </c>
      <c r="CC243">
        <v>54.3</v>
      </c>
      <c r="CD243" s="12">
        <f t="shared" si="121"/>
        <v>25.3</v>
      </c>
      <c r="CE243">
        <v>71.3</v>
      </c>
      <c r="CF243" s="3">
        <f t="shared" si="122"/>
        <v>0.354838709677419</v>
      </c>
      <c r="CH243" s="13">
        <v>40.5</v>
      </c>
      <c r="CI243">
        <v>22.6</v>
      </c>
      <c r="CJ243">
        <f t="shared" si="123"/>
        <v>17.9</v>
      </c>
      <c r="CK243">
        <v>25.1</v>
      </c>
      <c r="CL243">
        <f t="shared" si="124"/>
        <v>0.713147410358566</v>
      </c>
      <c r="CN243" s="13">
        <v>6.4</v>
      </c>
      <c r="CO243">
        <v>3</v>
      </c>
      <c r="CP243" s="12">
        <f t="shared" si="125"/>
        <v>3.4</v>
      </c>
      <c r="CQ243">
        <v>3.4</v>
      </c>
      <c r="CR243" s="3">
        <f t="shared" si="126"/>
        <v>1</v>
      </c>
    </row>
    <row r="244" spans="2:96">
      <c r="B244" s="1">
        <v>44028</v>
      </c>
      <c r="C244">
        <v>32416</v>
      </c>
      <c r="D244" s="2">
        <f t="shared" si="127"/>
        <v>11612</v>
      </c>
      <c r="E244">
        <v>31904</v>
      </c>
      <c r="F244" s="3">
        <f t="shared" si="96"/>
        <v>0.363966900702106</v>
      </c>
      <c r="H244" s="1">
        <v>43879</v>
      </c>
      <c r="I244">
        <v>31145</v>
      </c>
      <c r="J244" s="2">
        <f t="shared" si="97"/>
        <v>12734</v>
      </c>
      <c r="K244">
        <v>32760</v>
      </c>
      <c r="L244" s="3">
        <f t="shared" si="98"/>
        <v>0.388705738705739</v>
      </c>
      <c r="N244" s="4">
        <v>257.283334720833</v>
      </c>
      <c r="O244">
        <v>201.27</v>
      </c>
      <c r="P244" s="5">
        <f t="shared" si="99"/>
        <v>56.013334720833</v>
      </c>
      <c r="Q244">
        <v>79.69</v>
      </c>
      <c r="R244" s="3">
        <f t="shared" si="100"/>
        <v>0.702890384249379</v>
      </c>
      <c r="T244" s="4">
        <v>180.187500479166</v>
      </c>
      <c r="U244">
        <v>100.23</v>
      </c>
      <c r="V244" s="5">
        <f t="shared" si="101"/>
        <v>79.957500479166</v>
      </c>
      <c r="W244">
        <v>410.93</v>
      </c>
      <c r="X244" s="3">
        <f t="shared" si="102"/>
        <v>0.194576936410498</v>
      </c>
      <c r="Z244" s="4">
        <v>39.2600005541667</v>
      </c>
      <c r="AA244">
        <v>13.25</v>
      </c>
      <c r="AB244" s="5">
        <f t="shared" si="103"/>
        <v>26.0100005541667</v>
      </c>
      <c r="AC244">
        <v>33.93</v>
      </c>
      <c r="AD244" s="3">
        <f t="shared" si="104"/>
        <v>0.766578265669517</v>
      </c>
      <c r="AF244" s="18">
        <v>3.24</v>
      </c>
      <c r="AG244">
        <v>2.09</v>
      </c>
      <c r="AH244" s="5">
        <f t="shared" si="105"/>
        <v>1.15</v>
      </c>
      <c r="AI244">
        <v>3.85</v>
      </c>
      <c r="AJ244" s="3">
        <f t="shared" si="106"/>
        <v>0.298701298701299</v>
      </c>
      <c r="AL244" s="4">
        <v>7.1333500375</v>
      </c>
      <c r="AM244">
        <v>6.1</v>
      </c>
      <c r="AN244" s="5">
        <f t="shared" si="107"/>
        <v>1.0333500375</v>
      </c>
      <c r="AO244">
        <v>1.89</v>
      </c>
      <c r="AP244" s="3">
        <f t="shared" si="108"/>
        <v>0.546746051587302</v>
      </c>
      <c r="AR244" s="4">
        <v>1.091875</v>
      </c>
      <c r="AS244">
        <v>0.02</v>
      </c>
      <c r="AT244" s="5">
        <f t="shared" si="109"/>
        <v>1.071875</v>
      </c>
      <c r="AU244">
        <v>2.84</v>
      </c>
      <c r="AV244" s="3">
        <f t="shared" si="110"/>
        <v>0.377420774647887</v>
      </c>
      <c r="AX244" s="4">
        <v>13.7591999708333</v>
      </c>
      <c r="AY244">
        <v>3.44</v>
      </c>
      <c r="AZ244" s="5">
        <f t="shared" si="111"/>
        <v>10.3191999708333</v>
      </c>
      <c r="BA244">
        <v>29.17</v>
      </c>
      <c r="BB244" s="3">
        <f t="shared" si="112"/>
        <v>0.353760712061478</v>
      </c>
      <c r="BD244" s="4">
        <v>1.1490000125</v>
      </c>
      <c r="BE244">
        <v>0.17</v>
      </c>
      <c r="BF244" s="5">
        <f t="shared" si="113"/>
        <v>0.9790000125</v>
      </c>
      <c r="BG244">
        <v>4</v>
      </c>
      <c r="BH244" s="3">
        <f t="shared" si="114"/>
        <v>0.244750003125</v>
      </c>
      <c r="BJ244" s="4">
        <v>10.6024167083333</v>
      </c>
      <c r="BK244">
        <v>4.8</v>
      </c>
      <c r="BL244" s="5">
        <f t="shared" si="115"/>
        <v>5.8024167083333</v>
      </c>
      <c r="BM244">
        <v>8.9</v>
      </c>
      <c r="BN244" s="3">
        <f t="shared" si="116"/>
        <v>0.651956933520595</v>
      </c>
      <c r="BP244" s="4">
        <v>0.231333333333333</v>
      </c>
      <c r="BQ244">
        <v>0.09</v>
      </c>
      <c r="BR244" s="5">
        <f t="shared" si="117"/>
        <v>0.141333333333333</v>
      </c>
      <c r="BS244">
        <v>0.43</v>
      </c>
      <c r="BT244" s="3">
        <f t="shared" si="118"/>
        <v>0.328682170542635</v>
      </c>
      <c r="BV244" s="4">
        <v>6.94009165</v>
      </c>
      <c r="BW244">
        <v>6.18</v>
      </c>
      <c r="BX244" s="5">
        <f t="shared" si="119"/>
        <v>0.760091650000001</v>
      </c>
      <c r="BY244">
        <v>1.68</v>
      </c>
      <c r="BZ244" s="3">
        <f t="shared" si="120"/>
        <v>0.452435505952381</v>
      </c>
      <c r="CB244" s="11">
        <v>78.3</v>
      </c>
      <c r="CC244">
        <v>54.3</v>
      </c>
      <c r="CD244" s="12">
        <f t="shared" si="121"/>
        <v>24</v>
      </c>
      <c r="CE244">
        <v>71.3</v>
      </c>
      <c r="CF244" s="3">
        <f t="shared" si="122"/>
        <v>0.336605890603086</v>
      </c>
      <c r="CH244" s="13">
        <v>39.2</v>
      </c>
      <c r="CI244">
        <v>22.6</v>
      </c>
      <c r="CJ244">
        <f t="shared" si="123"/>
        <v>16.6</v>
      </c>
      <c r="CK244">
        <v>25.1</v>
      </c>
      <c r="CL244">
        <f t="shared" si="124"/>
        <v>0.661354581673307</v>
      </c>
      <c r="CN244" s="13">
        <v>6.1</v>
      </c>
      <c r="CO244">
        <v>3</v>
      </c>
      <c r="CP244" s="12">
        <f t="shared" si="125"/>
        <v>3.1</v>
      </c>
      <c r="CQ244">
        <v>3.4</v>
      </c>
      <c r="CR244" s="3">
        <f t="shared" si="126"/>
        <v>0.911764705882353</v>
      </c>
    </row>
    <row r="245" spans="2:96">
      <c r="B245" s="1">
        <v>45846</v>
      </c>
      <c r="C245">
        <v>32416</v>
      </c>
      <c r="D245" s="2">
        <f t="shared" si="127"/>
        <v>13430</v>
      </c>
      <c r="E245">
        <v>31904</v>
      </c>
      <c r="F245" s="3">
        <f t="shared" si="96"/>
        <v>0.420950351053159</v>
      </c>
      <c r="H245" s="1">
        <v>44779</v>
      </c>
      <c r="I245">
        <v>31145</v>
      </c>
      <c r="J245" s="2">
        <f t="shared" si="97"/>
        <v>13634</v>
      </c>
      <c r="K245">
        <v>32760</v>
      </c>
      <c r="L245" s="3">
        <f t="shared" si="98"/>
        <v>0.416178266178266</v>
      </c>
      <c r="N245" s="4">
        <v>254.7533346875</v>
      </c>
      <c r="O245">
        <v>201.27</v>
      </c>
      <c r="P245" s="5">
        <f t="shared" si="99"/>
        <v>53.4833346875</v>
      </c>
      <c r="Q245">
        <v>79.69</v>
      </c>
      <c r="R245" s="3">
        <f t="shared" si="100"/>
        <v>0.671142360239679</v>
      </c>
      <c r="T245" s="4">
        <v>172.512500120833</v>
      </c>
      <c r="U245">
        <v>100.23</v>
      </c>
      <c r="V245" s="5">
        <f t="shared" si="101"/>
        <v>72.282500120833</v>
      </c>
      <c r="W245">
        <v>410.93</v>
      </c>
      <c r="X245" s="3">
        <f t="shared" si="102"/>
        <v>0.175899788579157</v>
      </c>
      <c r="Z245" s="4">
        <v>29.8800000291667</v>
      </c>
      <c r="AA245">
        <v>13.25</v>
      </c>
      <c r="AB245" s="5">
        <f t="shared" si="103"/>
        <v>16.6300000291667</v>
      </c>
      <c r="AC245">
        <v>33.93</v>
      </c>
      <c r="AD245" s="3">
        <f t="shared" si="104"/>
        <v>0.490126732365656</v>
      </c>
      <c r="AF245" s="4">
        <v>3.63</v>
      </c>
      <c r="AG245">
        <v>2.09</v>
      </c>
      <c r="AH245" s="5">
        <f t="shared" si="105"/>
        <v>1.54</v>
      </c>
      <c r="AI245">
        <v>3.85</v>
      </c>
      <c r="AJ245" s="3">
        <f t="shared" si="106"/>
        <v>0.4</v>
      </c>
      <c r="AL245" s="4">
        <v>7.493141675</v>
      </c>
      <c r="AM245">
        <v>6.1</v>
      </c>
      <c r="AN245" s="5">
        <f t="shared" si="107"/>
        <v>1.393141675</v>
      </c>
      <c r="AO245">
        <v>1.89</v>
      </c>
      <c r="AP245" s="3">
        <f t="shared" si="108"/>
        <v>0.737111997354498</v>
      </c>
      <c r="AR245" s="4">
        <v>2.7564583375</v>
      </c>
      <c r="AS245">
        <v>0.02</v>
      </c>
      <c r="AT245" s="5">
        <f t="shared" si="109"/>
        <v>2.7364583375</v>
      </c>
      <c r="AU245">
        <v>2.84</v>
      </c>
      <c r="AV245" s="3">
        <f t="shared" si="110"/>
        <v>0.963541668133803</v>
      </c>
      <c r="AX245" s="4">
        <v>14.5634667875</v>
      </c>
      <c r="AY245">
        <v>3.44</v>
      </c>
      <c r="AZ245" s="5">
        <f t="shared" si="111"/>
        <v>11.1234667875</v>
      </c>
      <c r="BA245">
        <v>29.17</v>
      </c>
      <c r="BB245" s="3">
        <f t="shared" si="112"/>
        <v>0.381332423294481</v>
      </c>
      <c r="BD245" s="4">
        <v>2.00433332083333</v>
      </c>
      <c r="BE245">
        <v>0.17</v>
      </c>
      <c r="BF245" s="5">
        <f t="shared" si="113"/>
        <v>1.83433332083333</v>
      </c>
      <c r="BG245">
        <v>4</v>
      </c>
      <c r="BH245" s="3">
        <f t="shared" si="114"/>
        <v>0.458583330208333</v>
      </c>
      <c r="BJ245" s="9">
        <v>11.4238332875</v>
      </c>
      <c r="BK245">
        <v>4.8</v>
      </c>
      <c r="BL245" s="5">
        <f t="shared" si="115"/>
        <v>6.6238332875</v>
      </c>
      <c r="BM245">
        <v>8.9</v>
      </c>
      <c r="BN245" s="3">
        <f t="shared" si="116"/>
        <v>0.744250931179775</v>
      </c>
      <c r="BP245" s="9">
        <v>0.249308333333333</v>
      </c>
      <c r="BQ245">
        <v>0.09</v>
      </c>
      <c r="BR245" s="5">
        <f t="shared" si="117"/>
        <v>0.159308333333333</v>
      </c>
      <c r="BS245">
        <v>0.43</v>
      </c>
      <c r="BT245" s="3">
        <f t="shared" si="118"/>
        <v>0.37048449612403</v>
      </c>
      <c r="BV245" s="4">
        <v>6.94236663333333</v>
      </c>
      <c r="BW245">
        <v>6.18</v>
      </c>
      <c r="BX245" s="5">
        <f t="shared" si="119"/>
        <v>0.76236663333333</v>
      </c>
      <c r="BY245">
        <v>1.68</v>
      </c>
      <c r="BZ245" s="3">
        <f t="shared" si="120"/>
        <v>0.453789662698411</v>
      </c>
      <c r="CB245" s="10">
        <v>77.4</v>
      </c>
      <c r="CC245">
        <v>54.3</v>
      </c>
      <c r="CD245" s="12">
        <f t="shared" si="121"/>
        <v>23.1</v>
      </c>
      <c r="CE245">
        <v>71.3</v>
      </c>
      <c r="CF245" s="3">
        <f t="shared" si="122"/>
        <v>0.32398316970547</v>
      </c>
      <c r="CH245" s="13">
        <v>37.6</v>
      </c>
      <c r="CI245">
        <v>22.6</v>
      </c>
      <c r="CJ245">
        <f t="shared" si="123"/>
        <v>15</v>
      </c>
      <c r="CK245">
        <v>25.1</v>
      </c>
      <c r="CL245">
        <f t="shared" si="124"/>
        <v>0.597609561752988</v>
      </c>
      <c r="CN245" s="11">
        <v>5.6</v>
      </c>
      <c r="CO245">
        <v>3</v>
      </c>
      <c r="CP245" s="12">
        <f t="shared" si="125"/>
        <v>2.6</v>
      </c>
      <c r="CQ245">
        <v>3.4</v>
      </c>
      <c r="CR245" s="3">
        <f t="shared" si="126"/>
        <v>0.764705882352941</v>
      </c>
    </row>
    <row r="246" spans="2:96">
      <c r="B246" s="1">
        <v>40223</v>
      </c>
      <c r="C246">
        <v>32416</v>
      </c>
      <c r="D246" s="2">
        <f t="shared" si="127"/>
        <v>7807</v>
      </c>
      <c r="E246">
        <v>31904</v>
      </c>
      <c r="F246" s="3">
        <f t="shared" si="96"/>
        <v>0.244702858575727</v>
      </c>
      <c r="H246" s="1">
        <v>40133</v>
      </c>
      <c r="I246">
        <v>31145</v>
      </c>
      <c r="J246" s="2">
        <f t="shared" si="97"/>
        <v>8988</v>
      </c>
      <c r="K246">
        <v>32760</v>
      </c>
      <c r="L246" s="3">
        <f t="shared" si="98"/>
        <v>0.274358974358974</v>
      </c>
      <c r="N246" s="4">
        <v>257.9500039375</v>
      </c>
      <c r="O246">
        <v>201.27</v>
      </c>
      <c r="P246" s="5">
        <f t="shared" si="99"/>
        <v>56.6800039375</v>
      </c>
      <c r="Q246">
        <v>79.69</v>
      </c>
      <c r="R246" s="3">
        <f t="shared" si="100"/>
        <v>0.711256166865353</v>
      </c>
      <c r="T246" s="4">
        <v>183.0958326625</v>
      </c>
      <c r="U246">
        <v>100.23</v>
      </c>
      <c r="V246" s="5">
        <f t="shared" si="101"/>
        <v>82.8658326625</v>
      </c>
      <c r="W246">
        <v>410.93</v>
      </c>
      <c r="X246" s="3">
        <f t="shared" si="102"/>
        <v>0.201654375836517</v>
      </c>
      <c r="Z246" s="4">
        <v>27.2312502541667</v>
      </c>
      <c r="AA246">
        <v>13.25</v>
      </c>
      <c r="AB246" s="5">
        <f t="shared" si="103"/>
        <v>13.9812502541667</v>
      </c>
      <c r="AC246">
        <v>33.93</v>
      </c>
      <c r="AD246" s="3">
        <f t="shared" si="104"/>
        <v>0.412061604897339</v>
      </c>
      <c r="AF246" s="4">
        <v>3.61</v>
      </c>
      <c r="AG246">
        <v>2.09</v>
      </c>
      <c r="AH246" s="5">
        <f t="shared" si="105"/>
        <v>1.52</v>
      </c>
      <c r="AI246">
        <v>3.85</v>
      </c>
      <c r="AJ246" s="3">
        <f t="shared" si="106"/>
        <v>0.394805194805195</v>
      </c>
      <c r="AL246" s="4">
        <v>7.4383052368421</v>
      </c>
      <c r="AM246">
        <v>6.1</v>
      </c>
      <c r="AN246" s="5">
        <f t="shared" si="107"/>
        <v>1.3383052368421</v>
      </c>
      <c r="AO246">
        <v>1.89</v>
      </c>
      <c r="AP246" s="3">
        <f t="shared" si="108"/>
        <v>0.708098008911164</v>
      </c>
      <c r="AR246" s="4">
        <v>2.4910416625</v>
      </c>
      <c r="AS246">
        <v>0.02</v>
      </c>
      <c r="AT246" s="5">
        <f t="shared" si="109"/>
        <v>2.4710416625</v>
      </c>
      <c r="AU246">
        <v>2.84</v>
      </c>
      <c r="AV246" s="3">
        <f t="shared" si="110"/>
        <v>0.870085092429577</v>
      </c>
      <c r="AX246" s="4">
        <v>14.5695333416667</v>
      </c>
      <c r="AY246">
        <v>3.44</v>
      </c>
      <c r="AZ246" s="5">
        <f t="shared" si="111"/>
        <v>11.1295333416667</v>
      </c>
      <c r="BA246">
        <v>29.17</v>
      </c>
      <c r="BB246" s="3">
        <f t="shared" si="112"/>
        <v>0.381540395669068</v>
      </c>
      <c r="BD246" s="4">
        <v>1.77608333333333</v>
      </c>
      <c r="BE246">
        <v>0.17</v>
      </c>
      <c r="BF246" s="5">
        <f t="shared" si="113"/>
        <v>1.60608333333333</v>
      </c>
      <c r="BG246">
        <v>4</v>
      </c>
      <c r="BH246" s="3">
        <f t="shared" si="114"/>
        <v>0.401520833333332</v>
      </c>
      <c r="BJ246" s="9">
        <v>11.3804167583333</v>
      </c>
      <c r="BK246">
        <v>4.8</v>
      </c>
      <c r="BL246" s="5">
        <f t="shared" si="115"/>
        <v>6.5804167583333</v>
      </c>
      <c r="BM246">
        <v>8.9</v>
      </c>
      <c r="BN246" s="3">
        <f t="shared" si="116"/>
        <v>0.739372669475652</v>
      </c>
      <c r="BP246" s="9">
        <v>0.3124</v>
      </c>
      <c r="BQ246">
        <v>0.09</v>
      </c>
      <c r="BR246" s="5">
        <f t="shared" si="117"/>
        <v>0.2224</v>
      </c>
      <c r="BS246">
        <v>0.43</v>
      </c>
      <c r="BT246" s="3">
        <f t="shared" si="118"/>
        <v>0.517209302325581</v>
      </c>
      <c r="BV246" s="4">
        <v>6.94493332916667</v>
      </c>
      <c r="BW246">
        <v>6.18</v>
      </c>
      <c r="BX246" s="5">
        <f t="shared" si="119"/>
        <v>0.76493332916667</v>
      </c>
      <c r="BY246">
        <v>1.68</v>
      </c>
      <c r="BZ246" s="3">
        <f t="shared" si="120"/>
        <v>0.455317457837304</v>
      </c>
      <c r="CB246" s="10">
        <v>76.5</v>
      </c>
      <c r="CC246">
        <v>54.3</v>
      </c>
      <c r="CD246" s="12">
        <f t="shared" si="121"/>
        <v>22.2</v>
      </c>
      <c r="CE246">
        <v>71.3</v>
      </c>
      <c r="CF246" s="3">
        <f t="shared" si="122"/>
        <v>0.311360448807854</v>
      </c>
      <c r="CH246" s="13">
        <v>38.8</v>
      </c>
      <c r="CI246">
        <v>22.6</v>
      </c>
      <c r="CJ246">
        <f t="shared" si="123"/>
        <v>16.2</v>
      </c>
      <c r="CK246">
        <v>25.1</v>
      </c>
      <c r="CL246">
        <f t="shared" si="124"/>
        <v>0.645418326693227</v>
      </c>
      <c r="CN246" s="10">
        <v>5.2</v>
      </c>
      <c r="CO246">
        <v>3</v>
      </c>
      <c r="CP246" s="12">
        <f t="shared" si="125"/>
        <v>2.2</v>
      </c>
      <c r="CQ246">
        <v>3.4</v>
      </c>
      <c r="CR246" s="3">
        <f t="shared" si="126"/>
        <v>0.647058823529412</v>
      </c>
    </row>
    <row r="247" spans="2:96">
      <c r="B247" s="1">
        <v>41214</v>
      </c>
      <c r="C247">
        <v>32416</v>
      </c>
      <c r="D247" s="2">
        <f t="shared" si="127"/>
        <v>8798</v>
      </c>
      <c r="E247">
        <v>31904</v>
      </c>
      <c r="F247" s="3">
        <f t="shared" si="96"/>
        <v>0.275764794383149</v>
      </c>
      <c r="H247" s="1">
        <v>40990</v>
      </c>
      <c r="I247">
        <v>31145</v>
      </c>
      <c r="J247" s="2">
        <f t="shared" si="97"/>
        <v>9845</v>
      </c>
      <c r="K247">
        <v>32760</v>
      </c>
      <c r="L247" s="3">
        <f t="shared" si="98"/>
        <v>0.300518925518926</v>
      </c>
      <c r="N247" s="4">
        <v>264.270001095833</v>
      </c>
      <c r="O247">
        <v>201.27</v>
      </c>
      <c r="P247" s="5">
        <f t="shared" si="99"/>
        <v>63.000001095833</v>
      </c>
      <c r="Q247">
        <v>79.69</v>
      </c>
      <c r="R247" s="3">
        <f t="shared" si="100"/>
        <v>0.790563447055251</v>
      </c>
      <c r="T247" s="4">
        <v>182.512500758333</v>
      </c>
      <c r="U247">
        <v>100.23</v>
      </c>
      <c r="V247" s="5">
        <f t="shared" si="101"/>
        <v>82.282500758333</v>
      </c>
      <c r="W247">
        <v>410.93</v>
      </c>
      <c r="X247" s="3">
        <f t="shared" si="102"/>
        <v>0.200234835028674</v>
      </c>
      <c r="Z247" s="4">
        <v>26.2087503416667</v>
      </c>
      <c r="AA247">
        <v>13.25</v>
      </c>
      <c r="AB247" s="5">
        <f t="shared" si="103"/>
        <v>12.9587503416667</v>
      </c>
      <c r="AC247">
        <v>33.93</v>
      </c>
      <c r="AD247" s="3">
        <f t="shared" si="104"/>
        <v>0.381926034237156</v>
      </c>
      <c r="AF247" s="4">
        <v>4.33</v>
      </c>
      <c r="AG247">
        <v>2.09</v>
      </c>
      <c r="AH247" s="5">
        <f t="shared" si="105"/>
        <v>2.24</v>
      </c>
      <c r="AI247">
        <v>3.85</v>
      </c>
      <c r="AJ247" s="3">
        <f t="shared" si="106"/>
        <v>0.581818181818182</v>
      </c>
      <c r="AL247" s="4">
        <v>7.50428340833333</v>
      </c>
      <c r="AM247">
        <v>6.1</v>
      </c>
      <c r="AN247" s="5">
        <f t="shared" si="107"/>
        <v>1.40428340833333</v>
      </c>
      <c r="AO247">
        <v>1.89</v>
      </c>
      <c r="AP247" s="3">
        <f t="shared" si="108"/>
        <v>0.743007094356259</v>
      </c>
      <c r="AR247" s="4">
        <v>2.85562495</v>
      </c>
      <c r="AS247">
        <v>0.02</v>
      </c>
      <c r="AT247" s="5">
        <f t="shared" si="109"/>
        <v>2.83562495</v>
      </c>
      <c r="AU247">
        <v>2.84</v>
      </c>
      <c r="AV247" s="3">
        <f t="shared" si="110"/>
        <v>0.99845948943662</v>
      </c>
      <c r="AX247" s="4">
        <v>11.0084000916667</v>
      </c>
      <c r="AY247">
        <v>3.44</v>
      </c>
      <c r="AZ247" s="5">
        <f t="shared" si="111"/>
        <v>7.5684000916667</v>
      </c>
      <c r="BA247">
        <v>29.17</v>
      </c>
      <c r="BB247" s="3">
        <f t="shared" si="112"/>
        <v>0.259458350759914</v>
      </c>
      <c r="BD247" s="4">
        <v>1.19158332083333</v>
      </c>
      <c r="BE247">
        <v>0.17</v>
      </c>
      <c r="BF247" s="5">
        <f t="shared" si="113"/>
        <v>1.02158332083333</v>
      </c>
      <c r="BG247">
        <v>4</v>
      </c>
      <c r="BH247" s="3">
        <f t="shared" si="114"/>
        <v>0.255395830208333</v>
      </c>
      <c r="BJ247" s="9">
        <v>12.638750075</v>
      </c>
      <c r="BK247">
        <v>4.8</v>
      </c>
      <c r="BL247" s="5">
        <f t="shared" si="115"/>
        <v>7.838750075</v>
      </c>
      <c r="BM247">
        <v>8.9</v>
      </c>
      <c r="BN247" s="3">
        <f t="shared" si="116"/>
        <v>0.880758435393258</v>
      </c>
      <c r="BP247" s="9">
        <v>0.369666666666667</v>
      </c>
      <c r="BQ247">
        <v>0.09</v>
      </c>
      <c r="BR247" s="5">
        <f t="shared" si="117"/>
        <v>0.279666666666667</v>
      </c>
      <c r="BS247">
        <v>0.43</v>
      </c>
      <c r="BT247" s="3">
        <f t="shared" si="118"/>
        <v>0.650387596899225</v>
      </c>
      <c r="BV247" s="4">
        <v>6.94009174166667</v>
      </c>
      <c r="BW247">
        <v>6.18</v>
      </c>
      <c r="BX247" s="5">
        <f t="shared" si="119"/>
        <v>0.76009174166667</v>
      </c>
      <c r="BY247">
        <v>1.68</v>
      </c>
      <c r="BZ247" s="3">
        <f t="shared" si="120"/>
        <v>0.452435560515875</v>
      </c>
      <c r="CB247" s="10">
        <v>80.9</v>
      </c>
      <c r="CC247">
        <v>54.3</v>
      </c>
      <c r="CD247" s="12">
        <f t="shared" si="121"/>
        <v>26.6</v>
      </c>
      <c r="CE247">
        <v>71.3</v>
      </c>
      <c r="CF247" s="3">
        <f t="shared" si="122"/>
        <v>0.373071528751753</v>
      </c>
      <c r="CH247" s="13">
        <v>34.5</v>
      </c>
      <c r="CI247">
        <v>22.6</v>
      </c>
      <c r="CJ247">
        <f t="shared" si="123"/>
        <v>11.9</v>
      </c>
      <c r="CK247">
        <v>25.1</v>
      </c>
      <c r="CL247">
        <f t="shared" si="124"/>
        <v>0.47410358565737</v>
      </c>
      <c r="CN247" s="10">
        <v>4.8</v>
      </c>
      <c r="CO247">
        <v>3</v>
      </c>
      <c r="CP247" s="12">
        <f t="shared" si="125"/>
        <v>1.8</v>
      </c>
      <c r="CQ247">
        <v>3.4</v>
      </c>
      <c r="CR247" s="3">
        <f t="shared" si="126"/>
        <v>0.529411764705882</v>
      </c>
    </row>
    <row r="248" spans="2:96">
      <c r="B248" s="1">
        <v>50429</v>
      </c>
      <c r="C248">
        <v>32416</v>
      </c>
      <c r="D248" s="2">
        <f t="shared" si="127"/>
        <v>18013</v>
      </c>
      <c r="E248">
        <v>31904</v>
      </c>
      <c r="F248" s="3">
        <f t="shared" si="96"/>
        <v>0.564600050150451</v>
      </c>
      <c r="H248" s="1">
        <v>50039</v>
      </c>
      <c r="I248">
        <v>31145</v>
      </c>
      <c r="J248" s="2">
        <f t="shared" si="97"/>
        <v>18894</v>
      </c>
      <c r="K248">
        <v>32760</v>
      </c>
      <c r="L248" s="3">
        <f t="shared" si="98"/>
        <v>0.576739926739927</v>
      </c>
      <c r="N248" s="4">
        <v>259.853335054167</v>
      </c>
      <c r="O248">
        <v>201.27</v>
      </c>
      <c r="P248" s="5">
        <f t="shared" si="99"/>
        <v>58.583335054167</v>
      </c>
      <c r="Q248">
        <v>79.69</v>
      </c>
      <c r="R248" s="3">
        <f t="shared" si="100"/>
        <v>0.735140357060698</v>
      </c>
      <c r="T248" s="4">
        <v>191.333333658333</v>
      </c>
      <c r="U248">
        <v>100.23</v>
      </c>
      <c r="V248" s="5">
        <f t="shared" si="101"/>
        <v>91.103333658333</v>
      </c>
      <c r="W248">
        <v>410.93</v>
      </c>
      <c r="X248" s="3">
        <f t="shared" si="102"/>
        <v>0.221700371494739</v>
      </c>
      <c r="Z248" s="4">
        <v>31.02124985</v>
      </c>
      <c r="AA248">
        <v>13.25</v>
      </c>
      <c r="AB248" s="5">
        <f t="shared" si="103"/>
        <v>17.77124985</v>
      </c>
      <c r="AC248">
        <v>33.93</v>
      </c>
      <c r="AD248" s="3">
        <f t="shared" si="104"/>
        <v>0.523762152961981</v>
      </c>
      <c r="AF248" s="4">
        <v>4.12</v>
      </c>
      <c r="AG248">
        <v>2.09</v>
      </c>
      <c r="AH248" s="5">
        <f t="shared" si="105"/>
        <v>2.03</v>
      </c>
      <c r="AI248">
        <v>3.85</v>
      </c>
      <c r="AJ248" s="3">
        <f t="shared" si="106"/>
        <v>0.527272727272727</v>
      </c>
      <c r="AL248" s="4">
        <v>7.35384164583333</v>
      </c>
      <c r="AM248">
        <v>6.1</v>
      </c>
      <c r="AN248" s="5">
        <f t="shared" si="107"/>
        <v>1.25384164583333</v>
      </c>
      <c r="AO248">
        <v>1.89</v>
      </c>
      <c r="AP248" s="3">
        <f t="shared" si="108"/>
        <v>0.663408278218693</v>
      </c>
      <c r="AR248" s="4">
        <v>2.18604169166667</v>
      </c>
      <c r="AS248">
        <v>0.02</v>
      </c>
      <c r="AT248" s="5">
        <f t="shared" si="109"/>
        <v>2.16604169166667</v>
      </c>
      <c r="AU248">
        <v>2.84</v>
      </c>
      <c r="AV248" s="3">
        <f t="shared" si="110"/>
        <v>0.762690736502349</v>
      </c>
      <c r="AX248" s="4">
        <v>14.9543336375</v>
      </c>
      <c r="AY248">
        <v>3.44</v>
      </c>
      <c r="AZ248" s="5">
        <f t="shared" si="111"/>
        <v>11.5143336375</v>
      </c>
      <c r="BA248">
        <v>29.17</v>
      </c>
      <c r="BB248" s="3">
        <f t="shared" si="112"/>
        <v>0.394732041052451</v>
      </c>
      <c r="BD248" s="4">
        <v>0.43225</v>
      </c>
      <c r="BE248">
        <v>0.17</v>
      </c>
      <c r="BF248" s="5">
        <f t="shared" si="113"/>
        <v>0.26225</v>
      </c>
      <c r="BG248">
        <v>4</v>
      </c>
      <c r="BH248" s="3">
        <f t="shared" si="114"/>
        <v>0.0655625</v>
      </c>
      <c r="BJ248" s="9">
        <v>12.1624167833333</v>
      </c>
      <c r="BK248">
        <v>4.8</v>
      </c>
      <c r="BL248" s="5">
        <f t="shared" si="115"/>
        <v>7.3624167833333</v>
      </c>
      <c r="BM248">
        <v>8.9</v>
      </c>
      <c r="BN248" s="3">
        <f t="shared" si="116"/>
        <v>0.827237840823966</v>
      </c>
      <c r="BP248" s="9">
        <v>0.321183333333333</v>
      </c>
      <c r="BQ248">
        <v>0.09</v>
      </c>
      <c r="BR248" s="5">
        <f t="shared" si="117"/>
        <v>0.231183333333333</v>
      </c>
      <c r="BS248">
        <v>0.43</v>
      </c>
      <c r="BT248" s="3">
        <f t="shared" si="118"/>
        <v>0.537635658914728</v>
      </c>
      <c r="BV248" s="4">
        <v>6.89424164583333</v>
      </c>
      <c r="BW248">
        <v>6.18</v>
      </c>
      <c r="BX248" s="5">
        <f t="shared" si="119"/>
        <v>0.71424164583333</v>
      </c>
      <c r="BY248">
        <v>1.68</v>
      </c>
      <c r="BZ248" s="3">
        <f t="shared" si="120"/>
        <v>0.425143836805554</v>
      </c>
      <c r="CB248" s="10">
        <v>81.6</v>
      </c>
      <c r="CC248">
        <v>54.3</v>
      </c>
      <c r="CD248" s="12">
        <f t="shared" si="121"/>
        <v>27.3</v>
      </c>
      <c r="CE248">
        <v>71.3</v>
      </c>
      <c r="CF248" s="3">
        <f t="shared" si="122"/>
        <v>0.38288920056101</v>
      </c>
      <c r="CH248" s="13">
        <v>36.8</v>
      </c>
      <c r="CI248">
        <v>22.6</v>
      </c>
      <c r="CJ248">
        <f t="shared" si="123"/>
        <v>14.2</v>
      </c>
      <c r="CK248">
        <v>25.1</v>
      </c>
      <c r="CL248">
        <f t="shared" si="124"/>
        <v>0.565737051792829</v>
      </c>
      <c r="CN248" s="10">
        <v>4.6</v>
      </c>
      <c r="CO248">
        <v>3</v>
      </c>
      <c r="CP248" s="12">
        <f t="shared" si="125"/>
        <v>1.6</v>
      </c>
      <c r="CQ248">
        <v>3.4</v>
      </c>
      <c r="CR248" s="3">
        <f t="shared" si="126"/>
        <v>0.470588235294118</v>
      </c>
    </row>
    <row r="249" spans="2:96">
      <c r="B249" s="1">
        <v>42011</v>
      </c>
      <c r="C249">
        <v>32416</v>
      </c>
      <c r="D249" s="2">
        <f t="shared" si="127"/>
        <v>9595</v>
      </c>
      <c r="E249">
        <v>31904</v>
      </c>
      <c r="F249" s="3">
        <f t="shared" si="96"/>
        <v>0.300745987963892</v>
      </c>
      <c r="H249" s="1">
        <v>41481</v>
      </c>
      <c r="I249">
        <v>31145</v>
      </c>
      <c r="J249" s="2">
        <f t="shared" si="97"/>
        <v>10336</v>
      </c>
      <c r="K249">
        <v>32760</v>
      </c>
      <c r="L249" s="3">
        <f t="shared" si="98"/>
        <v>0.315506715506715</v>
      </c>
      <c r="N249" s="4">
        <v>256.0466677375</v>
      </c>
      <c r="O249">
        <v>201.27</v>
      </c>
      <c r="P249" s="5">
        <f t="shared" si="99"/>
        <v>54.7766677375</v>
      </c>
      <c r="Q249">
        <v>79.69</v>
      </c>
      <c r="R249" s="3">
        <f t="shared" si="100"/>
        <v>0.687371912881164</v>
      </c>
      <c r="T249" s="4">
        <v>140.995833083333</v>
      </c>
      <c r="U249">
        <v>100.23</v>
      </c>
      <c r="V249" s="5">
        <f t="shared" si="101"/>
        <v>40.765833083333</v>
      </c>
      <c r="W249">
        <v>410.93</v>
      </c>
      <c r="X249" s="3">
        <f t="shared" si="102"/>
        <v>0.0992038378393716</v>
      </c>
      <c r="Z249" s="4">
        <v>29.89125005</v>
      </c>
      <c r="AA249">
        <v>13.25</v>
      </c>
      <c r="AB249" s="5">
        <f t="shared" si="103"/>
        <v>16.64125005</v>
      </c>
      <c r="AC249">
        <v>33.93</v>
      </c>
      <c r="AD249" s="3">
        <f t="shared" si="104"/>
        <v>0.490458297966401</v>
      </c>
      <c r="AF249" s="4">
        <v>4.19</v>
      </c>
      <c r="AG249">
        <v>2.09</v>
      </c>
      <c r="AH249" s="5">
        <f t="shared" si="105"/>
        <v>2.1</v>
      </c>
      <c r="AI249">
        <v>3.85</v>
      </c>
      <c r="AJ249" s="3">
        <f t="shared" si="106"/>
        <v>0.545454545454546</v>
      </c>
      <c r="AL249" s="4">
        <v>7.431250025</v>
      </c>
      <c r="AM249">
        <v>6.1</v>
      </c>
      <c r="AN249" s="5">
        <f t="shared" si="107"/>
        <v>1.331250025</v>
      </c>
      <c r="AO249">
        <v>1.89</v>
      </c>
      <c r="AP249" s="3">
        <f t="shared" si="108"/>
        <v>0.704365092592593</v>
      </c>
      <c r="AR249" s="4">
        <v>1.66625019583333</v>
      </c>
      <c r="AS249">
        <v>0.02</v>
      </c>
      <c r="AT249" s="5">
        <f t="shared" si="109"/>
        <v>1.64625019583333</v>
      </c>
      <c r="AU249">
        <v>2.84</v>
      </c>
      <c r="AV249" s="3">
        <f t="shared" si="110"/>
        <v>0.579665561913144</v>
      </c>
      <c r="AX249" s="4">
        <v>6.90213337083334</v>
      </c>
      <c r="AY249">
        <v>3.44</v>
      </c>
      <c r="AZ249" s="5">
        <f t="shared" si="111"/>
        <v>3.46213337083334</v>
      </c>
      <c r="BA249">
        <v>29.17</v>
      </c>
      <c r="BB249" s="3">
        <f t="shared" si="112"/>
        <v>0.11868815121129</v>
      </c>
      <c r="BD249" s="4">
        <v>0.658333320833333</v>
      </c>
      <c r="BE249">
        <v>0.17</v>
      </c>
      <c r="BF249" s="5">
        <f t="shared" si="113"/>
        <v>0.488333320833333</v>
      </c>
      <c r="BG249">
        <v>4</v>
      </c>
      <c r="BH249" s="3">
        <f t="shared" si="114"/>
        <v>0.122083330208333</v>
      </c>
      <c r="BJ249" s="9">
        <v>12.8443332041667</v>
      </c>
      <c r="BK249">
        <v>4.8</v>
      </c>
      <c r="BL249" s="5">
        <f t="shared" si="115"/>
        <v>8.0443332041667</v>
      </c>
      <c r="BM249">
        <v>8.9</v>
      </c>
      <c r="BN249" s="3">
        <f t="shared" si="116"/>
        <v>0.903857663389517</v>
      </c>
      <c r="BP249" s="9">
        <v>0.294516666666667</v>
      </c>
      <c r="BQ249">
        <v>0.09</v>
      </c>
      <c r="BR249" s="5">
        <f t="shared" si="117"/>
        <v>0.204516666666667</v>
      </c>
      <c r="BS249">
        <v>0.43</v>
      </c>
      <c r="BT249" s="3">
        <f t="shared" si="118"/>
        <v>0.47562015503876</v>
      </c>
      <c r="BV249" s="4">
        <v>6.90859160833333</v>
      </c>
      <c r="BW249">
        <v>6.18</v>
      </c>
      <c r="BX249" s="5">
        <f t="shared" si="119"/>
        <v>0.72859160833333</v>
      </c>
      <c r="BY249">
        <v>1.68</v>
      </c>
      <c r="BZ249" s="3">
        <f t="shared" si="120"/>
        <v>0.433685481150792</v>
      </c>
      <c r="CB249" s="10">
        <v>72.4</v>
      </c>
      <c r="CC249">
        <v>54.3</v>
      </c>
      <c r="CD249" s="12">
        <f t="shared" si="121"/>
        <v>18.1</v>
      </c>
      <c r="CE249">
        <v>71.3</v>
      </c>
      <c r="CF249" s="3">
        <f t="shared" si="122"/>
        <v>0.253856942496494</v>
      </c>
      <c r="CH249" s="13">
        <v>35.3</v>
      </c>
      <c r="CI249">
        <v>22.6</v>
      </c>
      <c r="CJ249">
        <f t="shared" si="123"/>
        <v>12.7</v>
      </c>
      <c r="CK249">
        <v>25.1</v>
      </c>
      <c r="CL249">
        <f t="shared" si="124"/>
        <v>0.50597609561753</v>
      </c>
      <c r="CN249" s="10">
        <v>4.8</v>
      </c>
      <c r="CO249">
        <v>3</v>
      </c>
      <c r="CP249" s="12">
        <f t="shared" si="125"/>
        <v>1.8</v>
      </c>
      <c r="CQ249">
        <v>3.4</v>
      </c>
      <c r="CR249" s="3">
        <f t="shared" si="126"/>
        <v>0.529411764705882</v>
      </c>
    </row>
    <row r="250" spans="2:96">
      <c r="B250" s="1">
        <v>44310</v>
      </c>
      <c r="C250">
        <v>32416</v>
      </c>
      <c r="D250" s="2">
        <f t="shared" si="127"/>
        <v>11894</v>
      </c>
      <c r="E250">
        <v>31904</v>
      </c>
      <c r="F250" s="3">
        <f t="shared" si="96"/>
        <v>0.37280591775326</v>
      </c>
      <c r="H250" s="1">
        <v>43794</v>
      </c>
      <c r="I250">
        <v>31145</v>
      </c>
      <c r="J250" s="2">
        <f t="shared" si="97"/>
        <v>12649</v>
      </c>
      <c r="K250">
        <v>32760</v>
      </c>
      <c r="L250" s="3">
        <f t="shared" si="98"/>
        <v>0.386111111111111</v>
      </c>
      <c r="N250" s="4">
        <v>257.413332</v>
      </c>
      <c r="O250">
        <v>201.27</v>
      </c>
      <c r="P250" s="5">
        <f t="shared" si="99"/>
        <v>56.143332</v>
      </c>
      <c r="Q250">
        <v>79.69</v>
      </c>
      <c r="R250" s="3">
        <f t="shared" si="100"/>
        <v>0.704521671476974</v>
      </c>
      <c r="T250" s="4">
        <v>141.22499975</v>
      </c>
      <c r="U250">
        <v>100.23</v>
      </c>
      <c r="V250" s="5">
        <f t="shared" si="101"/>
        <v>40.99499975</v>
      </c>
      <c r="W250">
        <v>410.93</v>
      </c>
      <c r="X250" s="3">
        <f t="shared" si="102"/>
        <v>0.0997615159516219</v>
      </c>
      <c r="Z250" s="4">
        <v>27.2279166333333</v>
      </c>
      <c r="AA250">
        <v>13.25</v>
      </c>
      <c r="AB250" s="5">
        <f t="shared" si="103"/>
        <v>13.9779166333333</v>
      </c>
      <c r="AC250">
        <v>33.93</v>
      </c>
      <c r="AD250" s="3">
        <f t="shared" si="104"/>
        <v>0.411963354946457</v>
      </c>
      <c r="AF250" s="4">
        <v>4.39</v>
      </c>
      <c r="AG250">
        <v>2.09</v>
      </c>
      <c r="AH250" s="5">
        <f t="shared" si="105"/>
        <v>2.3</v>
      </c>
      <c r="AI250">
        <v>3.85</v>
      </c>
      <c r="AJ250" s="3">
        <f t="shared" si="106"/>
        <v>0.597402597402597</v>
      </c>
      <c r="AL250" s="4">
        <v>7.4464166625</v>
      </c>
      <c r="AM250">
        <v>6.1</v>
      </c>
      <c r="AN250" s="5">
        <f t="shared" si="107"/>
        <v>1.3464166625</v>
      </c>
      <c r="AO250">
        <v>1.89</v>
      </c>
      <c r="AP250" s="3">
        <f t="shared" si="108"/>
        <v>0.712389768518519</v>
      </c>
      <c r="AR250" s="4">
        <v>2.308125</v>
      </c>
      <c r="AS250">
        <v>0.02</v>
      </c>
      <c r="AT250" s="5">
        <f t="shared" si="109"/>
        <v>2.288125</v>
      </c>
      <c r="AU250">
        <v>2.84</v>
      </c>
      <c r="AV250" s="3">
        <f t="shared" si="110"/>
        <v>0.805677816901408</v>
      </c>
      <c r="AX250" s="4">
        <v>6.81373336666667</v>
      </c>
      <c r="AY250">
        <v>3.44</v>
      </c>
      <c r="AZ250" s="5">
        <f t="shared" si="111"/>
        <v>3.37373336666667</v>
      </c>
      <c r="BA250">
        <v>29.17</v>
      </c>
      <c r="BB250" s="3">
        <f t="shared" si="112"/>
        <v>0.115657640269684</v>
      </c>
      <c r="BD250" s="4">
        <v>0.903</v>
      </c>
      <c r="BE250">
        <v>0.17</v>
      </c>
      <c r="BF250" s="5">
        <f t="shared" si="113"/>
        <v>0.733</v>
      </c>
      <c r="BG250">
        <v>4</v>
      </c>
      <c r="BH250" s="3">
        <f t="shared" si="114"/>
        <v>0.18325</v>
      </c>
      <c r="BJ250" s="9">
        <v>11.3100834208333</v>
      </c>
      <c r="BK250">
        <v>4.8</v>
      </c>
      <c r="BL250" s="5">
        <f t="shared" si="115"/>
        <v>6.5100834208333</v>
      </c>
      <c r="BM250">
        <v>8.9</v>
      </c>
      <c r="BN250" s="3">
        <f t="shared" si="116"/>
        <v>0.73147004728464</v>
      </c>
      <c r="BP250" s="9">
        <v>0.373091666666667</v>
      </c>
      <c r="BQ250">
        <v>0.09</v>
      </c>
      <c r="BR250" s="5">
        <f t="shared" si="117"/>
        <v>0.283091666666667</v>
      </c>
      <c r="BS250">
        <v>0.43</v>
      </c>
      <c r="BT250" s="3">
        <f t="shared" si="118"/>
        <v>0.658352713178295</v>
      </c>
      <c r="BV250" s="4">
        <v>6.8823416625</v>
      </c>
      <c r="BW250">
        <v>6.18</v>
      </c>
      <c r="BX250" s="5">
        <f t="shared" si="119"/>
        <v>0.7023416625</v>
      </c>
      <c r="BY250">
        <v>1.68</v>
      </c>
      <c r="BZ250" s="3">
        <f t="shared" si="120"/>
        <v>0.418060513392857</v>
      </c>
      <c r="CB250" s="10">
        <v>69.8</v>
      </c>
      <c r="CC250">
        <v>54.3</v>
      </c>
      <c r="CD250" s="12">
        <f t="shared" si="121"/>
        <v>15.5</v>
      </c>
      <c r="CE250">
        <v>71.3</v>
      </c>
      <c r="CF250" s="3">
        <f t="shared" si="122"/>
        <v>0.217391304347826</v>
      </c>
      <c r="CH250" s="13">
        <v>34.3</v>
      </c>
      <c r="CI250">
        <v>22.6</v>
      </c>
      <c r="CJ250">
        <f t="shared" si="123"/>
        <v>11.7</v>
      </c>
      <c r="CK250">
        <v>25.1</v>
      </c>
      <c r="CL250">
        <f t="shared" si="124"/>
        <v>0.46613545816733</v>
      </c>
      <c r="CN250" s="10">
        <v>4.9</v>
      </c>
      <c r="CO250">
        <v>3</v>
      </c>
      <c r="CP250" s="12">
        <f t="shared" si="125"/>
        <v>1.9</v>
      </c>
      <c r="CQ250">
        <v>3.4</v>
      </c>
      <c r="CR250" s="3">
        <f t="shared" si="126"/>
        <v>0.558823529411765</v>
      </c>
    </row>
    <row r="251" spans="2:96">
      <c r="B251" s="1">
        <v>39556</v>
      </c>
      <c r="C251">
        <v>32416</v>
      </c>
      <c r="D251" s="2">
        <f t="shared" si="127"/>
        <v>7140</v>
      </c>
      <c r="E251">
        <v>31904</v>
      </c>
      <c r="F251" s="3">
        <f t="shared" si="96"/>
        <v>0.223796389167502</v>
      </c>
      <c r="H251" s="1">
        <v>39223</v>
      </c>
      <c r="I251">
        <v>31145</v>
      </c>
      <c r="J251" s="2">
        <f t="shared" si="97"/>
        <v>8078</v>
      </c>
      <c r="K251">
        <v>32760</v>
      </c>
      <c r="L251" s="3">
        <f t="shared" si="98"/>
        <v>0.246581196581197</v>
      </c>
      <c r="N251" s="4">
        <v>262.5300038625</v>
      </c>
      <c r="O251">
        <v>201.27</v>
      </c>
      <c r="P251" s="5">
        <f t="shared" si="99"/>
        <v>61.2600038625</v>
      </c>
      <c r="Q251">
        <v>79.69</v>
      </c>
      <c r="R251" s="3">
        <f t="shared" si="100"/>
        <v>0.768728872662818</v>
      </c>
      <c r="T251" s="4">
        <v>199.124999995833</v>
      </c>
      <c r="U251">
        <v>100.23</v>
      </c>
      <c r="V251" s="5">
        <f t="shared" si="101"/>
        <v>98.894999995833</v>
      </c>
      <c r="W251">
        <v>410.93</v>
      </c>
      <c r="X251" s="3">
        <f t="shared" si="102"/>
        <v>0.240661426510192</v>
      </c>
      <c r="Z251" s="4">
        <v>26.0187502666667</v>
      </c>
      <c r="AA251">
        <v>13.25</v>
      </c>
      <c r="AB251" s="5">
        <f t="shared" si="103"/>
        <v>12.7687502666667</v>
      </c>
      <c r="AC251">
        <v>33.93</v>
      </c>
      <c r="AD251" s="3">
        <f t="shared" si="104"/>
        <v>0.376326267806269</v>
      </c>
      <c r="AF251" s="4">
        <v>3.69</v>
      </c>
      <c r="AG251">
        <v>2.09</v>
      </c>
      <c r="AH251" s="5">
        <f t="shared" si="105"/>
        <v>1.6</v>
      </c>
      <c r="AI251">
        <v>3.85</v>
      </c>
      <c r="AJ251" s="3">
        <f t="shared" si="106"/>
        <v>0.415584415584416</v>
      </c>
      <c r="AL251" s="4">
        <v>7.44040840833333</v>
      </c>
      <c r="AM251">
        <v>6.1</v>
      </c>
      <c r="AN251" s="5">
        <f t="shared" si="107"/>
        <v>1.34040840833333</v>
      </c>
      <c r="AO251">
        <v>1.89</v>
      </c>
      <c r="AP251" s="3">
        <f t="shared" si="108"/>
        <v>0.709210798059963</v>
      </c>
      <c r="AR251" s="4">
        <v>2.05604165833333</v>
      </c>
      <c r="AS251">
        <v>0.02</v>
      </c>
      <c r="AT251" s="5">
        <f t="shared" si="109"/>
        <v>2.03604165833333</v>
      </c>
      <c r="AU251">
        <v>2.84</v>
      </c>
      <c r="AV251" s="3">
        <f t="shared" si="110"/>
        <v>0.716916076877933</v>
      </c>
      <c r="AX251" s="4">
        <v>8.34773340416667</v>
      </c>
      <c r="AY251">
        <v>3.44</v>
      </c>
      <c r="AZ251" s="5">
        <f t="shared" si="111"/>
        <v>4.90773340416667</v>
      </c>
      <c r="BA251">
        <v>29.17</v>
      </c>
      <c r="BB251" s="3">
        <f t="shared" si="112"/>
        <v>0.168245917180894</v>
      </c>
      <c r="BD251" s="4">
        <v>1.8154999875</v>
      </c>
      <c r="BE251">
        <v>0.17</v>
      </c>
      <c r="BF251" s="5">
        <f t="shared" si="113"/>
        <v>1.6454999875</v>
      </c>
      <c r="BG251">
        <v>4</v>
      </c>
      <c r="BH251" s="3">
        <f t="shared" si="114"/>
        <v>0.411374996875</v>
      </c>
      <c r="BJ251" s="9">
        <v>10.7545000958333</v>
      </c>
      <c r="BK251">
        <v>4.8</v>
      </c>
      <c r="BL251" s="5">
        <f t="shared" si="115"/>
        <v>5.9545000958333</v>
      </c>
      <c r="BM251">
        <v>8.9</v>
      </c>
      <c r="BN251" s="3">
        <f t="shared" si="116"/>
        <v>0.669044954588011</v>
      </c>
      <c r="BP251" s="9">
        <v>0.266483333333333</v>
      </c>
      <c r="BQ251">
        <v>0.09</v>
      </c>
      <c r="BR251" s="5">
        <f t="shared" si="117"/>
        <v>0.176483333333333</v>
      </c>
      <c r="BS251">
        <v>0.43</v>
      </c>
      <c r="BT251" s="3">
        <f t="shared" si="118"/>
        <v>0.410426356589147</v>
      </c>
      <c r="BV251" s="4">
        <v>6.8879999375</v>
      </c>
      <c r="BW251">
        <v>6.18</v>
      </c>
      <c r="BX251" s="5">
        <f t="shared" si="119"/>
        <v>0.7079999375</v>
      </c>
      <c r="BY251">
        <v>1.68</v>
      </c>
      <c r="BZ251" s="3">
        <f t="shared" si="120"/>
        <v>0.421428534226191</v>
      </c>
      <c r="CB251" s="10">
        <v>62.4</v>
      </c>
      <c r="CC251">
        <v>54.3</v>
      </c>
      <c r="CD251" s="12">
        <f t="shared" si="121"/>
        <v>8.1</v>
      </c>
      <c r="CE251">
        <v>71.3</v>
      </c>
      <c r="CF251" s="3">
        <f t="shared" si="122"/>
        <v>0.113604488078541</v>
      </c>
      <c r="CH251" s="13">
        <v>32.9</v>
      </c>
      <c r="CI251">
        <v>22.6</v>
      </c>
      <c r="CJ251">
        <f t="shared" si="123"/>
        <v>10.3</v>
      </c>
      <c r="CK251">
        <v>25.1</v>
      </c>
      <c r="CL251">
        <f t="shared" si="124"/>
        <v>0.410358565737052</v>
      </c>
      <c r="CN251" s="10">
        <v>5</v>
      </c>
      <c r="CO251">
        <v>3</v>
      </c>
      <c r="CP251" s="12">
        <f t="shared" si="125"/>
        <v>2</v>
      </c>
      <c r="CQ251">
        <v>3.4</v>
      </c>
      <c r="CR251" s="3">
        <f t="shared" si="126"/>
        <v>0.588235294117647</v>
      </c>
    </row>
    <row r="252" spans="2:96">
      <c r="B252" s="1">
        <v>47728</v>
      </c>
      <c r="C252">
        <v>32416</v>
      </c>
      <c r="D252" s="2">
        <f t="shared" si="127"/>
        <v>15312</v>
      </c>
      <c r="E252">
        <v>31904</v>
      </c>
      <c r="F252" s="3">
        <f t="shared" si="96"/>
        <v>0.479939819458375</v>
      </c>
      <c r="H252" s="1">
        <v>47522</v>
      </c>
      <c r="I252">
        <v>31145</v>
      </c>
      <c r="J252" s="2">
        <f t="shared" si="97"/>
        <v>16377</v>
      </c>
      <c r="K252">
        <v>32760</v>
      </c>
      <c r="L252" s="3">
        <f t="shared" si="98"/>
        <v>0.499908424908425</v>
      </c>
      <c r="N252" s="4">
        <v>256.186669666667</v>
      </c>
      <c r="O252">
        <v>201.27</v>
      </c>
      <c r="P252" s="5">
        <f t="shared" si="99"/>
        <v>54.916669666667</v>
      </c>
      <c r="Q252">
        <v>79.69</v>
      </c>
      <c r="R252" s="3">
        <f t="shared" si="100"/>
        <v>0.689128744719124</v>
      </c>
      <c r="T252" s="4">
        <v>108.1000003875</v>
      </c>
      <c r="U252">
        <v>100.23</v>
      </c>
      <c r="V252" s="5">
        <f t="shared" si="101"/>
        <v>7.8700003875</v>
      </c>
      <c r="W252">
        <v>410.93</v>
      </c>
      <c r="X252" s="3">
        <f t="shared" si="102"/>
        <v>0.0191516812778332</v>
      </c>
      <c r="Z252" s="4">
        <v>21.39250005</v>
      </c>
      <c r="AA252">
        <v>13.25</v>
      </c>
      <c r="AB252" s="5">
        <f t="shared" si="103"/>
        <v>8.14250005</v>
      </c>
      <c r="AC252">
        <v>33.93</v>
      </c>
      <c r="AD252" s="3">
        <f t="shared" si="104"/>
        <v>0.239979370763336</v>
      </c>
      <c r="AF252" s="4">
        <v>4.57</v>
      </c>
      <c r="AG252">
        <v>2.09</v>
      </c>
      <c r="AH252" s="5">
        <f t="shared" si="105"/>
        <v>2.48</v>
      </c>
      <c r="AI252">
        <v>3.85</v>
      </c>
      <c r="AJ252" s="3">
        <f t="shared" si="106"/>
        <v>0.644155844155844</v>
      </c>
      <c r="AL252" s="4">
        <v>7.49926665833333</v>
      </c>
      <c r="AM252">
        <v>6.1</v>
      </c>
      <c r="AN252" s="5">
        <f t="shared" si="107"/>
        <v>1.39926665833333</v>
      </c>
      <c r="AO252">
        <v>1.89</v>
      </c>
      <c r="AP252" s="3">
        <f t="shared" si="108"/>
        <v>0.740352729276894</v>
      </c>
      <c r="AR252" s="4">
        <v>1.19062498333333</v>
      </c>
      <c r="AS252">
        <v>0.02</v>
      </c>
      <c r="AT252" s="5">
        <f t="shared" si="109"/>
        <v>1.17062498333333</v>
      </c>
      <c r="AU252">
        <v>2.84</v>
      </c>
      <c r="AV252" s="3">
        <f t="shared" si="110"/>
        <v>0.412191895539905</v>
      </c>
      <c r="AX252" s="4">
        <v>11.6549333208333</v>
      </c>
      <c r="AY252">
        <v>3.44</v>
      </c>
      <c r="AZ252" s="5">
        <f t="shared" si="111"/>
        <v>8.2149333208333</v>
      </c>
      <c r="BA252">
        <v>29.17</v>
      </c>
      <c r="BB252" s="3">
        <f t="shared" si="112"/>
        <v>0.28162267126614</v>
      </c>
      <c r="BD252" s="4">
        <v>0.307333333333333</v>
      </c>
      <c r="BE252">
        <v>0.17</v>
      </c>
      <c r="BF252" s="5">
        <f t="shared" si="113"/>
        <v>0.137333333333333</v>
      </c>
      <c r="BG252">
        <v>4</v>
      </c>
      <c r="BH252" s="3">
        <f t="shared" si="114"/>
        <v>0.0343333333333333</v>
      </c>
      <c r="BJ252" s="9">
        <v>10.319999975</v>
      </c>
      <c r="BK252">
        <v>4.8</v>
      </c>
      <c r="BL252" s="5">
        <f t="shared" si="115"/>
        <v>5.519999975</v>
      </c>
      <c r="BM252">
        <v>8.9</v>
      </c>
      <c r="BN252" s="3">
        <f t="shared" si="116"/>
        <v>0.620224716292135</v>
      </c>
      <c r="BP252" s="9">
        <v>0.307458333333333</v>
      </c>
      <c r="BQ252">
        <v>0.09</v>
      </c>
      <c r="BR252" s="5">
        <f t="shared" si="117"/>
        <v>0.217458333333333</v>
      </c>
      <c r="BS252">
        <v>0.43</v>
      </c>
      <c r="BT252" s="3">
        <f t="shared" si="118"/>
        <v>0.505717054263565</v>
      </c>
      <c r="BV252" s="4">
        <v>6.82704164583333</v>
      </c>
      <c r="BW252">
        <v>6.18</v>
      </c>
      <c r="BX252" s="5">
        <f t="shared" si="119"/>
        <v>0.647041645833331</v>
      </c>
      <c r="BY252">
        <v>1.68</v>
      </c>
      <c r="BZ252" s="3">
        <f t="shared" si="120"/>
        <v>0.385143836805554</v>
      </c>
      <c r="CB252" s="10">
        <v>58.9</v>
      </c>
      <c r="CC252">
        <v>54.3</v>
      </c>
      <c r="CD252" s="12">
        <f t="shared" si="121"/>
        <v>4.6</v>
      </c>
      <c r="CE252">
        <v>71.3</v>
      </c>
      <c r="CF252" s="3">
        <f t="shared" si="122"/>
        <v>0.0645161290322581</v>
      </c>
      <c r="CH252" s="13">
        <v>29.6</v>
      </c>
      <c r="CI252">
        <v>22.6</v>
      </c>
      <c r="CJ252">
        <f t="shared" si="123"/>
        <v>7</v>
      </c>
      <c r="CK252">
        <v>25.1</v>
      </c>
      <c r="CL252">
        <f t="shared" si="124"/>
        <v>0.278884462151394</v>
      </c>
      <c r="CN252" s="11">
        <v>5.1</v>
      </c>
      <c r="CO252">
        <v>3</v>
      </c>
      <c r="CP252" s="12">
        <f t="shared" si="125"/>
        <v>2.1</v>
      </c>
      <c r="CQ252">
        <v>3.4</v>
      </c>
      <c r="CR252" s="3">
        <f t="shared" si="126"/>
        <v>0.617647058823529</v>
      </c>
    </row>
    <row r="253" spans="2:96">
      <c r="B253" s="1">
        <v>43357</v>
      </c>
      <c r="C253">
        <v>32416</v>
      </c>
      <c r="D253" s="2">
        <f t="shared" si="127"/>
        <v>10941</v>
      </c>
      <c r="E253">
        <v>31904</v>
      </c>
      <c r="F253" s="3">
        <f t="shared" si="96"/>
        <v>0.342935055165496</v>
      </c>
      <c r="H253" s="1">
        <v>43165</v>
      </c>
      <c r="I253">
        <v>31145</v>
      </c>
      <c r="J253" s="2">
        <f t="shared" si="97"/>
        <v>12020</v>
      </c>
      <c r="K253">
        <v>32760</v>
      </c>
      <c r="L253" s="3">
        <f t="shared" si="98"/>
        <v>0.366910866910867</v>
      </c>
      <c r="N253" s="4">
        <v>267.0966695125</v>
      </c>
      <c r="O253">
        <v>201.27</v>
      </c>
      <c r="P253" s="5">
        <f t="shared" si="99"/>
        <v>65.8266695125</v>
      </c>
      <c r="Q253">
        <v>79.69</v>
      </c>
      <c r="R253" s="3">
        <f t="shared" si="100"/>
        <v>0.826034251631321</v>
      </c>
      <c r="T253" s="4">
        <v>144.387500770833</v>
      </c>
      <c r="U253">
        <v>100.23</v>
      </c>
      <c r="V253" s="5">
        <f t="shared" si="101"/>
        <v>44.157500770833</v>
      </c>
      <c r="W253">
        <v>410.93</v>
      </c>
      <c r="X253" s="3">
        <f t="shared" si="102"/>
        <v>0.107457476384866</v>
      </c>
      <c r="Z253" s="4">
        <v>37.3675002625</v>
      </c>
      <c r="AA253">
        <v>13.25</v>
      </c>
      <c r="AB253" s="5">
        <f t="shared" si="103"/>
        <v>24.1175002625</v>
      </c>
      <c r="AC253">
        <v>33.93</v>
      </c>
      <c r="AD253" s="3">
        <f t="shared" si="104"/>
        <v>0.710801658193339</v>
      </c>
      <c r="AF253" s="4">
        <v>4.05</v>
      </c>
      <c r="AG253">
        <v>2.09</v>
      </c>
      <c r="AH253" s="5">
        <f t="shared" si="105"/>
        <v>1.96</v>
      </c>
      <c r="AI253">
        <v>3.85</v>
      </c>
      <c r="AJ253" s="3">
        <f t="shared" si="106"/>
        <v>0.509090909090909</v>
      </c>
      <c r="AL253" s="4">
        <v>7.51513330416667</v>
      </c>
      <c r="AM253">
        <v>6.1</v>
      </c>
      <c r="AN253" s="5">
        <f t="shared" si="107"/>
        <v>1.41513330416667</v>
      </c>
      <c r="AO253">
        <v>1.89</v>
      </c>
      <c r="AP253" s="3">
        <f t="shared" si="108"/>
        <v>0.748747779982365</v>
      </c>
      <c r="AR253" s="4">
        <v>1.6958334625</v>
      </c>
      <c r="AS253">
        <v>0.02</v>
      </c>
      <c r="AT253" s="5">
        <f t="shared" si="109"/>
        <v>1.6758334625</v>
      </c>
      <c r="AU253">
        <v>2.84</v>
      </c>
      <c r="AV253" s="3">
        <f t="shared" si="110"/>
        <v>0.590082205105634</v>
      </c>
      <c r="AX253" s="4">
        <v>13.2547998916667</v>
      </c>
      <c r="AY253">
        <v>3.44</v>
      </c>
      <c r="AZ253" s="5">
        <f t="shared" si="111"/>
        <v>9.8147998916667</v>
      </c>
      <c r="BA253">
        <v>29.17</v>
      </c>
      <c r="BB253" s="3">
        <f t="shared" si="112"/>
        <v>0.336468971260429</v>
      </c>
      <c r="BD253" s="4">
        <v>0.8978333125</v>
      </c>
      <c r="BE253">
        <v>0.17</v>
      </c>
      <c r="BF253" s="5">
        <f t="shared" si="113"/>
        <v>0.7278333125</v>
      </c>
      <c r="BG253">
        <v>4</v>
      </c>
      <c r="BH253" s="3">
        <f t="shared" si="114"/>
        <v>0.181958328125</v>
      </c>
      <c r="BJ253" s="9">
        <v>10.1435833333333</v>
      </c>
      <c r="BK253">
        <v>4.8</v>
      </c>
      <c r="BL253" s="5">
        <f t="shared" si="115"/>
        <v>5.3435833333333</v>
      </c>
      <c r="BM253">
        <v>8.9</v>
      </c>
      <c r="BN253" s="3">
        <f t="shared" si="116"/>
        <v>0.600402621722843</v>
      </c>
      <c r="BP253" s="9">
        <v>0.332233333333333</v>
      </c>
      <c r="BQ253">
        <v>0.09</v>
      </c>
      <c r="BR253" s="5">
        <f t="shared" si="117"/>
        <v>0.242233333333333</v>
      </c>
      <c r="BS253">
        <v>0.43</v>
      </c>
      <c r="BT253" s="3">
        <f t="shared" si="118"/>
        <v>0.563333333333333</v>
      </c>
      <c r="BV253" s="4">
        <v>6.86559994166667</v>
      </c>
      <c r="BW253">
        <v>6.18</v>
      </c>
      <c r="BX253" s="5">
        <f t="shared" si="119"/>
        <v>0.685599941666671</v>
      </c>
      <c r="BY253">
        <v>1.68</v>
      </c>
      <c r="BZ253" s="3">
        <f t="shared" si="120"/>
        <v>0.408095203373018</v>
      </c>
      <c r="CB253" s="10">
        <v>57.2</v>
      </c>
      <c r="CC253">
        <v>54.3</v>
      </c>
      <c r="CD253" s="12">
        <f t="shared" si="121"/>
        <v>2.90000000000001</v>
      </c>
      <c r="CE253">
        <v>71.3</v>
      </c>
      <c r="CF253" s="3">
        <f t="shared" si="122"/>
        <v>0.0406732117812063</v>
      </c>
      <c r="CH253" s="13">
        <v>27.9</v>
      </c>
      <c r="CI253">
        <v>22.6</v>
      </c>
      <c r="CJ253">
        <f t="shared" si="123"/>
        <v>5.3</v>
      </c>
      <c r="CK253">
        <v>25.1</v>
      </c>
      <c r="CL253">
        <f t="shared" si="124"/>
        <v>0.211155378486056</v>
      </c>
      <c r="CN253" s="10">
        <v>4.9</v>
      </c>
      <c r="CO253">
        <v>3</v>
      </c>
      <c r="CP253" s="12">
        <f t="shared" si="125"/>
        <v>1.9</v>
      </c>
      <c r="CQ253">
        <v>3.4</v>
      </c>
      <c r="CR253" s="3">
        <f t="shared" si="126"/>
        <v>0.558823529411765</v>
      </c>
    </row>
    <row r="254" spans="2:96">
      <c r="B254" s="1">
        <v>38679</v>
      </c>
      <c r="C254">
        <v>32416</v>
      </c>
      <c r="D254" s="2">
        <f t="shared" si="127"/>
        <v>6263</v>
      </c>
      <c r="E254">
        <v>31904</v>
      </c>
      <c r="F254" s="3">
        <f t="shared" si="96"/>
        <v>0.196307673019057</v>
      </c>
      <c r="H254" s="1">
        <v>38580</v>
      </c>
      <c r="I254">
        <v>31145</v>
      </c>
      <c r="J254" s="2">
        <f t="shared" si="97"/>
        <v>7435</v>
      </c>
      <c r="K254">
        <v>32760</v>
      </c>
      <c r="L254" s="3">
        <f t="shared" si="98"/>
        <v>0.226953601953602</v>
      </c>
      <c r="N254" s="4">
        <v>258.726665495833</v>
      </c>
      <c r="O254">
        <v>201.27</v>
      </c>
      <c r="P254" s="5">
        <f t="shared" si="99"/>
        <v>57.456665495833</v>
      </c>
      <c r="Q254">
        <v>79.69</v>
      </c>
      <c r="R254" s="3">
        <f t="shared" si="100"/>
        <v>0.72100220223156</v>
      </c>
      <c r="T254" s="4">
        <v>100.233334858333</v>
      </c>
      <c r="U254">
        <v>100.23</v>
      </c>
      <c r="V254" s="5">
        <f t="shared" si="101"/>
        <v>0.00333485833299108</v>
      </c>
      <c r="W254">
        <v>410.93</v>
      </c>
      <c r="X254" s="3">
        <f t="shared" si="102"/>
        <v>8.11539272623336e-6</v>
      </c>
      <c r="Z254" s="19">
        <v>23.7710512070991</v>
      </c>
      <c r="AA254">
        <v>13.25</v>
      </c>
      <c r="AB254" s="5">
        <f t="shared" si="103"/>
        <v>10.5210512070991</v>
      </c>
      <c r="AC254">
        <v>33.93</v>
      </c>
      <c r="AD254" s="3">
        <f t="shared" si="104"/>
        <v>0.31008108479514</v>
      </c>
      <c r="AF254" s="16">
        <v>2.54</v>
      </c>
      <c r="AG254">
        <v>2.09</v>
      </c>
      <c r="AH254" s="5">
        <f t="shared" si="105"/>
        <v>0.45</v>
      </c>
      <c r="AI254">
        <v>3.85</v>
      </c>
      <c r="AJ254" s="3">
        <f t="shared" si="106"/>
        <v>0.116883116883117</v>
      </c>
      <c r="AL254" s="4">
        <v>7.50854162083333</v>
      </c>
      <c r="AM254">
        <v>6.1</v>
      </c>
      <c r="AN254" s="5">
        <f t="shared" si="107"/>
        <v>1.40854162083333</v>
      </c>
      <c r="AO254">
        <v>1.89</v>
      </c>
      <c r="AP254" s="3">
        <f t="shared" si="108"/>
        <v>0.745260116843032</v>
      </c>
      <c r="AR254" s="4">
        <v>1.24479177083333</v>
      </c>
      <c r="AS254">
        <v>0.02</v>
      </c>
      <c r="AT254" s="5">
        <f t="shared" si="109"/>
        <v>1.22479177083333</v>
      </c>
      <c r="AU254">
        <v>2.84</v>
      </c>
      <c r="AV254" s="3">
        <f t="shared" si="110"/>
        <v>0.431264708039905</v>
      </c>
      <c r="AX254" s="4">
        <v>13.8415332958333</v>
      </c>
      <c r="AY254">
        <v>3.44</v>
      </c>
      <c r="AZ254" s="5">
        <f t="shared" si="111"/>
        <v>10.4015332958333</v>
      </c>
      <c r="BA254">
        <v>29.17</v>
      </c>
      <c r="BB254" s="3">
        <f t="shared" si="112"/>
        <v>0.356583246343274</v>
      </c>
      <c r="BD254" s="4">
        <v>1.61450000833333</v>
      </c>
      <c r="BE254">
        <v>0.17</v>
      </c>
      <c r="BF254" s="5">
        <f t="shared" si="113"/>
        <v>1.44450000833333</v>
      </c>
      <c r="BG254">
        <v>4</v>
      </c>
      <c r="BH254" s="3">
        <f t="shared" si="114"/>
        <v>0.361125002083333</v>
      </c>
      <c r="BJ254" s="9">
        <v>9.65524994583333</v>
      </c>
      <c r="BK254">
        <v>4.8</v>
      </c>
      <c r="BL254" s="5">
        <f t="shared" si="115"/>
        <v>4.85524994583333</v>
      </c>
      <c r="BM254">
        <v>8.9</v>
      </c>
      <c r="BN254" s="3">
        <f t="shared" si="116"/>
        <v>0.545533701779026</v>
      </c>
      <c r="BP254" s="9">
        <v>0.345833333333333</v>
      </c>
      <c r="BQ254">
        <v>0.09</v>
      </c>
      <c r="BR254" s="5">
        <f t="shared" si="117"/>
        <v>0.255833333333333</v>
      </c>
      <c r="BS254">
        <v>0.43</v>
      </c>
      <c r="BT254" s="3">
        <f t="shared" si="118"/>
        <v>0.594961240310077</v>
      </c>
      <c r="BV254" s="4">
        <v>6.86939168333333</v>
      </c>
      <c r="BW254">
        <v>6.18</v>
      </c>
      <c r="BX254" s="5">
        <f t="shared" si="119"/>
        <v>0.68939168333333</v>
      </c>
      <c r="BY254">
        <v>1.68</v>
      </c>
      <c r="BZ254" s="3">
        <f t="shared" si="120"/>
        <v>0.410352192460316</v>
      </c>
      <c r="CB254" s="10">
        <v>54.3</v>
      </c>
      <c r="CC254">
        <v>54.3</v>
      </c>
      <c r="CD254" s="12">
        <f t="shared" si="121"/>
        <v>0</v>
      </c>
      <c r="CE254">
        <v>71.3</v>
      </c>
      <c r="CF254" s="3">
        <f t="shared" si="122"/>
        <v>0</v>
      </c>
      <c r="CH254" s="13">
        <v>28.5</v>
      </c>
      <c r="CI254">
        <v>22.6</v>
      </c>
      <c r="CJ254">
        <f t="shared" si="123"/>
        <v>5.9</v>
      </c>
      <c r="CK254">
        <v>25.1</v>
      </c>
      <c r="CL254">
        <f t="shared" si="124"/>
        <v>0.235059760956175</v>
      </c>
      <c r="CN254" s="10">
        <v>5.3</v>
      </c>
      <c r="CO254">
        <v>3</v>
      </c>
      <c r="CP254" s="12">
        <f t="shared" si="125"/>
        <v>2.3</v>
      </c>
      <c r="CQ254">
        <v>3.4</v>
      </c>
      <c r="CR254" s="3">
        <f t="shared" si="126"/>
        <v>0.676470588235294</v>
      </c>
    </row>
    <row r="255" spans="2:96">
      <c r="B255" s="1">
        <v>52871</v>
      </c>
      <c r="C255">
        <v>32416</v>
      </c>
      <c r="D255" s="2">
        <f t="shared" si="127"/>
        <v>20455</v>
      </c>
      <c r="E255">
        <v>31904</v>
      </c>
      <c r="F255" s="3">
        <f t="shared" si="96"/>
        <v>0.641142176529589</v>
      </c>
      <c r="H255" s="1">
        <v>52608</v>
      </c>
      <c r="I255">
        <v>31145</v>
      </c>
      <c r="J255" s="2">
        <f t="shared" si="97"/>
        <v>21463</v>
      </c>
      <c r="K255">
        <v>32760</v>
      </c>
      <c r="L255" s="3">
        <f t="shared" si="98"/>
        <v>0.65515873015873</v>
      </c>
      <c r="N255" s="4">
        <v>250.013334920833</v>
      </c>
      <c r="O255">
        <v>201.27</v>
      </c>
      <c r="P255" s="5">
        <f t="shared" si="99"/>
        <v>48.743334920833</v>
      </c>
      <c r="Q255">
        <v>79.69</v>
      </c>
      <c r="R255" s="3">
        <f t="shared" si="100"/>
        <v>0.611661876281001</v>
      </c>
      <c r="T255" s="4">
        <v>135.491667108333</v>
      </c>
      <c r="U255">
        <v>100.23</v>
      </c>
      <c r="V255" s="5">
        <f t="shared" si="101"/>
        <v>35.261667108333</v>
      </c>
      <c r="W255">
        <v>410.93</v>
      </c>
      <c r="X255" s="3">
        <f t="shared" si="102"/>
        <v>0.0858094252265179</v>
      </c>
      <c r="Z255" s="19">
        <v>27.4696602356307</v>
      </c>
      <c r="AA255">
        <v>13.25</v>
      </c>
      <c r="AB255" s="5">
        <f t="shared" si="103"/>
        <v>14.2196602356307</v>
      </c>
      <c r="AC255">
        <v>33.93</v>
      </c>
      <c r="AD255" s="3">
        <f t="shared" si="104"/>
        <v>0.419088129549976</v>
      </c>
      <c r="AF255" s="17">
        <v>2.09</v>
      </c>
      <c r="AG255">
        <v>2.09</v>
      </c>
      <c r="AH255" s="5">
        <f t="shared" si="105"/>
        <v>0</v>
      </c>
      <c r="AI255">
        <v>3.85</v>
      </c>
      <c r="AJ255" s="3">
        <f t="shared" si="106"/>
        <v>0</v>
      </c>
      <c r="AL255" s="4">
        <v>7.49955839166667</v>
      </c>
      <c r="AM255">
        <v>6.1</v>
      </c>
      <c r="AN255" s="5">
        <f t="shared" si="107"/>
        <v>1.39955839166667</v>
      </c>
      <c r="AO255">
        <v>1.89</v>
      </c>
      <c r="AP255" s="3">
        <f t="shared" si="108"/>
        <v>0.740507085537921</v>
      </c>
      <c r="AR255" s="4">
        <v>1.87145830833333</v>
      </c>
      <c r="AS255">
        <v>0.02</v>
      </c>
      <c r="AT255" s="5">
        <f t="shared" si="109"/>
        <v>1.85145830833333</v>
      </c>
      <c r="AU255">
        <v>2.84</v>
      </c>
      <c r="AV255" s="3">
        <f t="shared" si="110"/>
        <v>0.651921939553989</v>
      </c>
      <c r="AX255" s="4">
        <v>13.9368670083333</v>
      </c>
      <c r="AY255">
        <v>3.44</v>
      </c>
      <c r="AZ255" s="5">
        <f t="shared" si="111"/>
        <v>10.4968670083333</v>
      </c>
      <c r="BA255">
        <v>29.17</v>
      </c>
      <c r="BB255" s="3">
        <f t="shared" si="112"/>
        <v>0.359851457262026</v>
      </c>
      <c r="BD255" s="4">
        <v>2.5735832875</v>
      </c>
      <c r="BE255">
        <v>0.17</v>
      </c>
      <c r="BF255" s="5">
        <f t="shared" si="113"/>
        <v>2.4035832875</v>
      </c>
      <c r="BG255">
        <v>4</v>
      </c>
      <c r="BH255" s="3">
        <f t="shared" si="114"/>
        <v>0.600895821875</v>
      </c>
      <c r="BJ255" s="9">
        <v>11.2801666666667</v>
      </c>
      <c r="BK255">
        <v>4.8</v>
      </c>
      <c r="BL255" s="5">
        <f t="shared" si="115"/>
        <v>6.4801666666667</v>
      </c>
      <c r="BM255">
        <v>8.9</v>
      </c>
      <c r="BN255" s="3">
        <f t="shared" si="116"/>
        <v>0.728108614232214</v>
      </c>
      <c r="BP255" s="9">
        <v>0.330941666666667</v>
      </c>
      <c r="BQ255">
        <v>0.09</v>
      </c>
      <c r="BR255" s="5">
        <f t="shared" si="117"/>
        <v>0.240941666666667</v>
      </c>
      <c r="BS255">
        <v>0.43</v>
      </c>
      <c r="BT255" s="3">
        <f t="shared" si="118"/>
        <v>0.560329457364342</v>
      </c>
      <c r="BV255" s="4">
        <v>6.89826655416667</v>
      </c>
      <c r="BW255">
        <v>6.18</v>
      </c>
      <c r="BX255" s="5">
        <f t="shared" si="119"/>
        <v>0.718266554166671</v>
      </c>
      <c r="BY255">
        <v>1.68</v>
      </c>
      <c r="BZ255" s="3">
        <f t="shared" si="120"/>
        <v>0.427539615575399</v>
      </c>
      <c r="CB255" s="10">
        <v>58.9</v>
      </c>
      <c r="CC255">
        <v>54.3</v>
      </c>
      <c r="CD255" s="12">
        <f t="shared" si="121"/>
        <v>4.6</v>
      </c>
      <c r="CE255">
        <v>71.3</v>
      </c>
      <c r="CF255" s="3">
        <f t="shared" si="122"/>
        <v>0.0645161290322581</v>
      </c>
      <c r="CH255" s="13">
        <v>29.4</v>
      </c>
      <c r="CI255">
        <v>22.6</v>
      </c>
      <c r="CJ255">
        <f t="shared" si="123"/>
        <v>6.8</v>
      </c>
      <c r="CK255">
        <v>25.1</v>
      </c>
      <c r="CL255">
        <f t="shared" si="124"/>
        <v>0.270916334661354</v>
      </c>
      <c r="CN255" s="10">
        <v>5.2</v>
      </c>
      <c r="CO255">
        <v>3</v>
      </c>
      <c r="CP255" s="12">
        <f t="shared" si="125"/>
        <v>2.2</v>
      </c>
      <c r="CQ255">
        <v>3.4</v>
      </c>
      <c r="CR255" s="3">
        <f t="shared" si="126"/>
        <v>0.647058823529412</v>
      </c>
    </row>
    <row r="256" spans="2:96">
      <c r="B256" s="1">
        <v>52748</v>
      </c>
      <c r="C256">
        <v>32416</v>
      </c>
      <c r="D256" s="2">
        <f t="shared" si="127"/>
        <v>20332</v>
      </c>
      <c r="E256">
        <v>31904</v>
      </c>
      <c r="F256" s="3">
        <f t="shared" si="96"/>
        <v>0.637286860581745</v>
      </c>
      <c r="H256" s="1">
        <v>52428</v>
      </c>
      <c r="I256">
        <v>31145</v>
      </c>
      <c r="J256" s="2">
        <f t="shared" si="97"/>
        <v>21283</v>
      </c>
      <c r="K256">
        <v>32760</v>
      </c>
      <c r="L256" s="3">
        <f t="shared" si="98"/>
        <v>0.649664224664225</v>
      </c>
      <c r="N256" s="4">
        <v>262.53666815</v>
      </c>
      <c r="O256">
        <v>201.27</v>
      </c>
      <c r="P256" s="5">
        <f t="shared" si="99"/>
        <v>61.26666815</v>
      </c>
      <c r="Q256">
        <v>79.69</v>
      </c>
      <c r="R256" s="3">
        <f t="shared" si="100"/>
        <v>0.768812500313716</v>
      </c>
      <c r="T256" s="4">
        <v>137.125000954167</v>
      </c>
      <c r="U256">
        <v>100.23</v>
      </c>
      <c r="V256" s="5">
        <f t="shared" si="101"/>
        <v>36.895000954167</v>
      </c>
      <c r="W256">
        <v>410.93</v>
      </c>
      <c r="X256" s="3">
        <f t="shared" si="102"/>
        <v>0.089784150473723</v>
      </c>
      <c r="Z256" s="19">
        <v>22.2976197482066</v>
      </c>
      <c r="AA256">
        <v>13.25</v>
      </c>
      <c r="AB256" s="5">
        <f t="shared" si="103"/>
        <v>9.0476197482066</v>
      </c>
      <c r="AC256">
        <v>33.93</v>
      </c>
      <c r="AD256" s="3">
        <f t="shared" si="104"/>
        <v>0.266655459717259</v>
      </c>
      <c r="AF256" s="17">
        <v>3.312</v>
      </c>
      <c r="AG256">
        <v>2.09</v>
      </c>
      <c r="AH256" s="5">
        <f t="shared" si="105"/>
        <v>1.222</v>
      </c>
      <c r="AI256">
        <v>3.85</v>
      </c>
      <c r="AJ256" s="3">
        <f t="shared" si="106"/>
        <v>0.317402597402597</v>
      </c>
      <c r="AL256" s="4">
        <v>7.48334167083333</v>
      </c>
      <c r="AM256">
        <v>6.1</v>
      </c>
      <c r="AN256" s="5">
        <f t="shared" si="107"/>
        <v>1.38334167083333</v>
      </c>
      <c r="AO256">
        <v>1.89</v>
      </c>
      <c r="AP256" s="3">
        <f t="shared" si="108"/>
        <v>0.731926809964725</v>
      </c>
      <c r="AR256" s="4">
        <v>2.63500001666667</v>
      </c>
      <c r="AS256">
        <v>0.02</v>
      </c>
      <c r="AT256" s="5">
        <f t="shared" si="109"/>
        <v>2.61500001666667</v>
      </c>
      <c r="AU256">
        <v>2.84</v>
      </c>
      <c r="AV256" s="3">
        <f t="shared" si="110"/>
        <v>0.92077465375587</v>
      </c>
      <c r="AX256" s="4">
        <v>13.919533325</v>
      </c>
      <c r="AY256">
        <v>3.44</v>
      </c>
      <c r="AZ256" s="5">
        <f t="shared" si="111"/>
        <v>10.479533325</v>
      </c>
      <c r="BA256">
        <v>29.17</v>
      </c>
      <c r="BB256" s="3">
        <f t="shared" si="112"/>
        <v>0.359257227459719</v>
      </c>
      <c r="BD256" s="4">
        <v>1.51708334583333</v>
      </c>
      <c r="BE256">
        <v>0.17</v>
      </c>
      <c r="BF256" s="5">
        <f t="shared" si="113"/>
        <v>1.34708334583333</v>
      </c>
      <c r="BG256">
        <v>4</v>
      </c>
      <c r="BH256" s="3">
        <f t="shared" si="114"/>
        <v>0.336770836458333</v>
      </c>
      <c r="BJ256" s="9">
        <v>10.4240834333333</v>
      </c>
      <c r="BK256">
        <v>4.8</v>
      </c>
      <c r="BL256" s="5">
        <f t="shared" si="115"/>
        <v>5.6240834333333</v>
      </c>
      <c r="BM256">
        <v>8.9</v>
      </c>
      <c r="BN256" s="3">
        <f t="shared" si="116"/>
        <v>0.631919486891382</v>
      </c>
      <c r="BP256" s="9">
        <v>0.292525</v>
      </c>
      <c r="BQ256">
        <v>0.09</v>
      </c>
      <c r="BR256" s="5">
        <f t="shared" si="117"/>
        <v>0.202525</v>
      </c>
      <c r="BS256">
        <v>0.43</v>
      </c>
      <c r="BT256" s="3">
        <f t="shared" si="118"/>
        <v>0.470988372093023</v>
      </c>
      <c r="BV256" s="4">
        <v>6.82855832916667</v>
      </c>
      <c r="BW256">
        <v>6.18</v>
      </c>
      <c r="BX256" s="5">
        <f t="shared" si="119"/>
        <v>0.64855832916667</v>
      </c>
      <c r="BY256">
        <v>1.68</v>
      </c>
      <c r="BZ256" s="3">
        <f t="shared" si="120"/>
        <v>0.38604662450397</v>
      </c>
      <c r="CB256" s="10">
        <v>56.3</v>
      </c>
      <c r="CC256">
        <v>54.3</v>
      </c>
      <c r="CD256" s="12">
        <f t="shared" si="121"/>
        <v>2</v>
      </c>
      <c r="CE256">
        <v>71.3</v>
      </c>
      <c r="CF256" s="3">
        <f t="shared" si="122"/>
        <v>0.0280504908835905</v>
      </c>
      <c r="CH256" s="13">
        <v>30.4</v>
      </c>
      <c r="CI256">
        <v>22.6</v>
      </c>
      <c r="CJ256">
        <f t="shared" si="123"/>
        <v>7.8</v>
      </c>
      <c r="CK256">
        <v>25.1</v>
      </c>
      <c r="CL256">
        <f t="shared" si="124"/>
        <v>0.310756972111554</v>
      </c>
      <c r="CN256" s="10">
        <v>4.9</v>
      </c>
      <c r="CO256">
        <v>3</v>
      </c>
      <c r="CP256" s="12">
        <f t="shared" si="125"/>
        <v>1.9</v>
      </c>
      <c r="CQ256">
        <v>3.4</v>
      </c>
      <c r="CR256" s="3">
        <f t="shared" si="126"/>
        <v>0.558823529411765</v>
      </c>
    </row>
    <row r="257" spans="2:96">
      <c r="B257" s="1">
        <v>51024</v>
      </c>
      <c r="C257">
        <v>32416</v>
      </c>
      <c r="D257" s="2">
        <f t="shared" si="127"/>
        <v>18608</v>
      </c>
      <c r="E257">
        <v>31904</v>
      </c>
      <c r="F257" s="3">
        <f t="shared" si="96"/>
        <v>0.583249749247743</v>
      </c>
      <c r="H257" s="1">
        <v>50440</v>
      </c>
      <c r="I257">
        <v>31145</v>
      </c>
      <c r="J257" s="2">
        <f t="shared" si="97"/>
        <v>19295</v>
      </c>
      <c r="K257">
        <v>32760</v>
      </c>
      <c r="L257" s="3">
        <f t="shared" si="98"/>
        <v>0.588980463980464</v>
      </c>
      <c r="N257" s="4">
        <v>263.646668125</v>
      </c>
      <c r="O257">
        <v>201.27</v>
      </c>
      <c r="P257" s="5">
        <f t="shared" si="99"/>
        <v>62.376668125</v>
      </c>
      <c r="Q257">
        <v>79.69</v>
      </c>
      <c r="R257" s="3">
        <f t="shared" si="100"/>
        <v>0.782741474777262</v>
      </c>
      <c r="T257" s="4">
        <v>146.9375006375</v>
      </c>
      <c r="U257">
        <v>100.23</v>
      </c>
      <c r="V257" s="5">
        <f t="shared" si="101"/>
        <v>46.7075006375</v>
      </c>
      <c r="W257">
        <v>410.93</v>
      </c>
      <c r="X257" s="3">
        <f t="shared" si="102"/>
        <v>0.11366291250943</v>
      </c>
      <c r="Z257" s="19">
        <v>26.4685823396682</v>
      </c>
      <c r="AA257">
        <v>13.25</v>
      </c>
      <c r="AB257" s="5">
        <f t="shared" si="103"/>
        <v>13.2185823396682</v>
      </c>
      <c r="AC257">
        <v>33.93</v>
      </c>
      <c r="AD257" s="3">
        <f t="shared" si="104"/>
        <v>0.389583918056829</v>
      </c>
      <c r="AF257" s="16">
        <v>2.44</v>
      </c>
      <c r="AG257">
        <v>2.09</v>
      </c>
      <c r="AH257" s="5">
        <f t="shared" si="105"/>
        <v>0.35</v>
      </c>
      <c r="AI257">
        <v>3.85</v>
      </c>
      <c r="AJ257" s="3">
        <f t="shared" si="106"/>
        <v>0.0909090909090909</v>
      </c>
      <c r="AL257" s="4">
        <v>7.52324165416667</v>
      </c>
      <c r="AM257">
        <v>6.1</v>
      </c>
      <c r="AN257" s="5">
        <f t="shared" si="107"/>
        <v>1.42324165416667</v>
      </c>
      <c r="AO257">
        <v>1.89</v>
      </c>
      <c r="AP257" s="3">
        <f t="shared" si="108"/>
        <v>0.753037912257497</v>
      </c>
      <c r="AR257" s="4">
        <v>1.99270834583333</v>
      </c>
      <c r="AS257">
        <v>0.02</v>
      </c>
      <c r="AT257" s="5">
        <f t="shared" si="109"/>
        <v>1.97270834583333</v>
      </c>
      <c r="AU257">
        <v>2.84</v>
      </c>
      <c r="AV257" s="3">
        <f t="shared" si="110"/>
        <v>0.694615614730046</v>
      </c>
      <c r="AX257" s="4">
        <v>13.1768000083333</v>
      </c>
      <c r="AY257">
        <v>3.44</v>
      </c>
      <c r="AZ257" s="5">
        <f t="shared" si="111"/>
        <v>9.7368000083333</v>
      </c>
      <c r="BA257">
        <v>29.17</v>
      </c>
      <c r="BB257" s="3">
        <f t="shared" si="112"/>
        <v>0.333794995143411</v>
      </c>
      <c r="BD257" s="4">
        <v>0.5575</v>
      </c>
      <c r="BE257">
        <v>0.17</v>
      </c>
      <c r="BF257" s="5">
        <f t="shared" si="113"/>
        <v>0.3875</v>
      </c>
      <c r="BG257">
        <v>4</v>
      </c>
      <c r="BH257" s="3">
        <f t="shared" si="114"/>
        <v>0.096875</v>
      </c>
      <c r="BJ257" s="9">
        <v>8.49458325833333</v>
      </c>
      <c r="BK257">
        <v>4.8</v>
      </c>
      <c r="BL257" s="5">
        <f t="shared" si="115"/>
        <v>3.69458325833333</v>
      </c>
      <c r="BM257">
        <v>8.9</v>
      </c>
      <c r="BN257" s="3">
        <f t="shared" si="116"/>
        <v>0.415121714419475</v>
      </c>
      <c r="BP257" s="9">
        <v>0.269833333333333</v>
      </c>
      <c r="BQ257">
        <v>0.09</v>
      </c>
      <c r="BR257" s="5">
        <f t="shared" si="117"/>
        <v>0.179833333333333</v>
      </c>
      <c r="BS257">
        <v>0.43</v>
      </c>
      <c r="BT257" s="3">
        <f t="shared" si="118"/>
        <v>0.418217054263565</v>
      </c>
      <c r="BV257" s="4">
        <v>6.89634167083333</v>
      </c>
      <c r="BW257">
        <v>6.18</v>
      </c>
      <c r="BX257" s="5">
        <f t="shared" si="119"/>
        <v>0.71634167083333</v>
      </c>
      <c r="BY257">
        <v>1.68</v>
      </c>
      <c r="BZ257" s="3">
        <f t="shared" si="120"/>
        <v>0.426393851686506</v>
      </c>
      <c r="CB257" s="10">
        <v>58.9</v>
      </c>
      <c r="CC257">
        <v>54.3</v>
      </c>
      <c r="CD257" s="12">
        <f t="shared" si="121"/>
        <v>4.6</v>
      </c>
      <c r="CE257">
        <v>71.3</v>
      </c>
      <c r="CF257" s="3">
        <f t="shared" si="122"/>
        <v>0.0645161290322581</v>
      </c>
      <c r="CH257" s="13">
        <v>31.8</v>
      </c>
      <c r="CI257">
        <v>22.6</v>
      </c>
      <c r="CJ257">
        <f t="shared" si="123"/>
        <v>9.2</v>
      </c>
      <c r="CK257">
        <v>25.1</v>
      </c>
      <c r="CL257">
        <f t="shared" si="124"/>
        <v>0.366533864541833</v>
      </c>
      <c r="CN257" s="10">
        <v>4.6</v>
      </c>
      <c r="CO257">
        <v>3</v>
      </c>
      <c r="CP257" s="12">
        <f t="shared" si="125"/>
        <v>1.6</v>
      </c>
      <c r="CQ257">
        <v>3.4</v>
      </c>
      <c r="CR257" s="3">
        <f t="shared" si="126"/>
        <v>0.470588235294118</v>
      </c>
    </row>
    <row r="258" spans="2:96">
      <c r="B258" s="1">
        <v>53112</v>
      </c>
      <c r="C258">
        <v>32416</v>
      </c>
      <c r="D258" s="2">
        <f t="shared" si="127"/>
        <v>20696</v>
      </c>
      <c r="E258">
        <v>31904</v>
      </c>
      <c r="F258" s="3">
        <f t="shared" ref="F258:F321" si="128">D258/E258</f>
        <v>0.648696088264794</v>
      </c>
      <c r="H258" s="1">
        <v>52583</v>
      </c>
      <c r="I258">
        <v>31145</v>
      </c>
      <c r="J258" s="2">
        <f t="shared" ref="J258:J321" si="129">H258-I258</f>
        <v>21438</v>
      </c>
      <c r="K258">
        <v>32760</v>
      </c>
      <c r="L258" s="3">
        <f t="shared" ref="L258:L321" si="130">J258/K258</f>
        <v>0.654395604395604</v>
      </c>
      <c r="N258" s="4">
        <v>275.276669833333</v>
      </c>
      <c r="O258">
        <v>201.27</v>
      </c>
      <c r="P258" s="5">
        <f t="shared" ref="P258:P321" si="131">N258-O258</f>
        <v>74.006669833333</v>
      </c>
      <c r="Q258">
        <v>79.69</v>
      </c>
      <c r="R258" s="3">
        <f t="shared" ref="R258:R321" si="132">P258/Q258</f>
        <v>0.928682015727607</v>
      </c>
      <c r="T258" s="4">
        <v>135.4625002625</v>
      </c>
      <c r="U258">
        <v>100.23</v>
      </c>
      <c r="V258" s="5">
        <f t="shared" ref="V258:V321" si="133">T258-U258</f>
        <v>35.2325002625</v>
      </c>
      <c r="W258">
        <v>410.93</v>
      </c>
      <c r="X258" s="3">
        <f t="shared" ref="X258:X321" si="134">V258/W258</f>
        <v>0.0857384475762295</v>
      </c>
      <c r="Z258" s="19">
        <v>32.2569572867012</v>
      </c>
      <c r="AA258">
        <v>13.25</v>
      </c>
      <c r="AB258" s="5">
        <f t="shared" ref="AB258:AB321" si="135">Z258-AA258</f>
        <v>19.0069572867012</v>
      </c>
      <c r="AC258">
        <v>33.93</v>
      </c>
      <c r="AD258" s="3">
        <f t="shared" ref="AD258:AD321" si="136">AB258/AC258</f>
        <v>0.560181470282971</v>
      </c>
      <c r="AF258" s="16">
        <v>2.75</v>
      </c>
      <c r="AG258">
        <v>2.09</v>
      </c>
      <c r="AH258" s="5">
        <f t="shared" ref="AH258:AH321" si="137">AF258-AG258</f>
        <v>0.66</v>
      </c>
      <c r="AI258">
        <v>3.85</v>
      </c>
      <c r="AJ258" s="3">
        <f t="shared" ref="AJ258:AJ321" si="138">AH258/AI258</f>
        <v>0.171428571428571</v>
      </c>
      <c r="AL258" s="4">
        <v>7.49985005</v>
      </c>
      <c r="AM258">
        <v>6.1</v>
      </c>
      <c r="AN258" s="5">
        <f t="shared" ref="AN258:AN321" si="139">AL258-AM258</f>
        <v>1.39985005</v>
      </c>
      <c r="AO258">
        <v>1.89</v>
      </c>
      <c r="AP258" s="3">
        <f t="shared" ref="AP258:AP321" si="140">AN258/AO258</f>
        <v>0.740661402116402</v>
      </c>
      <c r="AR258" s="4">
        <v>2.22666660833333</v>
      </c>
      <c r="AS258">
        <v>0.02</v>
      </c>
      <c r="AT258" s="5">
        <f t="shared" ref="AT258:AT321" si="141">AR258-AS258</f>
        <v>2.20666660833333</v>
      </c>
      <c r="AU258">
        <v>2.84</v>
      </c>
      <c r="AV258" s="3">
        <f t="shared" ref="AV258:AV321" si="142">AT258/AU258</f>
        <v>0.776995284624412</v>
      </c>
      <c r="AX258" s="4">
        <v>13.8337335541667</v>
      </c>
      <c r="AY258">
        <v>3.44</v>
      </c>
      <c r="AZ258" s="5">
        <f t="shared" ref="AZ258:AZ321" si="143">AX258-AY258</f>
        <v>10.3937335541667</v>
      </c>
      <c r="BA258">
        <v>29.17</v>
      </c>
      <c r="BB258" s="3">
        <f t="shared" ref="BB258:BB321" si="144">AZ258/BA258</f>
        <v>0.356315857187751</v>
      </c>
      <c r="BD258" s="4">
        <v>1.00000000416667</v>
      </c>
      <c r="BE258">
        <v>0.17</v>
      </c>
      <c r="BF258" s="5">
        <f t="shared" ref="BF258:BF321" si="145">BD258-BE258</f>
        <v>0.83000000416667</v>
      </c>
      <c r="BG258">
        <v>4</v>
      </c>
      <c r="BH258" s="3">
        <f t="shared" ref="BH258:BH321" si="146">BF258/BG258</f>
        <v>0.207500001041667</v>
      </c>
      <c r="BJ258" s="9">
        <v>8.64683327083334</v>
      </c>
      <c r="BK258">
        <v>4.8</v>
      </c>
      <c r="BL258" s="5">
        <f t="shared" ref="BL258:BL321" si="147">BJ258-BK258</f>
        <v>3.84683327083334</v>
      </c>
      <c r="BM258">
        <v>8.9</v>
      </c>
      <c r="BN258" s="3">
        <f t="shared" ref="BN258:BN321" si="148">BL258/BM258</f>
        <v>0.432228457397005</v>
      </c>
      <c r="BP258" s="9">
        <v>0.28905</v>
      </c>
      <c r="BQ258">
        <v>0.09</v>
      </c>
      <c r="BR258" s="5">
        <f t="shared" ref="BR258:BR321" si="149">BP258-BQ258</f>
        <v>0.19905</v>
      </c>
      <c r="BS258">
        <v>0.43</v>
      </c>
      <c r="BT258" s="3">
        <f t="shared" ref="BT258:BT321" si="150">BR258/BS258</f>
        <v>0.462906976744186</v>
      </c>
      <c r="BV258" s="4">
        <v>6.90240834166667</v>
      </c>
      <c r="BW258">
        <v>6.18</v>
      </c>
      <c r="BX258" s="5">
        <f t="shared" ref="BX258:BX321" si="151">BV258-BW258</f>
        <v>0.722408341666671</v>
      </c>
      <c r="BY258">
        <v>1.68</v>
      </c>
      <c r="BZ258" s="3">
        <f t="shared" ref="BZ258:BZ321" si="152">BX258/BY258</f>
        <v>0.43000496527778</v>
      </c>
      <c r="CB258" s="10">
        <v>60.4</v>
      </c>
      <c r="CC258">
        <v>54.3</v>
      </c>
      <c r="CD258" s="12">
        <f t="shared" ref="CD258:CD321" si="153">CB258-CC258</f>
        <v>6.1</v>
      </c>
      <c r="CE258">
        <v>71.3</v>
      </c>
      <c r="CF258" s="3">
        <f t="shared" ref="CF258:CF321" si="154">CD258/CE258</f>
        <v>0.0855539971949509</v>
      </c>
      <c r="CH258" s="13">
        <v>29.6</v>
      </c>
      <c r="CI258">
        <v>22.6</v>
      </c>
      <c r="CJ258">
        <f t="shared" ref="CJ258:CJ321" si="155">CH258-CI258</f>
        <v>7</v>
      </c>
      <c r="CK258">
        <v>25.1</v>
      </c>
      <c r="CL258">
        <f t="shared" ref="CL258:CL321" si="156">CJ258/CK258</f>
        <v>0.278884462151394</v>
      </c>
      <c r="CN258" s="10">
        <v>4.4</v>
      </c>
      <c r="CO258">
        <v>3</v>
      </c>
      <c r="CP258" s="12">
        <f t="shared" ref="CP258:CP321" si="157">CN258-CO258</f>
        <v>1.4</v>
      </c>
      <c r="CQ258">
        <v>3.4</v>
      </c>
      <c r="CR258" s="3">
        <f t="shared" ref="CR258:CR321" si="158">CP258/CQ258</f>
        <v>0.411764705882353</v>
      </c>
    </row>
    <row r="259" spans="2:96">
      <c r="B259" s="1">
        <v>52347</v>
      </c>
      <c r="C259">
        <v>32416</v>
      </c>
      <c r="D259" s="2">
        <f t="shared" ref="D259:D322" si="159">B259-C259</f>
        <v>19931</v>
      </c>
      <c r="E259">
        <v>31904</v>
      </c>
      <c r="F259" s="3">
        <f t="shared" si="128"/>
        <v>0.624717903711133</v>
      </c>
      <c r="H259" s="1">
        <v>52187</v>
      </c>
      <c r="I259">
        <v>31145</v>
      </c>
      <c r="J259" s="2">
        <f t="shared" si="129"/>
        <v>21042</v>
      </c>
      <c r="K259">
        <v>32760</v>
      </c>
      <c r="L259" s="3">
        <f t="shared" si="130"/>
        <v>0.642307692307692</v>
      </c>
      <c r="N259" s="4">
        <v>265.13666915</v>
      </c>
      <c r="O259">
        <v>201.27</v>
      </c>
      <c r="P259" s="5">
        <f t="shared" si="131"/>
        <v>63.86666915</v>
      </c>
      <c r="Q259">
        <v>79.69</v>
      </c>
      <c r="R259" s="3">
        <f t="shared" si="132"/>
        <v>0.80143894026854</v>
      </c>
      <c r="T259" s="4">
        <v>137.745833395833</v>
      </c>
      <c r="U259">
        <v>100.23</v>
      </c>
      <c r="V259" s="5">
        <f t="shared" si="133"/>
        <v>37.515833395833</v>
      </c>
      <c r="W259">
        <v>410.93</v>
      </c>
      <c r="X259" s="3">
        <f t="shared" si="134"/>
        <v>0.0912949490079405</v>
      </c>
      <c r="Z259" s="19">
        <v>27.1164579830068</v>
      </c>
      <c r="AA259">
        <v>13.25</v>
      </c>
      <c r="AB259" s="5">
        <f t="shared" si="135"/>
        <v>13.8664579830068</v>
      </c>
      <c r="AC259">
        <v>33.93</v>
      </c>
      <c r="AD259" s="3">
        <f t="shared" si="136"/>
        <v>0.408678396198255</v>
      </c>
      <c r="AF259" s="16">
        <v>3.37</v>
      </c>
      <c r="AG259">
        <v>2.09</v>
      </c>
      <c r="AH259" s="5">
        <f t="shared" si="137"/>
        <v>1.28</v>
      </c>
      <c r="AI259">
        <v>3.85</v>
      </c>
      <c r="AJ259" s="3">
        <f t="shared" si="138"/>
        <v>0.332467532467533</v>
      </c>
      <c r="AL259" s="4">
        <v>7.539808275</v>
      </c>
      <c r="AM259">
        <v>6.1</v>
      </c>
      <c r="AN259" s="5">
        <f t="shared" si="139"/>
        <v>1.439808275</v>
      </c>
      <c r="AO259">
        <v>1.89</v>
      </c>
      <c r="AP259" s="3">
        <f t="shared" si="140"/>
        <v>0.761803320105821</v>
      </c>
      <c r="AR259" s="4">
        <v>2.20041667916667</v>
      </c>
      <c r="AS259">
        <v>0.02</v>
      </c>
      <c r="AT259" s="5">
        <f t="shared" si="141"/>
        <v>2.18041667916667</v>
      </c>
      <c r="AU259">
        <v>2.84</v>
      </c>
      <c r="AV259" s="3">
        <f t="shared" si="142"/>
        <v>0.76775235181925</v>
      </c>
      <c r="AX259" s="4">
        <v>14.7593335208333</v>
      </c>
      <c r="AY259">
        <v>3.44</v>
      </c>
      <c r="AZ259" s="5">
        <f t="shared" si="143"/>
        <v>11.3193335208333</v>
      </c>
      <c r="BA259">
        <v>29.17</v>
      </c>
      <c r="BB259" s="3">
        <f t="shared" si="144"/>
        <v>0.388047086761512</v>
      </c>
      <c r="BD259" s="4">
        <v>1.60608333333333</v>
      </c>
      <c r="BE259">
        <v>0.17</v>
      </c>
      <c r="BF259" s="5">
        <f t="shared" si="145"/>
        <v>1.43608333333333</v>
      </c>
      <c r="BG259">
        <v>4</v>
      </c>
      <c r="BH259" s="3">
        <f t="shared" si="146"/>
        <v>0.359020833333333</v>
      </c>
      <c r="BJ259" s="9">
        <v>8.343166725</v>
      </c>
      <c r="BK259">
        <v>4.8</v>
      </c>
      <c r="BL259" s="5">
        <f t="shared" si="147"/>
        <v>3.543166725</v>
      </c>
      <c r="BM259">
        <v>8.9</v>
      </c>
      <c r="BN259" s="3">
        <f t="shared" si="148"/>
        <v>0.398108620786517</v>
      </c>
      <c r="BP259" s="9">
        <v>0.30535</v>
      </c>
      <c r="BQ259">
        <v>0.09</v>
      </c>
      <c r="BR259" s="5">
        <f t="shared" si="149"/>
        <v>0.21535</v>
      </c>
      <c r="BS259">
        <v>0.43</v>
      </c>
      <c r="BT259" s="3">
        <f t="shared" si="150"/>
        <v>0.500813953488372</v>
      </c>
      <c r="BV259" s="4">
        <v>6.94726674166667</v>
      </c>
      <c r="BW259">
        <v>6.18</v>
      </c>
      <c r="BX259" s="5">
        <f t="shared" si="151"/>
        <v>0.767266741666671</v>
      </c>
      <c r="BY259">
        <v>1.68</v>
      </c>
      <c r="BZ259" s="3">
        <f t="shared" si="152"/>
        <v>0.456706393849209</v>
      </c>
      <c r="CB259" s="10">
        <v>61.2</v>
      </c>
      <c r="CC259">
        <v>54.3</v>
      </c>
      <c r="CD259" s="12">
        <f t="shared" si="153"/>
        <v>6.90000000000001</v>
      </c>
      <c r="CE259">
        <v>71.3</v>
      </c>
      <c r="CF259" s="3">
        <f t="shared" si="154"/>
        <v>0.0967741935483872</v>
      </c>
      <c r="CH259" s="13">
        <v>31.2</v>
      </c>
      <c r="CI259">
        <v>22.6</v>
      </c>
      <c r="CJ259">
        <f t="shared" si="155"/>
        <v>8.6</v>
      </c>
      <c r="CK259">
        <v>25.1</v>
      </c>
      <c r="CL259">
        <f t="shared" si="156"/>
        <v>0.342629482071713</v>
      </c>
      <c r="CN259" s="11">
        <v>4.1</v>
      </c>
      <c r="CO259">
        <v>3</v>
      </c>
      <c r="CP259" s="12">
        <f t="shared" si="157"/>
        <v>1.1</v>
      </c>
      <c r="CQ259">
        <v>3.4</v>
      </c>
      <c r="CR259" s="3">
        <f t="shared" si="158"/>
        <v>0.323529411764706</v>
      </c>
    </row>
    <row r="260" spans="2:96">
      <c r="B260" s="1">
        <v>55471</v>
      </c>
      <c r="C260">
        <v>32416</v>
      </c>
      <c r="D260" s="2">
        <f t="shared" si="159"/>
        <v>23055</v>
      </c>
      <c r="E260">
        <v>31904</v>
      </c>
      <c r="F260" s="3">
        <f t="shared" si="128"/>
        <v>0.72263665997994</v>
      </c>
      <c r="H260" s="1">
        <v>55371</v>
      </c>
      <c r="I260">
        <v>31145</v>
      </c>
      <c r="J260" s="2">
        <f t="shared" si="129"/>
        <v>24226</v>
      </c>
      <c r="K260">
        <v>32760</v>
      </c>
      <c r="L260" s="3">
        <f t="shared" si="130"/>
        <v>0.73949938949939</v>
      </c>
      <c r="N260" s="4">
        <v>265.3466676125</v>
      </c>
      <c r="O260">
        <v>201.27</v>
      </c>
      <c r="P260" s="5">
        <f t="shared" si="131"/>
        <v>64.0766676125</v>
      </c>
      <c r="Q260">
        <v>79.69</v>
      </c>
      <c r="R260" s="3">
        <f t="shared" si="132"/>
        <v>0.804074132419375</v>
      </c>
      <c r="T260" s="4">
        <v>124.858331991667</v>
      </c>
      <c r="U260">
        <v>100.23</v>
      </c>
      <c r="V260" s="5">
        <f t="shared" si="133"/>
        <v>24.628331991667</v>
      </c>
      <c r="W260">
        <v>410.93</v>
      </c>
      <c r="X260" s="3">
        <f t="shared" si="134"/>
        <v>0.0599331564783953</v>
      </c>
      <c r="Z260" s="19">
        <v>33.9875939456669</v>
      </c>
      <c r="AA260">
        <v>13.25</v>
      </c>
      <c r="AB260" s="5">
        <f t="shared" si="135"/>
        <v>20.7375939456669</v>
      </c>
      <c r="AC260">
        <v>33.93</v>
      </c>
      <c r="AD260" s="3">
        <f t="shared" si="136"/>
        <v>0.611187561027613</v>
      </c>
      <c r="AF260" s="4">
        <v>4.28398035711634</v>
      </c>
      <c r="AG260">
        <v>2.09</v>
      </c>
      <c r="AH260" s="5">
        <f t="shared" si="137"/>
        <v>2.19398035711634</v>
      </c>
      <c r="AI260">
        <v>3.85</v>
      </c>
      <c r="AJ260" s="3">
        <f t="shared" si="138"/>
        <v>0.569865027822426</v>
      </c>
      <c r="AL260" s="4">
        <v>7.54744997916667</v>
      </c>
      <c r="AM260">
        <v>6.1</v>
      </c>
      <c r="AN260" s="5">
        <f t="shared" si="139"/>
        <v>1.44744997916667</v>
      </c>
      <c r="AO260">
        <v>1.89</v>
      </c>
      <c r="AP260" s="3">
        <f t="shared" si="140"/>
        <v>0.765846549823635</v>
      </c>
      <c r="AR260" s="4">
        <v>2.0106250125</v>
      </c>
      <c r="AS260">
        <v>0.02</v>
      </c>
      <c r="AT260" s="5">
        <f t="shared" si="141"/>
        <v>1.9906250125</v>
      </c>
      <c r="AU260">
        <v>2.84</v>
      </c>
      <c r="AV260" s="3">
        <f t="shared" si="142"/>
        <v>0.700924300176056</v>
      </c>
      <c r="AX260" s="4">
        <v>15.722199875</v>
      </c>
      <c r="AY260">
        <v>3.44</v>
      </c>
      <c r="AZ260" s="5">
        <f t="shared" si="143"/>
        <v>12.282199875</v>
      </c>
      <c r="BA260">
        <v>29.17</v>
      </c>
      <c r="BB260" s="3">
        <f t="shared" si="144"/>
        <v>0.421055875042852</v>
      </c>
      <c r="BD260" s="4">
        <v>2.09433333333333</v>
      </c>
      <c r="BE260">
        <v>0.17</v>
      </c>
      <c r="BF260" s="5">
        <f t="shared" si="145"/>
        <v>1.92433333333333</v>
      </c>
      <c r="BG260">
        <v>4</v>
      </c>
      <c r="BH260" s="3">
        <f t="shared" si="146"/>
        <v>0.481083333333333</v>
      </c>
      <c r="BJ260" s="9">
        <v>9.951249975</v>
      </c>
      <c r="BK260">
        <v>4.8</v>
      </c>
      <c r="BL260" s="5">
        <f t="shared" si="147"/>
        <v>5.151249975</v>
      </c>
      <c r="BM260">
        <v>8.9</v>
      </c>
      <c r="BN260" s="3">
        <f t="shared" si="148"/>
        <v>0.578792132022472</v>
      </c>
      <c r="BP260" s="9">
        <v>0.306941666666667</v>
      </c>
      <c r="BQ260">
        <v>0.09</v>
      </c>
      <c r="BR260" s="5">
        <f t="shared" si="149"/>
        <v>0.216941666666667</v>
      </c>
      <c r="BS260">
        <v>0.43</v>
      </c>
      <c r="BT260" s="3">
        <f t="shared" si="150"/>
        <v>0.50451550387597</v>
      </c>
      <c r="BV260" s="4">
        <v>6.92113335416667</v>
      </c>
      <c r="BW260">
        <v>6.18</v>
      </c>
      <c r="BX260" s="5">
        <f t="shared" si="151"/>
        <v>0.741133354166671</v>
      </c>
      <c r="BY260">
        <v>1.68</v>
      </c>
      <c r="BZ260" s="3">
        <f t="shared" si="152"/>
        <v>0.44115080605159</v>
      </c>
      <c r="CB260" s="10">
        <v>68.7</v>
      </c>
      <c r="CC260">
        <v>54.3</v>
      </c>
      <c r="CD260" s="12">
        <f t="shared" si="153"/>
        <v>14.4</v>
      </c>
      <c r="CE260">
        <v>71.3</v>
      </c>
      <c r="CF260" s="3">
        <f t="shared" si="154"/>
        <v>0.201963534361851</v>
      </c>
      <c r="CH260" s="13">
        <v>33.7</v>
      </c>
      <c r="CI260">
        <v>22.6</v>
      </c>
      <c r="CJ260">
        <f t="shared" si="155"/>
        <v>11.1</v>
      </c>
      <c r="CK260">
        <v>25.1</v>
      </c>
      <c r="CL260">
        <f t="shared" si="156"/>
        <v>0.442231075697211</v>
      </c>
      <c r="CN260" s="10">
        <v>4</v>
      </c>
      <c r="CO260">
        <v>3</v>
      </c>
      <c r="CP260" s="12">
        <f t="shared" si="157"/>
        <v>1</v>
      </c>
      <c r="CQ260">
        <v>3.4</v>
      </c>
      <c r="CR260" s="3">
        <f t="shared" si="158"/>
        <v>0.294117647058824</v>
      </c>
    </row>
    <row r="261" spans="2:96">
      <c r="B261" s="1">
        <v>59624</v>
      </c>
      <c r="C261">
        <v>32416</v>
      </c>
      <c r="D261" s="2">
        <f t="shared" si="159"/>
        <v>27208</v>
      </c>
      <c r="E261">
        <v>31904</v>
      </c>
      <c r="F261" s="3">
        <f t="shared" si="128"/>
        <v>0.852808425275827</v>
      </c>
      <c r="H261" s="1">
        <v>59369</v>
      </c>
      <c r="I261">
        <v>31145</v>
      </c>
      <c r="J261" s="2">
        <f t="shared" si="129"/>
        <v>28224</v>
      </c>
      <c r="K261">
        <v>32760</v>
      </c>
      <c r="L261" s="3">
        <f t="shared" si="130"/>
        <v>0.861538461538462</v>
      </c>
      <c r="N261" s="4">
        <v>253.613334025</v>
      </c>
      <c r="O261">
        <v>201.27</v>
      </c>
      <c r="P261" s="5">
        <f t="shared" si="131"/>
        <v>52.343334025</v>
      </c>
      <c r="Q261">
        <v>79.69</v>
      </c>
      <c r="R261" s="3">
        <f t="shared" si="132"/>
        <v>0.656836918371188</v>
      </c>
      <c r="T261" s="4">
        <v>175.370833883333</v>
      </c>
      <c r="U261">
        <v>100.23</v>
      </c>
      <c r="V261" s="5">
        <f t="shared" si="133"/>
        <v>75.140833883333</v>
      </c>
      <c r="W261">
        <v>410.93</v>
      </c>
      <c r="X261" s="3">
        <f t="shared" si="134"/>
        <v>0.182855556623593</v>
      </c>
      <c r="Z261" s="19">
        <v>25.3686619072717</v>
      </c>
      <c r="AA261">
        <v>13.25</v>
      </c>
      <c r="AB261" s="5">
        <f t="shared" si="135"/>
        <v>12.1186619072717</v>
      </c>
      <c r="AC261">
        <v>33.93</v>
      </c>
      <c r="AD261" s="3">
        <f t="shared" si="136"/>
        <v>0.357166575516407</v>
      </c>
      <c r="AF261" s="4">
        <v>4.18713612539446</v>
      </c>
      <c r="AG261">
        <v>2.09</v>
      </c>
      <c r="AH261" s="5">
        <f t="shared" si="137"/>
        <v>2.09713612539446</v>
      </c>
      <c r="AI261">
        <v>3.85</v>
      </c>
      <c r="AJ261" s="3">
        <f t="shared" si="138"/>
        <v>0.544710681920639</v>
      </c>
      <c r="AL261" s="4">
        <v>7.38936668333333</v>
      </c>
      <c r="AM261">
        <v>6.1</v>
      </c>
      <c r="AN261" s="5">
        <f t="shared" si="139"/>
        <v>1.28936668333333</v>
      </c>
      <c r="AO261">
        <v>1.89</v>
      </c>
      <c r="AP261" s="3">
        <f t="shared" si="140"/>
        <v>0.68220459435626</v>
      </c>
      <c r="AR261" s="4">
        <v>2.27770832916667</v>
      </c>
      <c r="AS261">
        <v>0.02</v>
      </c>
      <c r="AT261" s="5">
        <f t="shared" si="141"/>
        <v>2.25770832916667</v>
      </c>
      <c r="AU261">
        <v>2.84</v>
      </c>
      <c r="AV261" s="3">
        <f t="shared" si="142"/>
        <v>0.79496772153756</v>
      </c>
      <c r="AX261" s="4">
        <v>14.9456666333333</v>
      </c>
      <c r="AY261">
        <v>3.44</v>
      </c>
      <c r="AZ261" s="5">
        <f t="shared" si="143"/>
        <v>11.5056666333333</v>
      </c>
      <c r="BA261">
        <v>29.17</v>
      </c>
      <c r="BB261" s="3">
        <f t="shared" si="144"/>
        <v>0.394434920580504</v>
      </c>
      <c r="BD261" s="4">
        <v>1.00758333333333</v>
      </c>
      <c r="BE261">
        <v>0.17</v>
      </c>
      <c r="BF261" s="5">
        <f t="shared" si="145"/>
        <v>0.83758333333333</v>
      </c>
      <c r="BG261">
        <v>4</v>
      </c>
      <c r="BH261" s="3">
        <f t="shared" si="146"/>
        <v>0.209395833333332</v>
      </c>
      <c r="BJ261" s="9">
        <v>9.93691666666667</v>
      </c>
      <c r="BK261">
        <v>4.8</v>
      </c>
      <c r="BL261" s="5">
        <f t="shared" si="147"/>
        <v>5.13691666666667</v>
      </c>
      <c r="BM261">
        <v>8.9</v>
      </c>
      <c r="BN261" s="3">
        <f t="shared" si="148"/>
        <v>0.577181647940075</v>
      </c>
      <c r="BP261" s="9">
        <v>0.292175</v>
      </c>
      <c r="BQ261">
        <v>0.09</v>
      </c>
      <c r="BR261" s="5">
        <f t="shared" si="149"/>
        <v>0.202175</v>
      </c>
      <c r="BS261">
        <v>0.43</v>
      </c>
      <c r="BT261" s="3">
        <f t="shared" si="150"/>
        <v>0.470174418604651</v>
      </c>
      <c r="BV261" s="4">
        <v>6.873416675</v>
      </c>
      <c r="BW261">
        <v>6.18</v>
      </c>
      <c r="BX261" s="5">
        <f t="shared" si="151"/>
        <v>0.693416675</v>
      </c>
      <c r="BY261">
        <v>1.68</v>
      </c>
      <c r="BZ261" s="3">
        <f t="shared" si="152"/>
        <v>0.412748020833333</v>
      </c>
      <c r="CB261" s="10">
        <v>70.1</v>
      </c>
      <c r="CC261">
        <v>54.3</v>
      </c>
      <c r="CD261" s="12">
        <f t="shared" si="153"/>
        <v>15.8</v>
      </c>
      <c r="CE261">
        <v>71.3</v>
      </c>
      <c r="CF261" s="3">
        <f t="shared" si="154"/>
        <v>0.221598877980365</v>
      </c>
      <c r="CH261" s="13">
        <v>32.5</v>
      </c>
      <c r="CI261">
        <v>22.6</v>
      </c>
      <c r="CJ261">
        <f t="shared" si="155"/>
        <v>9.9</v>
      </c>
      <c r="CK261">
        <v>25.1</v>
      </c>
      <c r="CL261">
        <f t="shared" si="156"/>
        <v>0.394422310756972</v>
      </c>
      <c r="CN261" s="10">
        <v>3.7</v>
      </c>
      <c r="CO261">
        <v>3</v>
      </c>
      <c r="CP261" s="12">
        <f t="shared" si="157"/>
        <v>0.7</v>
      </c>
      <c r="CQ261">
        <v>3.4</v>
      </c>
      <c r="CR261" s="3">
        <f t="shared" si="158"/>
        <v>0.205882352941177</v>
      </c>
    </row>
    <row r="262" spans="2:96">
      <c r="B262" s="1">
        <v>60241</v>
      </c>
      <c r="C262">
        <v>32416</v>
      </c>
      <c r="D262" s="2">
        <f t="shared" si="159"/>
        <v>27825</v>
      </c>
      <c r="E262">
        <v>31904</v>
      </c>
      <c r="F262" s="3">
        <f t="shared" si="128"/>
        <v>0.872147693079238</v>
      </c>
      <c r="H262" s="1">
        <v>59880</v>
      </c>
      <c r="I262">
        <v>31145</v>
      </c>
      <c r="J262" s="2">
        <f t="shared" si="129"/>
        <v>28735</v>
      </c>
      <c r="K262">
        <v>32760</v>
      </c>
      <c r="L262" s="3">
        <f t="shared" si="130"/>
        <v>0.877136752136752</v>
      </c>
      <c r="N262" s="4">
        <v>252.6533317625</v>
      </c>
      <c r="O262">
        <v>201.27</v>
      </c>
      <c r="P262" s="5">
        <f t="shared" si="131"/>
        <v>51.3833317625</v>
      </c>
      <c r="Q262">
        <v>79.69</v>
      </c>
      <c r="R262" s="3">
        <f t="shared" si="132"/>
        <v>0.644790209091479</v>
      </c>
      <c r="T262" s="4">
        <v>159.516666566666</v>
      </c>
      <c r="U262">
        <v>100.23</v>
      </c>
      <c r="V262" s="5">
        <f t="shared" si="133"/>
        <v>59.286666566666</v>
      </c>
      <c r="W262">
        <v>410.93</v>
      </c>
      <c r="X262" s="3">
        <f t="shared" si="134"/>
        <v>0.144274369276193</v>
      </c>
      <c r="Z262" s="19">
        <v>35.5321905435447</v>
      </c>
      <c r="AA262">
        <v>13.25</v>
      </c>
      <c r="AB262" s="5">
        <f t="shared" si="135"/>
        <v>22.2821905435447</v>
      </c>
      <c r="AC262">
        <v>33.93</v>
      </c>
      <c r="AD262" s="3">
        <f t="shared" si="136"/>
        <v>0.656710596626723</v>
      </c>
      <c r="AF262" s="4">
        <v>3.76880559383775</v>
      </c>
      <c r="AG262">
        <v>2.09</v>
      </c>
      <c r="AH262" s="5">
        <f t="shared" si="137"/>
        <v>1.67880559383775</v>
      </c>
      <c r="AI262">
        <v>3.85</v>
      </c>
      <c r="AJ262" s="3">
        <f t="shared" si="138"/>
        <v>0.436053400996818</v>
      </c>
      <c r="AL262" s="4">
        <v>6.842995775</v>
      </c>
      <c r="AM262">
        <v>6.1</v>
      </c>
      <c r="AN262" s="5">
        <f t="shared" si="139"/>
        <v>0.742995775000001</v>
      </c>
      <c r="AO262">
        <v>1.89</v>
      </c>
      <c r="AP262" s="3">
        <f t="shared" si="140"/>
        <v>0.393119457671958</v>
      </c>
      <c r="AR262" s="4">
        <v>2.45590911363636</v>
      </c>
      <c r="AS262">
        <v>0.02</v>
      </c>
      <c r="AT262" s="5">
        <f t="shared" si="141"/>
        <v>2.43590911363636</v>
      </c>
      <c r="AU262">
        <v>2.84</v>
      </c>
      <c r="AV262" s="3">
        <f t="shared" si="142"/>
        <v>0.857714476632521</v>
      </c>
      <c r="AX262" s="4">
        <v>11.71473345</v>
      </c>
      <c r="AY262">
        <v>3.44</v>
      </c>
      <c r="AZ262" s="5">
        <f t="shared" si="143"/>
        <v>8.27473345</v>
      </c>
      <c r="BA262">
        <v>29.17</v>
      </c>
      <c r="BB262" s="3">
        <f t="shared" si="144"/>
        <v>0.283672727116901</v>
      </c>
      <c r="BD262" s="4">
        <v>0.2135</v>
      </c>
      <c r="BE262">
        <v>0.17</v>
      </c>
      <c r="BF262" s="5">
        <f t="shared" si="145"/>
        <v>0.0435</v>
      </c>
      <c r="BG262">
        <v>4</v>
      </c>
      <c r="BH262" s="3">
        <f t="shared" si="146"/>
        <v>0.010875</v>
      </c>
      <c r="BJ262" s="9">
        <v>6.61341667916667</v>
      </c>
      <c r="BK262">
        <v>4.8</v>
      </c>
      <c r="BL262" s="5">
        <f t="shared" si="147"/>
        <v>1.81341667916667</v>
      </c>
      <c r="BM262">
        <v>8.9</v>
      </c>
      <c r="BN262" s="3">
        <f t="shared" si="148"/>
        <v>0.203754683052435</v>
      </c>
      <c r="BP262" s="9">
        <v>0.249033333333333</v>
      </c>
      <c r="BQ262">
        <v>0.09</v>
      </c>
      <c r="BR262" s="5">
        <f t="shared" si="149"/>
        <v>0.159033333333333</v>
      </c>
      <c r="BS262">
        <v>0.43</v>
      </c>
      <c r="BT262" s="3">
        <f t="shared" si="150"/>
        <v>0.369844961240309</v>
      </c>
      <c r="BV262" s="4">
        <v>6.91792502083333</v>
      </c>
      <c r="BW262">
        <v>6.18</v>
      </c>
      <c r="BX262" s="5">
        <f t="shared" si="151"/>
        <v>0.73792502083333</v>
      </c>
      <c r="BY262">
        <v>1.68</v>
      </c>
      <c r="BZ262" s="3">
        <f t="shared" si="152"/>
        <v>0.439241083829363</v>
      </c>
      <c r="CB262" s="10">
        <v>78.6</v>
      </c>
      <c r="CC262">
        <v>54.3</v>
      </c>
      <c r="CD262" s="12">
        <f t="shared" si="153"/>
        <v>24.3</v>
      </c>
      <c r="CE262">
        <v>71.3</v>
      </c>
      <c r="CF262" s="3">
        <f t="shared" si="154"/>
        <v>0.340813464235624</v>
      </c>
      <c r="CH262" s="13">
        <v>28.4</v>
      </c>
      <c r="CI262">
        <v>22.6</v>
      </c>
      <c r="CJ262">
        <f t="shared" si="155"/>
        <v>5.8</v>
      </c>
      <c r="CK262">
        <v>25.1</v>
      </c>
      <c r="CL262">
        <f t="shared" si="156"/>
        <v>0.231075697211155</v>
      </c>
      <c r="CN262" s="10">
        <v>3.5</v>
      </c>
      <c r="CO262">
        <v>3</v>
      </c>
      <c r="CP262" s="12">
        <f t="shared" si="157"/>
        <v>0.5</v>
      </c>
      <c r="CQ262">
        <v>3.4</v>
      </c>
      <c r="CR262" s="3">
        <f t="shared" si="158"/>
        <v>0.147058823529412</v>
      </c>
    </row>
    <row r="263" spans="2:96">
      <c r="B263" s="1">
        <v>50743</v>
      </c>
      <c r="C263">
        <v>32416</v>
      </c>
      <c r="D263" s="2">
        <f t="shared" si="159"/>
        <v>18327</v>
      </c>
      <c r="E263">
        <v>31904</v>
      </c>
      <c r="F263" s="3">
        <f t="shared" si="128"/>
        <v>0.574442076228686</v>
      </c>
      <c r="H263" s="1">
        <v>50506</v>
      </c>
      <c r="I263">
        <v>31145</v>
      </c>
      <c r="J263" s="2">
        <f t="shared" si="129"/>
        <v>19361</v>
      </c>
      <c r="K263">
        <v>32760</v>
      </c>
      <c r="L263" s="3">
        <f t="shared" si="130"/>
        <v>0.590995115995116</v>
      </c>
      <c r="N263" s="4">
        <v>269.743334445833</v>
      </c>
      <c r="O263">
        <v>201.27</v>
      </c>
      <c r="P263" s="5">
        <f t="shared" si="131"/>
        <v>68.473334445833</v>
      </c>
      <c r="Q263">
        <v>79.69</v>
      </c>
      <c r="R263" s="3">
        <f t="shared" si="132"/>
        <v>0.859246259829753</v>
      </c>
      <c r="T263" s="4">
        <v>168.254165329166</v>
      </c>
      <c r="U263">
        <v>100.23</v>
      </c>
      <c r="V263" s="5">
        <f t="shared" si="133"/>
        <v>68.024165329166</v>
      </c>
      <c r="W263">
        <v>410.93</v>
      </c>
      <c r="X263" s="3">
        <f t="shared" si="134"/>
        <v>0.165537111744497</v>
      </c>
      <c r="Z263" s="19">
        <v>26.0471120136235</v>
      </c>
      <c r="AA263">
        <v>13.25</v>
      </c>
      <c r="AB263" s="5">
        <f t="shared" si="135"/>
        <v>12.7971120136235</v>
      </c>
      <c r="AC263">
        <v>33.93</v>
      </c>
      <c r="AD263" s="3">
        <f t="shared" si="136"/>
        <v>0.377162157784365</v>
      </c>
      <c r="AF263" s="4">
        <v>3.97183385827587</v>
      </c>
      <c r="AG263">
        <v>2.09</v>
      </c>
      <c r="AH263" s="5">
        <f t="shared" si="137"/>
        <v>1.88183385827587</v>
      </c>
      <c r="AI263">
        <v>3.85</v>
      </c>
      <c r="AJ263" s="3">
        <f t="shared" si="138"/>
        <v>0.48878801513659</v>
      </c>
      <c r="AL263" s="4">
        <v>6.98868335</v>
      </c>
      <c r="AM263">
        <v>6.1</v>
      </c>
      <c r="AN263" s="5">
        <f t="shared" si="139"/>
        <v>0.88868335</v>
      </c>
      <c r="AO263">
        <v>1.89</v>
      </c>
      <c r="AP263" s="3">
        <f t="shared" si="140"/>
        <v>0.470202830687831</v>
      </c>
      <c r="AR263" s="4">
        <v>1.75947370526316</v>
      </c>
      <c r="AS263">
        <v>0.02</v>
      </c>
      <c r="AT263" s="5">
        <f t="shared" si="141"/>
        <v>1.73947370526316</v>
      </c>
      <c r="AU263">
        <v>2.84</v>
      </c>
      <c r="AV263" s="3">
        <f t="shared" si="142"/>
        <v>0.612490741289845</v>
      </c>
      <c r="AX263" s="4">
        <v>11.9400667291667</v>
      </c>
      <c r="AY263">
        <v>3.44</v>
      </c>
      <c r="AZ263" s="5">
        <f t="shared" si="143"/>
        <v>8.5000667291667</v>
      </c>
      <c r="BA263">
        <v>29.17</v>
      </c>
      <c r="BB263" s="3">
        <f t="shared" si="144"/>
        <v>0.291397556707806</v>
      </c>
      <c r="BD263" s="4">
        <v>0.355583333333333</v>
      </c>
      <c r="BE263">
        <v>0.17</v>
      </c>
      <c r="BF263" s="5">
        <f t="shared" si="145"/>
        <v>0.185583333333333</v>
      </c>
      <c r="BG263">
        <v>4</v>
      </c>
      <c r="BH263" s="3">
        <f t="shared" si="146"/>
        <v>0.0463958333333332</v>
      </c>
      <c r="BJ263" s="9">
        <v>7.6621666625</v>
      </c>
      <c r="BK263">
        <v>4.8</v>
      </c>
      <c r="BL263" s="5">
        <f t="shared" si="147"/>
        <v>2.8621666625</v>
      </c>
      <c r="BM263">
        <v>8.9</v>
      </c>
      <c r="BN263" s="3">
        <f t="shared" si="148"/>
        <v>0.321591759831461</v>
      </c>
      <c r="BP263" s="9">
        <v>0.253325</v>
      </c>
      <c r="BQ263">
        <v>0.09</v>
      </c>
      <c r="BR263" s="5">
        <f t="shared" si="149"/>
        <v>0.163325</v>
      </c>
      <c r="BS263">
        <v>0.43</v>
      </c>
      <c r="BT263" s="3">
        <f t="shared" si="150"/>
        <v>0.379825581395349</v>
      </c>
      <c r="BV263" s="4">
        <v>6.94808337916667</v>
      </c>
      <c r="BW263">
        <v>6.18</v>
      </c>
      <c r="BX263" s="5">
        <f t="shared" si="151"/>
        <v>0.76808337916667</v>
      </c>
      <c r="BY263">
        <v>1.68</v>
      </c>
      <c r="BZ263" s="3">
        <f t="shared" si="152"/>
        <v>0.457192487599209</v>
      </c>
      <c r="CB263" s="10">
        <v>83.5</v>
      </c>
      <c r="CC263">
        <v>54.3</v>
      </c>
      <c r="CD263" s="12">
        <f t="shared" si="153"/>
        <v>29.2</v>
      </c>
      <c r="CE263">
        <v>71.3</v>
      </c>
      <c r="CF263" s="3">
        <f t="shared" si="154"/>
        <v>0.409537166900421</v>
      </c>
      <c r="CH263" s="13">
        <v>29.3</v>
      </c>
      <c r="CI263">
        <v>22.6</v>
      </c>
      <c r="CJ263">
        <f t="shared" si="155"/>
        <v>6.7</v>
      </c>
      <c r="CK263">
        <v>25.1</v>
      </c>
      <c r="CL263">
        <f t="shared" si="156"/>
        <v>0.266932270916335</v>
      </c>
      <c r="CN263" s="11">
        <v>3.2</v>
      </c>
      <c r="CO263">
        <v>3</v>
      </c>
      <c r="CP263" s="12">
        <f t="shared" si="157"/>
        <v>0.2</v>
      </c>
      <c r="CQ263">
        <v>3.4</v>
      </c>
      <c r="CR263" s="3">
        <f t="shared" si="158"/>
        <v>0.0588235294117648</v>
      </c>
    </row>
    <row r="264" spans="2:96">
      <c r="B264" s="1">
        <v>50976</v>
      </c>
      <c r="C264">
        <v>32416</v>
      </c>
      <c r="D264" s="2">
        <f t="shared" si="159"/>
        <v>18560</v>
      </c>
      <c r="E264">
        <v>31904</v>
      </c>
      <c r="F264" s="3">
        <f t="shared" si="128"/>
        <v>0.581745235707121</v>
      </c>
      <c r="H264" s="1">
        <v>50711</v>
      </c>
      <c r="I264">
        <v>31145</v>
      </c>
      <c r="J264" s="2">
        <f t="shared" si="129"/>
        <v>19566</v>
      </c>
      <c r="K264">
        <v>32760</v>
      </c>
      <c r="L264" s="3">
        <f t="shared" si="130"/>
        <v>0.597252747252747</v>
      </c>
      <c r="N264" s="4">
        <v>266.553333279167</v>
      </c>
      <c r="O264">
        <v>201.27</v>
      </c>
      <c r="P264" s="5">
        <f t="shared" si="131"/>
        <v>65.283333279167</v>
      </c>
      <c r="Q264">
        <v>79.69</v>
      </c>
      <c r="R264" s="3">
        <f t="shared" si="132"/>
        <v>0.819216128487477</v>
      </c>
      <c r="T264" s="4">
        <v>197.250000320833</v>
      </c>
      <c r="U264">
        <v>100.23</v>
      </c>
      <c r="V264" s="5">
        <f t="shared" si="133"/>
        <v>97.020000320833</v>
      </c>
      <c r="W264">
        <v>410.93</v>
      </c>
      <c r="X264" s="3">
        <f t="shared" si="134"/>
        <v>0.236098606382676</v>
      </c>
      <c r="Z264" s="19">
        <v>27.781968084267</v>
      </c>
      <c r="AA264">
        <v>13.25</v>
      </c>
      <c r="AB264" s="5">
        <f t="shared" si="135"/>
        <v>14.531968084267</v>
      </c>
      <c r="AC264">
        <v>33.93</v>
      </c>
      <c r="AD264" s="3">
        <f t="shared" si="136"/>
        <v>0.428292604900295</v>
      </c>
      <c r="AF264" s="4">
        <v>3.58879218718159</v>
      </c>
      <c r="AG264">
        <v>2.09</v>
      </c>
      <c r="AH264" s="5">
        <f t="shared" si="137"/>
        <v>1.49879218718159</v>
      </c>
      <c r="AI264">
        <v>3.85</v>
      </c>
      <c r="AJ264" s="3">
        <f t="shared" si="138"/>
        <v>0.389296671995218</v>
      </c>
      <c r="AL264" s="4">
        <v>6.90520206666667</v>
      </c>
      <c r="AM264">
        <v>6.1</v>
      </c>
      <c r="AN264" s="5">
        <f t="shared" si="139"/>
        <v>0.80520206666667</v>
      </c>
      <c r="AO264">
        <v>1.89</v>
      </c>
      <c r="AP264" s="3">
        <f t="shared" si="140"/>
        <v>0.426032839506175</v>
      </c>
      <c r="AR264" s="4">
        <v>1.31854168333333</v>
      </c>
      <c r="AS264">
        <v>0.02</v>
      </c>
      <c r="AT264" s="5">
        <f t="shared" si="141"/>
        <v>1.29854168333333</v>
      </c>
      <c r="AU264">
        <v>2.84</v>
      </c>
      <c r="AV264" s="3">
        <f t="shared" si="142"/>
        <v>0.457232987089201</v>
      </c>
      <c r="AX264" s="4">
        <v>24.34726675</v>
      </c>
      <c r="AY264">
        <v>3.44</v>
      </c>
      <c r="AZ264" s="5">
        <f t="shared" si="143"/>
        <v>20.90726675</v>
      </c>
      <c r="BA264">
        <v>29.17</v>
      </c>
      <c r="BB264" s="3">
        <f t="shared" si="144"/>
        <v>0.716738661295852</v>
      </c>
      <c r="BD264" s="4">
        <v>1.2545</v>
      </c>
      <c r="BE264">
        <v>0.17</v>
      </c>
      <c r="BF264" s="5">
        <f t="shared" si="145"/>
        <v>1.0845</v>
      </c>
      <c r="BG264">
        <v>4</v>
      </c>
      <c r="BH264" s="3">
        <f t="shared" si="146"/>
        <v>0.271125</v>
      </c>
      <c r="BJ264" s="9">
        <v>7.8668333125</v>
      </c>
      <c r="BK264">
        <v>4.8</v>
      </c>
      <c r="BL264" s="5">
        <f t="shared" si="147"/>
        <v>3.0668333125</v>
      </c>
      <c r="BM264">
        <v>8.9</v>
      </c>
      <c r="BN264" s="3">
        <f t="shared" si="148"/>
        <v>0.344588012640449</v>
      </c>
      <c r="BP264" s="9">
        <v>0.279191666666667</v>
      </c>
      <c r="BQ264">
        <v>0.09</v>
      </c>
      <c r="BR264" s="5">
        <f t="shared" si="149"/>
        <v>0.189191666666667</v>
      </c>
      <c r="BS264">
        <v>0.43</v>
      </c>
      <c r="BT264" s="3">
        <f t="shared" si="150"/>
        <v>0.43998062015504</v>
      </c>
      <c r="BV264" s="4">
        <v>6.977541725</v>
      </c>
      <c r="BW264">
        <v>6.18</v>
      </c>
      <c r="BX264" s="5">
        <f t="shared" si="151"/>
        <v>0.797541725</v>
      </c>
      <c r="BY264">
        <v>1.68</v>
      </c>
      <c r="BZ264" s="3">
        <f t="shared" si="152"/>
        <v>0.474727217261905</v>
      </c>
      <c r="CB264" s="10">
        <v>92.4</v>
      </c>
      <c r="CC264">
        <v>54.3</v>
      </c>
      <c r="CD264" s="12">
        <f t="shared" si="153"/>
        <v>38.1</v>
      </c>
      <c r="CE264">
        <v>71.3</v>
      </c>
      <c r="CF264" s="3">
        <f t="shared" si="154"/>
        <v>0.534361851332398</v>
      </c>
      <c r="CH264" s="13">
        <v>29.8</v>
      </c>
      <c r="CI264">
        <v>22.6</v>
      </c>
      <c r="CJ264">
        <f t="shared" si="155"/>
        <v>7.2</v>
      </c>
      <c r="CK264">
        <v>25.1</v>
      </c>
      <c r="CL264">
        <f t="shared" si="156"/>
        <v>0.286852589641434</v>
      </c>
      <c r="CN264" s="10">
        <v>3.8</v>
      </c>
      <c r="CO264">
        <v>3</v>
      </c>
      <c r="CP264" s="12">
        <f t="shared" si="157"/>
        <v>0.8</v>
      </c>
      <c r="CQ264">
        <v>3.4</v>
      </c>
      <c r="CR264" s="3">
        <f t="shared" si="158"/>
        <v>0.235294117647059</v>
      </c>
    </row>
    <row r="265" spans="2:96">
      <c r="B265" s="1">
        <v>54826</v>
      </c>
      <c r="C265">
        <v>32416</v>
      </c>
      <c r="D265" s="2">
        <f t="shared" si="159"/>
        <v>22410</v>
      </c>
      <c r="E265">
        <v>31904</v>
      </c>
      <c r="F265" s="3">
        <f t="shared" si="128"/>
        <v>0.702419759277834</v>
      </c>
      <c r="H265" s="1">
        <v>54603</v>
      </c>
      <c r="I265">
        <v>31145</v>
      </c>
      <c r="J265" s="2">
        <f t="shared" si="129"/>
        <v>23458</v>
      </c>
      <c r="K265">
        <v>32760</v>
      </c>
      <c r="L265" s="3">
        <f t="shared" si="130"/>
        <v>0.716056166056166</v>
      </c>
      <c r="N265" s="4">
        <v>259.246671675</v>
      </c>
      <c r="O265">
        <v>201.27</v>
      </c>
      <c r="P265" s="5">
        <f t="shared" si="131"/>
        <v>57.976671675</v>
      </c>
      <c r="Q265">
        <v>79.69</v>
      </c>
      <c r="R265" s="3">
        <f t="shared" si="132"/>
        <v>0.727527565252855</v>
      </c>
      <c r="T265" s="4">
        <v>177.7541666</v>
      </c>
      <c r="U265">
        <v>100.23</v>
      </c>
      <c r="V265" s="5">
        <f t="shared" si="133"/>
        <v>77.5241666</v>
      </c>
      <c r="W265">
        <v>410.93</v>
      </c>
      <c r="X265" s="3">
        <f t="shared" si="134"/>
        <v>0.188655407490327</v>
      </c>
      <c r="Z265" s="4">
        <v>27.64868765125</v>
      </c>
      <c r="AA265">
        <v>13.25</v>
      </c>
      <c r="AB265" s="5">
        <f t="shared" si="135"/>
        <v>14.39868765125</v>
      </c>
      <c r="AC265">
        <v>33.93</v>
      </c>
      <c r="AD265" s="3">
        <f t="shared" si="136"/>
        <v>0.424364504899794</v>
      </c>
      <c r="AF265" s="4">
        <v>3.38014836053572</v>
      </c>
      <c r="AG265">
        <v>2.09</v>
      </c>
      <c r="AH265" s="5">
        <f t="shared" si="137"/>
        <v>1.29014836053572</v>
      </c>
      <c r="AI265">
        <v>3.85</v>
      </c>
      <c r="AJ265" s="3">
        <f t="shared" si="138"/>
        <v>0.335103470269018</v>
      </c>
      <c r="AL265" s="4">
        <v>7.51513330416667</v>
      </c>
      <c r="AM265">
        <v>6.1</v>
      </c>
      <c r="AN265" s="5">
        <f t="shared" si="139"/>
        <v>1.41513330416667</v>
      </c>
      <c r="AO265">
        <v>1.89</v>
      </c>
      <c r="AP265" s="3">
        <f t="shared" si="140"/>
        <v>0.748747779982365</v>
      </c>
      <c r="AR265" s="4">
        <v>1.45590911363636</v>
      </c>
      <c r="AS265">
        <v>0.02</v>
      </c>
      <c r="AT265" s="5">
        <f t="shared" si="141"/>
        <v>1.43590911363636</v>
      </c>
      <c r="AU265">
        <v>2.84</v>
      </c>
      <c r="AV265" s="3">
        <f t="shared" si="142"/>
        <v>0.505601800576183</v>
      </c>
      <c r="AX265" s="4">
        <v>14.4447333416667</v>
      </c>
      <c r="AY265">
        <v>3.44</v>
      </c>
      <c r="AZ265" s="5">
        <f t="shared" si="143"/>
        <v>11.0047333416667</v>
      </c>
      <c r="BA265">
        <v>29.17</v>
      </c>
      <c r="BB265" s="3">
        <f t="shared" si="144"/>
        <v>0.377262027482575</v>
      </c>
      <c r="BD265" s="4">
        <v>0.382833333333333</v>
      </c>
      <c r="BE265">
        <v>0.17</v>
      </c>
      <c r="BF265" s="5">
        <f t="shared" si="145"/>
        <v>0.212833333333333</v>
      </c>
      <c r="BG265">
        <v>4</v>
      </c>
      <c r="BH265" s="3">
        <f t="shared" si="146"/>
        <v>0.0532083333333333</v>
      </c>
      <c r="BJ265" s="9">
        <v>9.81308341666667</v>
      </c>
      <c r="BK265">
        <v>4.8</v>
      </c>
      <c r="BL265" s="5">
        <f t="shared" si="147"/>
        <v>5.01308341666667</v>
      </c>
      <c r="BM265">
        <v>8.9</v>
      </c>
      <c r="BN265" s="3">
        <f t="shared" si="148"/>
        <v>0.563267799625468</v>
      </c>
      <c r="BP265" s="9">
        <v>0.282183333333333</v>
      </c>
      <c r="BQ265">
        <v>0.09</v>
      </c>
      <c r="BR265" s="5">
        <f t="shared" si="149"/>
        <v>0.192183333333333</v>
      </c>
      <c r="BS265">
        <v>0.43</v>
      </c>
      <c r="BT265" s="3">
        <f t="shared" si="150"/>
        <v>0.446937984496123</v>
      </c>
      <c r="BV265" s="4">
        <v>6.96628335833333</v>
      </c>
      <c r="BW265">
        <v>6.18</v>
      </c>
      <c r="BX265" s="5">
        <f t="shared" si="151"/>
        <v>0.78628335833333</v>
      </c>
      <c r="BY265">
        <v>1.68</v>
      </c>
      <c r="BZ265" s="3">
        <f t="shared" si="152"/>
        <v>0.468025808531744</v>
      </c>
      <c r="CB265" s="10">
        <v>90.7</v>
      </c>
      <c r="CC265">
        <v>54.3</v>
      </c>
      <c r="CD265" s="12">
        <f t="shared" si="153"/>
        <v>36.4</v>
      </c>
      <c r="CE265">
        <v>71.3</v>
      </c>
      <c r="CF265" s="3">
        <f t="shared" si="154"/>
        <v>0.510518934081347</v>
      </c>
      <c r="CH265" s="13">
        <v>31.2</v>
      </c>
      <c r="CI265">
        <v>22.6</v>
      </c>
      <c r="CJ265">
        <f t="shared" si="155"/>
        <v>8.6</v>
      </c>
      <c r="CK265">
        <v>25.1</v>
      </c>
      <c r="CL265">
        <f t="shared" si="156"/>
        <v>0.342629482071713</v>
      </c>
      <c r="CN265" s="10">
        <v>4.1</v>
      </c>
      <c r="CO265">
        <v>3</v>
      </c>
      <c r="CP265" s="12">
        <f t="shared" si="157"/>
        <v>1.1</v>
      </c>
      <c r="CQ265">
        <v>3.4</v>
      </c>
      <c r="CR265" s="3">
        <f t="shared" si="158"/>
        <v>0.323529411764706</v>
      </c>
    </row>
    <row r="266" spans="2:96">
      <c r="B266" s="1">
        <v>55846</v>
      </c>
      <c r="C266">
        <v>32416</v>
      </c>
      <c r="D266" s="2">
        <f t="shared" si="159"/>
        <v>23430</v>
      </c>
      <c r="E266">
        <v>31904</v>
      </c>
      <c r="F266" s="3">
        <f t="shared" si="128"/>
        <v>0.734390672016048</v>
      </c>
      <c r="H266" s="1">
        <v>55760</v>
      </c>
      <c r="I266">
        <v>31145</v>
      </c>
      <c r="J266" s="2">
        <f t="shared" si="129"/>
        <v>24615</v>
      </c>
      <c r="K266">
        <v>32760</v>
      </c>
      <c r="L266" s="3">
        <f t="shared" si="130"/>
        <v>0.751373626373626</v>
      </c>
      <c r="N266" s="4">
        <v>260.576668425</v>
      </c>
      <c r="O266">
        <v>201.27</v>
      </c>
      <c r="P266" s="5">
        <f t="shared" si="131"/>
        <v>59.306668425</v>
      </c>
      <c r="Q266">
        <v>79.69</v>
      </c>
      <c r="R266" s="3">
        <f t="shared" si="132"/>
        <v>0.744217196950684</v>
      </c>
      <c r="T266" s="4">
        <v>174.47083425</v>
      </c>
      <c r="U266">
        <v>100.23</v>
      </c>
      <c r="V266" s="5">
        <f t="shared" si="133"/>
        <v>74.24083425</v>
      </c>
      <c r="W266">
        <v>410.93</v>
      </c>
      <c r="X266" s="3">
        <f t="shared" si="134"/>
        <v>0.180665403475044</v>
      </c>
      <c r="Z266" s="4">
        <v>34.77887467</v>
      </c>
      <c r="AA266">
        <v>13.25</v>
      </c>
      <c r="AB266" s="5">
        <f t="shared" si="135"/>
        <v>21.52887467</v>
      </c>
      <c r="AC266">
        <v>33.93</v>
      </c>
      <c r="AD266" s="3">
        <f t="shared" si="136"/>
        <v>0.634508537282641</v>
      </c>
      <c r="AF266" s="4">
        <v>3.50268362274257</v>
      </c>
      <c r="AG266">
        <v>2.09</v>
      </c>
      <c r="AH266" s="5">
        <f t="shared" si="137"/>
        <v>1.41268362274257</v>
      </c>
      <c r="AI266">
        <v>3.85</v>
      </c>
      <c r="AJ266" s="3">
        <f t="shared" si="138"/>
        <v>0.366930811101966</v>
      </c>
      <c r="AL266" s="4">
        <v>7.20854162083333</v>
      </c>
      <c r="AM266">
        <v>6.1</v>
      </c>
      <c r="AN266" s="5">
        <f t="shared" si="139"/>
        <v>1.10854162083333</v>
      </c>
      <c r="AO266">
        <v>1.89</v>
      </c>
      <c r="AP266" s="3">
        <f t="shared" si="140"/>
        <v>0.586529958112873</v>
      </c>
      <c r="AR266" s="4">
        <v>1.75947370526316</v>
      </c>
      <c r="AS266">
        <v>0.02</v>
      </c>
      <c r="AT266" s="5">
        <f t="shared" si="141"/>
        <v>1.73947370526316</v>
      </c>
      <c r="AU266">
        <v>2.84</v>
      </c>
      <c r="AV266" s="3">
        <f t="shared" si="142"/>
        <v>0.612490741289845</v>
      </c>
      <c r="AX266" s="4">
        <v>13.3908666875</v>
      </c>
      <c r="AY266">
        <v>3.44</v>
      </c>
      <c r="AZ266" s="5">
        <f t="shared" si="143"/>
        <v>9.9508666875</v>
      </c>
      <c r="BA266">
        <v>29.17</v>
      </c>
      <c r="BB266" s="3">
        <f t="shared" si="144"/>
        <v>0.341133585447377</v>
      </c>
      <c r="BD266" s="4">
        <v>0.5045</v>
      </c>
      <c r="BE266">
        <v>0.17</v>
      </c>
      <c r="BF266" s="5">
        <f t="shared" si="145"/>
        <v>0.3345</v>
      </c>
      <c r="BG266">
        <v>4</v>
      </c>
      <c r="BH266" s="3">
        <f t="shared" si="146"/>
        <v>0.083625</v>
      </c>
      <c r="BJ266" s="9">
        <v>10.7949999958333</v>
      </c>
      <c r="BK266">
        <v>4.8</v>
      </c>
      <c r="BL266" s="5">
        <f t="shared" si="147"/>
        <v>5.9949999958333</v>
      </c>
      <c r="BM266">
        <v>8.9</v>
      </c>
      <c r="BN266" s="3">
        <f t="shared" si="148"/>
        <v>0.673595505149809</v>
      </c>
      <c r="BP266" s="9">
        <v>0.277866666666667</v>
      </c>
      <c r="BQ266">
        <v>0.09</v>
      </c>
      <c r="BR266" s="5">
        <f t="shared" si="149"/>
        <v>0.187866666666667</v>
      </c>
      <c r="BS266">
        <v>0.43</v>
      </c>
      <c r="BT266" s="3">
        <f t="shared" si="150"/>
        <v>0.436899224806202</v>
      </c>
      <c r="BV266" s="4">
        <v>6.95473340833333</v>
      </c>
      <c r="BW266">
        <v>6.18</v>
      </c>
      <c r="BX266" s="5">
        <f t="shared" si="151"/>
        <v>0.77473340833333</v>
      </c>
      <c r="BY266">
        <v>1.68</v>
      </c>
      <c r="BZ266" s="3">
        <f t="shared" si="152"/>
        <v>0.461150838293649</v>
      </c>
      <c r="CB266" s="10">
        <v>89.4</v>
      </c>
      <c r="CC266">
        <v>54.3</v>
      </c>
      <c r="CD266" s="12">
        <f t="shared" si="153"/>
        <v>35.1</v>
      </c>
      <c r="CE266">
        <v>71.3</v>
      </c>
      <c r="CF266" s="3">
        <f t="shared" si="154"/>
        <v>0.492286115007013</v>
      </c>
      <c r="CH266" s="13">
        <v>30.9</v>
      </c>
      <c r="CI266">
        <v>22.6</v>
      </c>
      <c r="CJ266">
        <f t="shared" si="155"/>
        <v>8.3</v>
      </c>
      <c r="CK266">
        <v>25.1</v>
      </c>
      <c r="CL266">
        <f t="shared" si="156"/>
        <v>0.330677290836653</v>
      </c>
      <c r="CN266" s="10">
        <v>3.7</v>
      </c>
      <c r="CO266">
        <v>3</v>
      </c>
      <c r="CP266" s="12">
        <f t="shared" si="157"/>
        <v>0.7</v>
      </c>
      <c r="CQ266">
        <v>3.4</v>
      </c>
      <c r="CR266" s="3">
        <f t="shared" si="158"/>
        <v>0.205882352941177</v>
      </c>
    </row>
    <row r="267" spans="2:96">
      <c r="B267" s="1">
        <v>50314</v>
      </c>
      <c r="C267">
        <v>32416</v>
      </c>
      <c r="D267" s="2">
        <f t="shared" si="159"/>
        <v>17898</v>
      </c>
      <c r="E267">
        <v>31904</v>
      </c>
      <c r="F267" s="3">
        <f t="shared" si="128"/>
        <v>0.560995486459378</v>
      </c>
      <c r="H267" s="1">
        <v>49933</v>
      </c>
      <c r="I267">
        <v>31145</v>
      </c>
      <c r="J267" s="2">
        <f t="shared" si="129"/>
        <v>18788</v>
      </c>
      <c r="K267">
        <v>32760</v>
      </c>
      <c r="L267" s="3">
        <f t="shared" si="130"/>
        <v>0.573504273504273</v>
      </c>
      <c r="N267" s="4">
        <v>265.099999741667</v>
      </c>
      <c r="O267">
        <v>201.27</v>
      </c>
      <c r="P267" s="5">
        <f t="shared" si="131"/>
        <v>63.829999741667</v>
      </c>
      <c r="Q267">
        <v>79.69</v>
      </c>
      <c r="R267" s="3">
        <f t="shared" si="132"/>
        <v>0.800978789580461</v>
      </c>
      <c r="T267" s="4">
        <v>185.704166408333</v>
      </c>
      <c r="U267">
        <v>100.23</v>
      </c>
      <c r="V267" s="5">
        <f t="shared" si="133"/>
        <v>85.474166408333</v>
      </c>
      <c r="W267">
        <v>410.93</v>
      </c>
      <c r="X267" s="3">
        <f t="shared" si="134"/>
        <v>0.20800176771794</v>
      </c>
      <c r="Z267" s="4">
        <v>27.14731254125</v>
      </c>
      <c r="AA267">
        <v>13.25</v>
      </c>
      <c r="AB267" s="5">
        <f t="shared" si="135"/>
        <v>13.89731254125</v>
      </c>
      <c r="AC267">
        <v>33.93</v>
      </c>
      <c r="AD267" s="3">
        <f t="shared" si="136"/>
        <v>0.409587755415561</v>
      </c>
      <c r="AF267" s="4">
        <v>4.12285556000486</v>
      </c>
      <c r="AG267">
        <v>2.09</v>
      </c>
      <c r="AH267" s="5">
        <f t="shared" si="137"/>
        <v>2.03285556000486</v>
      </c>
      <c r="AI267">
        <v>3.85</v>
      </c>
      <c r="AJ267" s="3">
        <f t="shared" si="138"/>
        <v>0.528014431170094</v>
      </c>
      <c r="AL267" s="4">
        <v>7.19955839166667</v>
      </c>
      <c r="AM267">
        <v>6.1</v>
      </c>
      <c r="AN267" s="5">
        <f t="shared" si="139"/>
        <v>1.09955839166667</v>
      </c>
      <c r="AO267">
        <v>1.89</v>
      </c>
      <c r="AP267" s="3">
        <f t="shared" si="140"/>
        <v>0.581776926807762</v>
      </c>
      <c r="AR267" s="4">
        <v>1.60575001</v>
      </c>
      <c r="AS267">
        <v>0.02</v>
      </c>
      <c r="AT267" s="5">
        <f t="shared" si="141"/>
        <v>1.58575001</v>
      </c>
      <c r="AU267">
        <v>2.84</v>
      </c>
      <c r="AV267" s="3">
        <f t="shared" si="142"/>
        <v>0.558362679577465</v>
      </c>
      <c r="AX267" s="4">
        <v>12.91680015</v>
      </c>
      <c r="AY267">
        <v>3.44</v>
      </c>
      <c r="AZ267" s="5">
        <f t="shared" si="143"/>
        <v>9.47680015</v>
      </c>
      <c r="BA267">
        <v>29.17</v>
      </c>
      <c r="BB267" s="3">
        <f t="shared" si="144"/>
        <v>0.324881732944806</v>
      </c>
      <c r="BD267" s="4">
        <v>0.523583333333333</v>
      </c>
      <c r="BE267">
        <v>0.17</v>
      </c>
      <c r="BF267" s="5">
        <f t="shared" si="145"/>
        <v>0.353583333333333</v>
      </c>
      <c r="BG267">
        <v>4</v>
      </c>
      <c r="BH267" s="3">
        <f t="shared" si="146"/>
        <v>0.0883958333333332</v>
      </c>
      <c r="BJ267" s="9">
        <v>10.9459166166667</v>
      </c>
      <c r="BK267">
        <v>4.8</v>
      </c>
      <c r="BL267" s="5">
        <f t="shared" si="147"/>
        <v>6.1459166166667</v>
      </c>
      <c r="BM267">
        <v>8.9</v>
      </c>
      <c r="BN267" s="3">
        <f t="shared" si="148"/>
        <v>0.690552428838955</v>
      </c>
      <c r="BP267" s="9">
        <v>0.291591666666667</v>
      </c>
      <c r="BQ267">
        <v>0.09</v>
      </c>
      <c r="BR267" s="5">
        <f t="shared" si="149"/>
        <v>0.201591666666667</v>
      </c>
      <c r="BS267">
        <v>0.43</v>
      </c>
      <c r="BT267" s="3">
        <f t="shared" si="150"/>
        <v>0.468817829457365</v>
      </c>
      <c r="BV267" s="4">
        <v>6.9311083375</v>
      </c>
      <c r="BW267">
        <v>6.18</v>
      </c>
      <c r="BX267" s="5">
        <f t="shared" si="151"/>
        <v>0.751108337500001</v>
      </c>
      <c r="BY267">
        <v>1.68</v>
      </c>
      <c r="BZ267" s="3">
        <f t="shared" si="152"/>
        <v>0.447088296130953</v>
      </c>
      <c r="CB267" s="10">
        <v>88.2</v>
      </c>
      <c r="CC267">
        <v>54.3</v>
      </c>
      <c r="CD267" s="12">
        <f t="shared" si="153"/>
        <v>33.9</v>
      </c>
      <c r="CE267">
        <v>71.3</v>
      </c>
      <c r="CF267" s="3">
        <f t="shared" si="154"/>
        <v>0.475455820476858</v>
      </c>
      <c r="CH267" s="13">
        <v>32.8</v>
      </c>
      <c r="CI267">
        <v>22.6</v>
      </c>
      <c r="CJ267">
        <f t="shared" si="155"/>
        <v>10.2</v>
      </c>
      <c r="CK267">
        <v>25.1</v>
      </c>
      <c r="CL267">
        <f t="shared" si="156"/>
        <v>0.406374501992032</v>
      </c>
      <c r="CN267" s="10">
        <v>3.4</v>
      </c>
      <c r="CO267">
        <v>3</v>
      </c>
      <c r="CP267" s="12">
        <f t="shared" si="157"/>
        <v>0.4</v>
      </c>
      <c r="CQ267">
        <v>3.4</v>
      </c>
      <c r="CR267" s="3">
        <f t="shared" si="158"/>
        <v>0.117647058823529</v>
      </c>
    </row>
    <row r="268" spans="2:96">
      <c r="B268" s="1">
        <v>50781</v>
      </c>
      <c r="C268">
        <v>32416</v>
      </c>
      <c r="D268" s="2">
        <f t="shared" si="159"/>
        <v>18365</v>
      </c>
      <c r="E268">
        <v>31904</v>
      </c>
      <c r="F268" s="3">
        <f t="shared" si="128"/>
        <v>0.575633149448345</v>
      </c>
      <c r="H268" s="1">
        <v>50628</v>
      </c>
      <c r="I268">
        <v>31145</v>
      </c>
      <c r="J268" s="2">
        <f t="shared" si="129"/>
        <v>19483</v>
      </c>
      <c r="K268">
        <v>32760</v>
      </c>
      <c r="L268" s="3">
        <f t="shared" si="130"/>
        <v>0.59471916971917</v>
      </c>
      <c r="N268" s="4">
        <v>256.6000054625</v>
      </c>
      <c r="O268">
        <v>201.27</v>
      </c>
      <c r="P268" s="5">
        <f t="shared" si="131"/>
        <v>55.3300054625</v>
      </c>
      <c r="Q268">
        <v>79.69</v>
      </c>
      <c r="R268" s="3">
        <f t="shared" si="132"/>
        <v>0.694315541002635</v>
      </c>
      <c r="T268" s="4">
        <v>176.362500516666</v>
      </c>
      <c r="U268">
        <v>100.23</v>
      </c>
      <c r="V268" s="5">
        <f t="shared" si="133"/>
        <v>76.132500516666</v>
      </c>
      <c r="W268">
        <v>410.93</v>
      </c>
      <c r="X268" s="3">
        <f t="shared" si="134"/>
        <v>0.185268781828209</v>
      </c>
      <c r="Z268" s="4">
        <v>27.726874835</v>
      </c>
      <c r="AA268">
        <v>13.25</v>
      </c>
      <c r="AB268" s="5">
        <f t="shared" si="135"/>
        <v>14.476874835</v>
      </c>
      <c r="AC268">
        <v>33.93</v>
      </c>
      <c r="AD268" s="3">
        <f t="shared" si="136"/>
        <v>0.426668872236958</v>
      </c>
      <c r="AF268" s="4">
        <v>3.50520624973322</v>
      </c>
      <c r="AG268">
        <v>2.09</v>
      </c>
      <c r="AH268" s="5">
        <f t="shared" si="137"/>
        <v>1.41520624973322</v>
      </c>
      <c r="AI268">
        <v>3.85</v>
      </c>
      <c r="AJ268" s="3">
        <f t="shared" si="138"/>
        <v>0.367586038891746</v>
      </c>
      <c r="AL268" s="4">
        <v>7.48334167083333</v>
      </c>
      <c r="AM268">
        <v>6.1</v>
      </c>
      <c r="AN268" s="5">
        <f t="shared" si="139"/>
        <v>1.38334167083333</v>
      </c>
      <c r="AO268">
        <v>1.89</v>
      </c>
      <c r="AP268" s="3">
        <f t="shared" si="140"/>
        <v>0.731926809964725</v>
      </c>
      <c r="AR268" s="4">
        <v>1.255000025</v>
      </c>
      <c r="AS268">
        <v>0.02</v>
      </c>
      <c r="AT268" s="5">
        <f t="shared" si="141"/>
        <v>1.235000025</v>
      </c>
      <c r="AU268">
        <v>2.84</v>
      </c>
      <c r="AV268" s="3">
        <f t="shared" si="142"/>
        <v>0.434859163732394</v>
      </c>
      <c r="AX268" s="4">
        <v>13.2963998625</v>
      </c>
      <c r="AY268">
        <v>3.44</v>
      </c>
      <c r="AZ268" s="5">
        <f t="shared" si="143"/>
        <v>9.8563998625</v>
      </c>
      <c r="BA268">
        <v>29.17</v>
      </c>
      <c r="BB268" s="3">
        <f t="shared" si="144"/>
        <v>0.337895092989373</v>
      </c>
      <c r="BD268" s="4">
        <v>0.772666670833333</v>
      </c>
      <c r="BE268">
        <v>0.17</v>
      </c>
      <c r="BF268" s="5">
        <f t="shared" si="145"/>
        <v>0.602666670833333</v>
      </c>
      <c r="BG268">
        <v>4</v>
      </c>
      <c r="BH268" s="3">
        <f t="shared" si="146"/>
        <v>0.150666667708333</v>
      </c>
      <c r="BJ268" s="9">
        <v>11.8180833291667</v>
      </c>
      <c r="BK268">
        <v>4.8</v>
      </c>
      <c r="BL268" s="5">
        <f t="shared" si="147"/>
        <v>7.0180833291667</v>
      </c>
      <c r="BM268">
        <v>8.9</v>
      </c>
      <c r="BN268" s="3">
        <f t="shared" si="148"/>
        <v>0.788548688670416</v>
      </c>
      <c r="BP268" s="9">
        <v>0.305608333333333</v>
      </c>
      <c r="BQ268">
        <v>0.09</v>
      </c>
      <c r="BR268" s="5">
        <f t="shared" si="149"/>
        <v>0.215608333333333</v>
      </c>
      <c r="BS268">
        <v>0.43</v>
      </c>
      <c r="BT268" s="3">
        <f t="shared" si="150"/>
        <v>0.50141472868217</v>
      </c>
      <c r="BV268" s="4">
        <v>6.918799975</v>
      </c>
      <c r="BW268">
        <v>6.18</v>
      </c>
      <c r="BX268" s="5">
        <f t="shared" si="151"/>
        <v>0.738799975</v>
      </c>
      <c r="BY268">
        <v>1.68</v>
      </c>
      <c r="BZ268" s="3">
        <f t="shared" si="152"/>
        <v>0.439761889880952</v>
      </c>
      <c r="CB268" s="10">
        <v>85.4</v>
      </c>
      <c r="CC268">
        <v>54.3</v>
      </c>
      <c r="CD268" s="12">
        <f t="shared" si="153"/>
        <v>31.1</v>
      </c>
      <c r="CE268">
        <v>71.3</v>
      </c>
      <c r="CF268" s="3">
        <f t="shared" si="154"/>
        <v>0.436185133239832</v>
      </c>
      <c r="CH268" s="13">
        <v>30.5</v>
      </c>
      <c r="CI268">
        <v>22.6</v>
      </c>
      <c r="CJ268">
        <f t="shared" si="155"/>
        <v>7.9</v>
      </c>
      <c r="CK268">
        <v>25.1</v>
      </c>
      <c r="CL268">
        <f t="shared" si="156"/>
        <v>0.314741035856574</v>
      </c>
      <c r="CN268" s="10">
        <v>3.5</v>
      </c>
      <c r="CO268">
        <v>3</v>
      </c>
      <c r="CP268" s="12">
        <f t="shared" si="157"/>
        <v>0.5</v>
      </c>
      <c r="CQ268">
        <v>3.4</v>
      </c>
      <c r="CR268" s="3">
        <f t="shared" si="158"/>
        <v>0.147058823529412</v>
      </c>
    </row>
    <row r="269" spans="2:96">
      <c r="B269" s="1">
        <v>52473</v>
      </c>
      <c r="C269">
        <v>32416</v>
      </c>
      <c r="D269" s="2">
        <f t="shared" si="159"/>
        <v>20057</v>
      </c>
      <c r="E269">
        <v>31904</v>
      </c>
      <c r="F269" s="3">
        <f t="shared" si="128"/>
        <v>0.628667251755266</v>
      </c>
      <c r="H269" s="1">
        <v>51721</v>
      </c>
      <c r="I269">
        <v>31145</v>
      </c>
      <c r="J269" s="2">
        <f t="shared" si="129"/>
        <v>20576</v>
      </c>
      <c r="K269">
        <v>32760</v>
      </c>
      <c r="L269" s="3">
        <f t="shared" si="130"/>
        <v>0.628083028083028</v>
      </c>
      <c r="N269" s="4">
        <v>258.610006329167</v>
      </c>
      <c r="O269">
        <v>201.27</v>
      </c>
      <c r="P269" s="5">
        <f t="shared" si="131"/>
        <v>57.340006329167</v>
      </c>
      <c r="Q269">
        <v>79.69</v>
      </c>
      <c r="R269" s="3">
        <f t="shared" si="132"/>
        <v>0.719538289988292</v>
      </c>
      <c r="T269" s="4">
        <v>171.20416705</v>
      </c>
      <c r="U269">
        <v>100.23</v>
      </c>
      <c r="V269" s="5">
        <f t="shared" si="133"/>
        <v>70.97416705</v>
      </c>
      <c r="W269">
        <v>410.93</v>
      </c>
      <c r="X269" s="3">
        <f t="shared" si="134"/>
        <v>0.17271595417711</v>
      </c>
      <c r="Z269" s="4">
        <v>30.23581276125</v>
      </c>
      <c r="AA269">
        <v>13.25</v>
      </c>
      <c r="AB269" s="5">
        <f t="shared" si="135"/>
        <v>16.98581276125</v>
      </c>
      <c r="AC269">
        <v>33.93</v>
      </c>
      <c r="AD269" s="3">
        <f t="shared" si="136"/>
        <v>0.50061340292514</v>
      </c>
      <c r="AF269" s="4">
        <v>3.76</v>
      </c>
      <c r="AG269">
        <v>2.09</v>
      </c>
      <c r="AH269" s="5">
        <f t="shared" si="137"/>
        <v>1.67</v>
      </c>
      <c r="AI269">
        <v>3.85</v>
      </c>
      <c r="AJ269" s="3">
        <f t="shared" si="138"/>
        <v>0.433766233766234</v>
      </c>
      <c r="AL269" s="4">
        <v>6.6842811875</v>
      </c>
      <c r="AM269">
        <v>6.1</v>
      </c>
      <c r="AN269" s="5">
        <f t="shared" si="139"/>
        <v>0.5842811875</v>
      </c>
      <c r="AO269">
        <v>1.89</v>
      </c>
      <c r="AP269" s="3">
        <f t="shared" si="140"/>
        <v>0.309143485449736</v>
      </c>
      <c r="AR269" s="4">
        <v>0.4969565173913</v>
      </c>
      <c r="AS269">
        <v>0.02</v>
      </c>
      <c r="AT269" s="5">
        <f t="shared" si="141"/>
        <v>0.4769565173913</v>
      </c>
      <c r="AU269">
        <v>2.84</v>
      </c>
      <c r="AV269" s="3">
        <f t="shared" si="142"/>
        <v>0.167942435701162</v>
      </c>
      <c r="AX269" s="4">
        <v>13.3042001666667</v>
      </c>
      <c r="AY269">
        <v>3.44</v>
      </c>
      <c r="AZ269" s="5">
        <f t="shared" si="143"/>
        <v>9.8642001666667</v>
      </c>
      <c r="BA269">
        <v>29.17</v>
      </c>
      <c r="BB269" s="3">
        <f t="shared" si="144"/>
        <v>0.338162501428409</v>
      </c>
      <c r="BD269" s="4">
        <v>0.8116666625</v>
      </c>
      <c r="BE269">
        <v>0.17</v>
      </c>
      <c r="BF269" s="5">
        <f t="shared" si="145"/>
        <v>0.6416666625</v>
      </c>
      <c r="BG269">
        <v>4</v>
      </c>
      <c r="BH269" s="3">
        <f t="shared" si="146"/>
        <v>0.160416665625</v>
      </c>
      <c r="BJ269" s="9">
        <v>11.3514166708333</v>
      </c>
      <c r="BK269">
        <v>4.8</v>
      </c>
      <c r="BL269" s="5">
        <f t="shared" si="147"/>
        <v>6.5514166708333</v>
      </c>
      <c r="BM269">
        <v>8.9</v>
      </c>
      <c r="BN269" s="3">
        <f t="shared" si="148"/>
        <v>0.736114232677899</v>
      </c>
      <c r="BP269" s="9">
        <v>0.322091666666667</v>
      </c>
      <c r="BQ269">
        <v>0.09</v>
      </c>
      <c r="BR269" s="5">
        <f t="shared" si="149"/>
        <v>0.232091666666667</v>
      </c>
      <c r="BS269">
        <v>0.43</v>
      </c>
      <c r="BT269" s="3">
        <f t="shared" si="150"/>
        <v>0.539748062015505</v>
      </c>
      <c r="BV269" s="4">
        <v>6.90847495833333</v>
      </c>
      <c r="BW269">
        <v>6.18</v>
      </c>
      <c r="BX269" s="5">
        <f t="shared" si="151"/>
        <v>0.72847495833333</v>
      </c>
      <c r="BY269">
        <v>1.68</v>
      </c>
      <c r="BZ269" s="3">
        <f t="shared" si="152"/>
        <v>0.433616046626982</v>
      </c>
      <c r="CB269" s="10">
        <v>82.6</v>
      </c>
      <c r="CC269">
        <v>54.3</v>
      </c>
      <c r="CD269" s="12">
        <f t="shared" si="153"/>
        <v>28.3</v>
      </c>
      <c r="CE269">
        <v>71.3</v>
      </c>
      <c r="CF269" s="3">
        <f t="shared" si="154"/>
        <v>0.396914446002805</v>
      </c>
      <c r="CH269" s="13">
        <v>32.3</v>
      </c>
      <c r="CI269">
        <v>22.6</v>
      </c>
      <c r="CJ269">
        <f t="shared" si="155"/>
        <v>9.7</v>
      </c>
      <c r="CK269">
        <v>25.1</v>
      </c>
      <c r="CL269">
        <f t="shared" si="156"/>
        <v>0.386454183266932</v>
      </c>
      <c r="CN269" s="10">
        <v>3.6</v>
      </c>
      <c r="CO269">
        <v>3</v>
      </c>
      <c r="CP269" s="12">
        <f t="shared" si="157"/>
        <v>0.6</v>
      </c>
      <c r="CQ269">
        <v>3.4</v>
      </c>
      <c r="CR269" s="3">
        <f t="shared" si="158"/>
        <v>0.176470588235294</v>
      </c>
    </row>
    <row r="270" spans="2:96">
      <c r="B270" s="1">
        <v>49741</v>
      </c>
      <c r="C270">
        <v>32416</v>
      </c>
      <c r="D270" s="2">
        <f t="shared" si="159"/>
        <v>17325</v>
      </c>
      <c r="E270">
        <v>31904</v>
      </c>
      <c r="F270" s="3">
        <f t="shared" si="128"/>
        <v>0.543035356068205</v>
      </c>
      <c r="H270" s="1">
        <v>49199</v>
      </c>
      <c r="I270">
        <v>31145</v>
      </c>
      <c r="J270" s="2">
        <f t="shared" si="129"/>
        <v>18054</v>
      </c>
      <c r="K270">
        <v>32760</v>
      </c>
      <c r="L270" s="3">
        <f t="shared" si="130"/>
        <v>0.551098901098901</v>
      </c>
      <c r="N270" s="4">
        <v>256.553333916667</v>
      </c>
      <c r="O270">
        <v>201.27</v>
      </c>
      <c r="P270" s="5">
        <f t="shared" si="131"/>
        <v>55.283333916667</v>
      </c>
      <c r="Q270">
        <v>79.69</v>
      </c>
      <c r="R270" s="3">
        <f t="shared" si="132"/>
        <v>0.693729877232614</v>
      </c>
      <c r="T270" s="4">
        <v>172.445833058333</v>
      </c>
      <c r="U270">
        <v>100.23</v>
      </c>
      <c r="V270" s="5">
        <f t="shared" si="133"/>
        <v>72.215833058333</v>
      </c>
      <c r="W270">
        <v>410.93</v>
      </c>
      <c r="X270" s="3">
        <f t="shared" si="134"/>
        <v>0.17573755398324</v>
      </c>
      <c r="Z270" s="4">
        <v>29.96606276125</v>
      </c>
      <c r="AA270">
        <v>13.25</v>
      </c>
      <c r="AB270" s="5">
        <f t="shared" si="135"/>
        <v>16.71606276125</v>
      </c>
      <c r="AC270">
        <v>33.93</v>
      </c>
      <c r="AD270" s="3">
        <f t="shared" si="136"/>
        <v>0.492663211354259</v>
      </c>
      <c r="AF270" s="4">
        <v>4.73</v>
      </c>
      <c r="AG270">
        <v>2.09</v>
      </c>
      <c r="AH270" s="5">
        <f t="shared" si="137"/>
        <v>2.64</v>
      </c>
      <c r="AI270">
        <v>3.85</v>
      </c>
      <c r="AJ270" s="3">
        <f t="shared" si="138"/>
        <v>0.685714285714286</v>
      </c>
      <c r="AL270" s="4">
        <v>6.79435623333333</v>
      </c>
      <c r="AM270">
        <v>6.1</v>
      </c>
      <c r="AN270" s="5">
        <f t="shared" si="139"/>
        <v>0.69435623333333</v>
      </c>
      <c r="AO270">
        <v>1.89</v>
      </c>
      <c r="AP270" s="3">
        <f t="shared" si="140"/>
        <v>0.367384250440916</v>
      </c>
      <c r="AR270" s="4">
        <v>1.18958334583333</v>
      </c>
      <c r="AS270">
        <v>0.02</v>
      </c>
      <c r="AT270" s="5">
        <f t="shared" si="141"/>
        <v>1.16958334583333</v>
      </c>
      <c r="AU270">
        <v>2.84</v>
      </c>
      <c r="AV270" s="3">
        <f t="shared" si="142"/>
        <v>0.411825121772299</v>
      </c>
      <c r="AX270" s="4">
        <v>12.4462000541667</v>
      </c>
      <c r="AY270">
        <v>3.44</v>
      </c>
      <c r="AZ270" s="5">
        <f t="shared" si="143"/>
        <v>9.0062000541667</v>
      </c>
      <c r="BA270">
        <v>29.17</v>
      </c>
      <c r="BB270" s="3">
        <f t="shared" si="144"/>
        <v>0.308748716289568</v>
      </c>
      <c r="BD270" s="4">
        <v>1.0705000125</v>
      </c>
      <c r="BE270">
        <v>0.17</v>
      </c>
      <c r="BF270" s="5">
        <f t="shared" si="145"/>
        <v>0.9005000125</v>
      </c>
      <c r="BG270">
        <v>4</v>
      </c>
      <c r="BH270" s="3">
        <f t="shared" si="146"/>
        <v>0.225125003125</v>
      </c>
      <c r="BJ270" s="4">
        <v>12.3647500375</v>
      </c>
      <c r="BK270">
        <v>4.8</v>
      </c>
      <c r="BL270" s="5">
        <f t="shared" si="147"/>
        <v>7.5647500375</v>
      </c>
      <c r="BM270">
        <v>8.9</v>
      </c>
      <c r="BN270" s="3">
        <f t="shared" si="148"/>
        <v>0.849971914325843</v>
      </c>
      <c r="BP270" s="4">
        <v>0.337091666666667</v>
      </c>
      <c r="BQ270">
        <v>0.09</v>
      </c>
      <c r="BR270" s="5">
        <f t="shared" si="149"/>
        <v>0.247091666666667</v>
      </c>
      <c r="BS270">
        <v>0.43</v>
      </c>
      <c r="BT270" s="3">
        <f t="shared" si="150"/>
        <v>0.574631782945737</v>
      </c>
      <c r="BV270" s="4">
        <v>6.90194167916667</v>
      </c>
      <c r="BW270">
        <v>6.18</v>
      </c>
      <c r="BX270" s="5">
        <f t="shared" si="151"/>
        <v>0.721941679166671</v>
      </c>
      <c r="BY270">
        <v>1.68</v>
      </c>
      <c r="BZ270" s="3">
        <f t="shared" si="152"/>
        <v>0.429727189980161</v>
      </c>
      <c r="CB270" s="10">
        <v>84.4</v>
      </c>
      <c r="CC270">
        <v>54.3</v>
      </c>
      <c r="CD270" s="12">
        <f t="shared" si="153"/>
        <v>30.1</v>
      </c>
      <c r="CE270">
        <v>71.3</v>
      </c>
      <c r="CF270" s="3">
        <f t="shared" si="154"/>
        <v>0.422159887798037</v>
      </c>
      <c r="CH270" s="13">
        <v>30.2</v>
      </c>
      <c r="CI270">
        <v>22.6</v>
      </c>
      <c r="CJ270">
        <f t="shared" si="155"/>
        <v>7.6</v>
      </c>
      <c r="CK270">
        <v>25.1</v>
      </c>
      <c r="CL270">
        <f t="shared" si="156"/>
        <v>0.302788844621514</v>
      </c>
      <c r="CN270" s="10">
        <v>3.8</v>
      </c>
      <c r="CO270">
        <v>3</v>
      </c>
      <c r="CP270" s="12">
        <f t="shared" si="157"/>
        <v>0.8</v>
      </c>
      <c r="CQ270">
        <v>3.4</v>
      </c>
      <c r="CR270" s="3">
        <f t="shared" si="158"/>
        <v>0.235294117647059</v>
      </c>
    </row>
    <row r="271" spans="2:96">
      <c r="B271" s="1">
        <v>48357</v>
      </c>
      <c r="C271">
        <v>32416</v>
      </c>
      <c r="D271" s="2">
        <f t="shared" si="159"/>
        <v>15941</v>
      </c>
      <c r="E271">
        <v>31904</v>
      </c>
      <c r="F271" s="3">
        <f t="shared" si="128"/>
        <v>0.499655215646941</v>
      </c>
      <c r="H271" s="1">
        <v>48175</v>
      </c>
      <c r="I271">
        <v>31145</v>
      </c>
      <c r="J271" s="2">
        <f t="shared" si="129"/>
        <v>17030</v>
      </c>
      <c r="K271">
        <v>32760</v>
      </c>
      <c r="L271" s="3">
        <f t="shared" si="130"/>
        <v>0.51984126984127</v>
      </c>
      <c r="N271" s="4">
        <v>263.7900034625</v>
      </c>
      <c r="O271">
        <v>201.27</v>
      </c>
      <c r="P271" s="5">
        <f t="shared" si="131"/>
        <v>62.5200034625</v>
      </c>
      <c r="Q271">
        <v>79.69</v>
      </c>
      <c r="R271" s="3">
        <f t="shared" si="132"/>
        <v>0.784540136309449</v>
      </c>
      <c r="T271" s="4">
        <v>170.349999583333</v>
      </c>
      <c r="U271">
        <v>100.23</v>
      </c>
      <c r="V271" s="5">
        <f t="shared" si="133"/>
        <v>70.119999583333</v>
      </c>
      <c r="W271">
        <v>410.93</v>
      </c>
      <c r="X271" s="3">
        <f t="shared" si="134"/>
        <v>0.170637333811922</v>
      </c>
      <c r="Z271" s="4">
        <v>26.30443787125</v>
      </c>
      <c r="AA271">
        <v>13.25</v>
      </c>
      <c r="AB271" s="5">
        <f t="shared" si="135"/>
        <v>13.05443787125</v>
      </c>
      <c r="AC271">
        <v>33.93</v>
      </c>
      <c r="AD271" s="3">
        <f t="shared" si="136"/>
        <v>0.38474617952402</v>
      </c>
      <c r="AF271" s="4">
        <v>4.74</v>
      </c>
      <c r="AG271">
        <v>2.09</v>
      </c>
      <c r="AH271" s="5">
        <f t="shared" si="137"/>
        <v>2.65</v>
      </c>
      <c r="AI271">
        <v>3.85</v>
      </c>
      <c r="AJ271" s="3">
        <f t="shared" si="138"/>
        <v>0.688311688311688</v>
      </c>
      <c r="AL271" s="4">
        <v>6.84353539166666</v>
      </c>
      <c r="AM271">
        <v>6.1</v>
      </c>
      <c r="AN271" s="5">
        <f t="shared" si="139"/>
        <v>0.74353539166666</v>
      </c>
      <c r="AO271">
        <v>1.89</v>
      </c>
      <c r="AP271" s="3">
        <f t="shared" si="140"/>
        <v>0.393404969135799</v>
      </c>
      <c r="AR271" s="4">
        <v>1.61437499583333</v>
      </c>
      <c r="AS271">
        <v>0.02</v>
      </c>
      <c r="AT271" s="5">
        <f t="shared" si="141"/>
        <v>1.59437499583333</v>
      </c>
      <c r="AU271">
        <v>2.84</v>
      </c>
      <c r="AV271" s="3">
        <f t="shared" si="142"/>
        <v>0.561399646420187</v>
      </c>
      <c r="AX271" s="4">
        <v>12.8951331458333</v>
      </c>
      <c r="AY271">
        <v>3.44</v>
      </c>
      <c r="AZ271" s="5">
        <f t="shared" si="143"/>
        <v>9.4551331458333</v>
      </c>
      <c r="BA271">
        <v>29.17</v>
      </c>
      <c r="BB271" s="3">
        <f t="shared" si="144"/>
        <v>0.324138949120099</v>
      </c>
      <c r="BD271" s="4">
        <v>1.27875</v>
      </c>
      <c r="BE271">
        <v>0.17</v>
      </c>
      <c r="BF271" s="5">
        <f t="shared" si="145"/>
        <v>1.10875</v>
      </c>
      <c r="BG271">
        <v>4</v>
      </c>
      <c r="BH271" s="3">
        <f t="shared" si="146"/>
        <v>0.2771875</v>
      </c>
      <c r="BJ271" s="4">
        <v>12.1648333416667</v>
      </c>
      <c r="BK271">
        <v>4.8</v>
      </c>
      <c r="BL271" s="5">
        <f t="shared" si="147"/>
        <v>7.3648333416667</v>
      </c>
      <c r="BM271">
        <v>8.9</v>
      </c>
      <c r="BN271" s="3">
        <f t="shared" si="148"/>
        <v>0.827509364232213</v>
      </c>
      <c r="BP271" s="4">
        <v>0.332283333333333</v>
      </c>
      <c r="BQ271">
        <v>0.09</v>
      </c>
      <c r="BR271" s="5">
        <f t="shared" si="149"/>
        <v>0.242283333333333</v>
      </c>
      <c r="BS271">
        <v>0.43</v>
      </c>
      <c r="BT271" s="3">
        <f t="shared" si="150"/>
        <v>0.5634496124031</v>
      </c>
      <c r="BV271" s="4">
        <v>6.88105827916667</v>
      </c>
      <c r="BW271">
        <v>6.18</v>
      </c>
      <c r="BX271" s="5">
        <f t="shared" si="151"/>
        <v>0.70105827916667</v>
      </c>
      <c r="BY271">
        <v>1.68</v>
      </c>
      <c r="BZ271" s="3">
        <f t="shared" si="152"/>
        <v>0.417296594742065</v>
      </c>
      <c r="CB271" s="10">
        <v>87.9</v>
      </c>
      <c r="CC271">
        <v>54.3</v>
      </c>
      <c r="CD271" s="12">
        <f t="shared" si="153"/>
        <v>33.6</v>
      </c>
      <c r="CE271">
        <v>71.3</v>
      </c>
      <c r="CF271" s="3">
        <f t="shared" si="154"/>
        <v>0.47124824684432</v>
      </c>
      <c r="CH271" s="13">
        <v>29.7</v>
      </c>
      <c r="CI271">
        <v>22.6</v>
      </c>
      <c r="CJ271">
        <f t="shared" si="155"/>
        <v>7.1</v>
      </c>
      <c r="CK271">
        <v>25.1</v>
      </c>
      <c r="CL271">
        <f t="shared" si="156"/>
        <v>0.282868525896414</v>
      </c>
      <c r="CN271" s="11">
        <v>4.1</v>
      </c>
      <c r="CO271">
        <v>3</v>
      </c>
      <c r="CP271" s="12">
        <f t="shared" si="157"/>
        <v>1.1</v>
      </c>
      <c r="CQ271">
        <v>3.4</v>
      </c>
      <c r="CR271" s="3">
        <f t="shared" si="158"/>
        <v>0.323529411764706</v>
      </c>
    </row>
    <row r="272" spans="2:96">
      <c r="B272" s="1">
        <v>37145</v>
      </c>
      <c r="C272">
        <v>32416</v>
      </c>
      <c r="D272" s="2">
        <f t="shared" si="159"/>
        <v>4729</v>
      </c>
      <c r="E272">
        <v>31904</v>
      </c>
      <c r="F272" s="3">
        <f t="shared" si="128"/>
        <v>0.14822592778335</v>
      </c>
      <c r="H272" s="1">
        <v>36823</v>
      </c>
      <c r="I272">
        <v>31145</v>
      </c>
      <c r="J272" s="2">
        <f t="shared" si="129"/>
        <v>5678</v>
      </c>
      <c r="K272">
        <v>32760</v>
      </c>
      <c r="L272" s="3">
        <f t="shared" si="130"/>
        <v>0.173321123321123</v>
      </c>
      <c r="N272" s="4">
        <v>271.3300031</v>
      </c>
      <c r="O272">
        <v>201.27</v>
      </c>
      <c r="P272" s="5">
        <f t="shared" si="131"/>
        <v>70.0600031</v>
      </c>
      <c r="Q272">
        <v>79.69</v>
      </c>
      <c r="R272" s="3">
        <f t="shared" si="132"/>
        <v>0.879156771238549</v>
      </c>
      <c r="T272" s="4">
        <v>149.583334141666</v>
      </c>
      <c r="U272">
        <v>100.23</v>
      </c>
      <c r="V272" s="5">
        <f t="shared" si="133"/>
        <v>49.353334141666</v>
      </c>
      <c r="W272">
        <v>410.93</v>
      </c>
      <c r="X272" s="3">
        <f t="shared" si="134"/>
        <v>0.120101560221123</v>
      </c>
      <c r="Z272" s="4">
        <v>25.66193745875</v>
      </c>
      <c r="AA272">
        <v>13.25</v>
      </c>
      <c r="AB272" s="5">
        <f t="shared" si="135"/>
        <v>12.41193745875</v>
      </c>
      <c r="AC272">
        <v>33.93</v>
      </c>
      <c r="AD272" s="3">
        <f t="shared" si="136"/>
        <v>0.365810122568523</v>
      </c>
      <c r="AF272" s="4">
        <v>4.72</v>
      </c>
      <c r="AG272">
        <v>2.09</v>
      </c>
      <c r="AH272" s="5">
        <f t="shared" si="137"/>
        <v>2.63</v>
      </c>
      <c r="AI272">
        <v>3.85</v>
      </c>
      <c r="AJ272" s="3">
        <f t="shared" si="138"/>
        <v>0.683116883116883</v>
      </c>
      <c r="AL272" s="4">
        <v>7.2300687625</v>
      </c>
      <c r="AM272">
        <v>6.1</v>
      </c>
      <c r="AN272" s="5">
        <f t="shared" si="139"/>
        <v>1.1300687625</v>
      </c>
      <c r="AO272">
        <v>1.89</v>
      </c>
      <c r="AP272" s="3">
        <f t="shared" si="140"/>
        <v>0.59791998015873</v>
      </c>
      <c r="AR272" s="4">
        <v>1.54708332916667</v>
      </c>
      <c r="AS272">
        <v>0.02</v>
      </c>
      <c r="AT272" s="5">
        <f t="shared" si="141"/>
        <v>1.52708332916667</v>
      </c>
      <c r="AU272">
        <v>2.84</v>
      </c>
      <c r="AV272" s="3">
        <f t="shared" si="142"/>
        <v>0.537705397593898</v>
      </c>
      <c r="AX272" s="4">
        <v>10.0334001</v>
      </c>
      <c r="AY272">
        <v>3.44</v>
      </c>
      <c r="AZ272" s="5">
        <f t="shared" si="143"/>
        <v>6.5934001</v>
      </c>
      <c r="BA272">
        <v>29.17</v>
      </c>
      <c r="BB272" s="3">
        <f t="shared" si="144"/>
        <v>0.226033599588618</v>
      </c>
      <c r="BD272" s="4">
        <v>0.560166666666667</v>
      </c>
      <c r="BE272">
        <v>0.17</v>
      </c>
      <c r="BF272" s="5">
        <f t="shared" si="145"/>
        <v>0.390166666666667</v>
      </c>
      <c r="BG272">
        <v>4</v>
      </c>
      <c r="BH272" s="3">
        <f t="shared" si="146"/>
        <v>0.0975416666666667</v>
      </c>
      <c r="BJ272" s="4">
        <v>9.59591664166667</v>
      </c>
      <c r="BK272">
        <v>4.8</v>
      </c>
      <c r="BL272" s="5">
        <f t="shared" si="147"/>
        <v>4.79591664166667</v>
      </c>
      <c r="BM272">
        <v>8.9</v>
      </c>
      <c r="BN272" s="3">
        <f t="shared" si="148"/>
        <v>0.538867038389514</v>
      </c>
      <c r="BP272" s="4">
        <v>0.288316666666667</v>
      </c>
      <c r="BQ272">
        <v>0.09</v>
      </c>
      <c r="BR272" s="5">
        <f t="shared" si="149"/>
        <v>0.198316666666667</v>
      </c>
      <c r="BS272">
        <v>0.43</v>
      </c>
      <c r="BT272" s="3">
        <f t="shared" si="150"/>
        <v>0.461201550387598</v>
      </c>
      <c r="BV272" s="4">
        <v>6.94913336666667</v>
      </c>
      <c r="BW272">
        <v>6.18</v>
      </c>
      <c r="BX272" s="5">
        <f t="shared" si="151"/>
        <v>0.76913336666667</v>
      </c>
      <c r="BY272">
        <v>1.68</v>
      </c>
      <c r="BZ272" s="3">
        <f t="shared" si="152"/>
        <v>0.457817480158732</v>
      </c>
      <c r="CB272" s="10">
        <v>86.2</v>
      </c>
      <c r="CC272">
        <v>54.3</v>
      </c>
      <c r="CD272" s="12">
        <f t="shared" si="153"/>
        <v>31.9</v>
      </c>
      <c r="CE272">
        <v>71.3</v>
      </c>
      <c r="CF272" s="3">
        <f t="shared" si="154"/>
        <v>0.447405329593268</v>
      </c>
      <c r="CH272" s="13">
        <v>28.8</v>
      </c>
      <c r="CI272">
        <v>22.6</v>
      </c>
      <c r="CJ272">
        <f t="shared" si="155"/>
        <v>6.2</v>
      </c>
      <c r="CK272">
        <v>25.1</v>
      </c>
      <c r="CL272">
        <f t="shared" si="156"/>
        <v>0.247011952191235</v>
      </c>
      <c r="CN272" s="10">
        <v>4.5</v>
      </c>
      <c r="CO272">
        <v>3</v>
      </c>
      <c r="CP272" s="12">
        <f t="shared" si="157"/>
        <v>1.5</v>
      </c>
      <c r="CQ272">
        <v>3.4</v>
      </c>
      <c r="CR272" s="3">
        <f t="shared" si="158"/>
        <v>0.441176470588235</v>
      </c>
    </row>
    <row r="273" spans="2:96">
      <c r="B273" s="1">
        <v>54783</v>
      </c>
      <c r="C273">
        <v>32416</v>
      </c>
      <c r="D273" s="2">
        <f t="shared" si="159"/>
        <v>22367</v>
      </c>
      <c r="E273">
        <v>31904</v>
      </c>
      <c r="F273" s="3">
        <f t="shared" si="128"/>
        <v>0.701071965897693</v>
      </c>
      <c r="H273" s="1">
        <v>54591</v>
      </c>
      <c r="I273">
        <v>31145</v>
      </c>
      <c r="J273" s="2">
        <f t="shared" si="129"/>
        <v>23446</v>
      </c>
      <c r="K273">
        <v>32760</v>
      </c>
      <c r="L273" s="3">
        <f t="shared" si="130"/>
        <v>0.715689865689866</v>
      </c>
      <c r="N273" s="4">
        <v>268.096670795833</v>
      </c>
      <c r="O273">
        <v>201.27</v>
      </c>
      <c r="P273" s="5">
        <f t="shared" si="131"/>
        <v>66.826670795833</v>
      </c>
      <c r="Q273">
        <v>79.69</v>
      </c>
      <c r="R273" s="3">
        <f t="shared" si="132"/>
        <v>0.838582893660848</v>
      </c>
      <c r="T273" s="4">
        <v>151.716666216666</v>
      </c>
      <c r="U273">
        <v>100.23</v>
      </c>
      <c r="V273" s="5">
        <f t="shared" si="133"/>
        <v>51.486666216666</v>
      </c>
      <c r="W273">
        <v>410.93</v>
      </c>
      <c r="X273" s="3">
        <f t="shared" si="134"/>
        <v>0.125293033403903</v>
      </c>
      <c r="Z273" s="4">
        <v>28.31293734875</v>
      </c>
      <c r="AA273">
        <v>13.25</v>
      </c>
      <c r="AB273" s="5">
        <f t="shared" si="135"/>
        <v>15.06293734875</v>
      </c>
      <c r="AC273">
        <v>33.93</v>
      </c>
      <c r="AD273" s="3">
        <f t="shared" si="136"/>
        <v>0.443941566423519</v>
      </c>
      <c r="AF273" s="4">
        <v>3.76</v>
      </c>
      <c r="AG273">
        <v>2.09</v>
      </c>
      <c r="AH273" s="5">
        <f t="shared" si="137"/>
        <v>1.67</v>
      </c>
      <c r="AI273">
        <v>3.85</v>
      </c>
      <c r="AJ273" s="3">
        <f t="shared" si="138"/>
        <v>0.433766233766234</v>
      </c>
      <c r="AL273" s="4">
        <v>6.877066625</v>
      </c>
      <c r="AM273">
        <v>6.1</v>
      </c>
      <c r="AN273" s="5">
        <f t="shared" si="139"/>
        <v>0.777066625000001</v>
      </c>
      <c r="AO273">
        <v>1.89</v>
      </c>
      <c r="AP273" s="3">
        <f t="shared" si="140"/>
        <v>0.411146362433863</v>
      </c>
      <c r="AR273" s="4">
        <v>1.57604166666667</v>
      </c>
      <c r="AS273">
        <v>0.02</v>
      </c>
      <c r="AT273" s="5">
        <f t="shared" si="141"/>
        <v>1.55604166666667</v>
      </c>
      <c r="AU273">
        <v>2.84</v>
      </c>
      <c r="AV273" s="3">
        <f t="shared" si="142"/>
        <v>0.547901995305165</v>
      </c>
      <c r="AX273" s="4">
        <v>9.50560017083333</v>
      </c>
      <c r="AY273">
        <v>3.44</v>
      </c>
      <c r="AZ273" s="5">
        <f t="shared" si="143"/>
        <v>6.06560017083333</v>
      </c>
      <c r="BA273">
        <v>29.17</v>
      </c>
      <c r="BB273" s="3">
        <f t="shared" si="144"/>
        <v>0.207939669894869</v>
      </c>
      <c r="BD273" s="4">
        <v>0.283166666666667</v>
      </c>
      <c r="BE273">
        <v>0.17</v>
      </c>
      <c r="BF273" s="5">
        <f t="shared" si="145"/>
        <v>0.113166666666667</v>
      </c>
      <c r="BG273">
        <v>4</v>
      </c>
      <c r="BH273" s="3">
        <f t="shared" si="146"/>
        <v>0.0282916666666667</v>
      </c>
      <c r="BJ273" s="4">
        <v>4.79558330833333</v>
      </c>
      <c r="BK273">
        <v>4.8</v>
      </c>
      <c r="BL273" s="5">
        <f t="shared" si="147"/>
        <v>-0.00441669166666969</v>
      </c>
      <c r="BM273">
        <v>8.9</v>
      </c>
      <c r="BN273" s="3">
        <f t="shared" si="148"/>
        <v>-0.000496257490637044</v>
      </c>
      <c r="BP273" s="4">
        <v>0.270291666666667</v>
      </c>
      <c r="BQ273">
        <v>0.09</v>
      </c>
      <c r="BR273" s="5">
        <f t="shared" si="149"/>
        <v>0.180291666666667</v>
      </c>
      <c r="BS273">
        <v>0.43</v>
      </c>
      <c r="BT273" s="3">
        <f t="shared" si="150"/>
        <v>0.419282945736435</v>
      </c>
      <c r="BV273" s="4">
        <v>6.98226667916667</v>
      </c>
      <c r="BW273">
        <v>6.18</v>
      </c>
      <c r="BX273" s="5">
        <f t="shared" si="151"/>
        <v>0.80226667916667</v>
      </c>
      <c r="BY273">
        <v>1.68</v>
      </c>
      <c r="BZ273" s="3">
        <f t="shared" si="152"/>
        <v>0.477539689980161</v>
      </c>
      <c r="CB273" s="10">
        <v>88.5</v>
      </c>
      <c r="CC273">
        <v>54.3</v>
      </c>
      <c r="CD273" s="12">
        <f t="shared" si="153"/>
        <v>34.2</v>
      </c>
      <c r="CE273">
        <v>71.3</v>
      </c>
      <c r="CF273" s="3">
        <f t="shared" si="154"/>
        <v>0.479663394109397</v>
      </c>
      <c r="CH273" s="13">
        <v>27.7</v>
      </c>
      <c r="CI273">
        <v>22.6</v>
      </c>
      <c r="CJ273">
        <f t="shared" si="155"/>
        <v>5.1</v>
      </c>
      <c r="CK273">
        <v>25.1</v>
      </c>
      <c r="CL273">
        <f t="shared" si="156"/>
        <v>0.203187250996016</v>
      </c>
      <c r="CN273" s="10">
        <v>4.4</v>
      </c>
      <c r="CO273">
        <v>3</v>
      </c>
      <c r="CP273" s="12">
        <f t="shared" si="157"/>
        <v>1.4</v>
      </c>
      <c r="CQ273">
        <v>3.4</v>
      </c>
      <c r="CR273" s="3">
        <f t="shared" si="158"/>
        <v>0.411764705882353</v>
      </c>
    </row>
    <row r="274" spans="2:96">
      <c r="B274" s="1">
        <v>55741</v>
      </c>
      <c r="C274">
        <v>32416</v>
      </c>
      <c r="D274" s="2">
        <f t="shared" si="159"/>
        <v>23325</v>
      </c>
      <c r="E274">
        <v>31904</v>
      </c>
      <c r="F274" s="3">
        <f t="shared" si="128"/>
        <v>0.731099548645938</v>
      </c>
      <c r="H274" s="1">
        <v>55269</v>
      </c>
      <c r="I274">
        <v>31145</v>
      </c>
      <c r="J274" s="2">
        <f t="shared" si="129"/>
        <v>24124</v>
      </c>
      <c r="K274">
        <v>32760</v>
      </c>
      <c r="L274" s="3">
        <f t="shared" si="130"/>
        <v>0.736385836385836</v>
      </c>
      <c r="N274" s="4">
        <v>256.103331875</v>
      </c>
      <c r="O274">
        <v>201.27</v>
      </c>
      <c r="P274" s="5">
        <f t="shared" si="131"/>
        <v>54.833331875</v>
      </c>
      <c r="Q274">
        <v>79.69</v>
      </c>
      <c r="R274" s="3">
        <f t="shared" si="132"/>
        <v>0.688082969946041</v>
      </c>
      <c r="T274" s="4">
        <v>186.30416695</v>
      </c>
      <c r="U274">
        <v>100.23</v>
      </c>
      <c r="V274" s="5">
        <f t="shared" si="133"/>
        <v>86.07416695</v>
      </c>
      <c r="W274">
        <v>410.93</v>
      </c>
      <c r="X274" s="3">
        <f t="shared" si="134"/>
        <v>0.209461871729978</v>
      </c>
      <c r="Z274" s="4">
        <v>25.2425623625</v>
      </c>
      <c r="AA274">
        <v>13.25</v>
      </c>
      <c r="AB274" s="5">
        <f t="shared" si="135"/>
        <v>11.9925623625</v>
      </c>
      <c r="AC274">
        <v>33.93</v>
      </c>
      <c r="AD274" s="3">
        <f t="shared" si="136"/>
        <v>0.353450113837312</v>
      </c>
      <c r="AF274" s="4">
        <v>4.33</v>
      </c>
      <c r="AG274">
        <v>2.09</v>
      </c>
      <c r="AH274" s="5">
        <f t="shared" si="137"/>
        <v>2.24</v>
      </c>
      <c r="AI274">
        <v>3.85</v>
      </c>
      <c r="AJ274" s="3">
        <f t="shared" si="138"/>
        <v>0.581818181818182</v>
      </c>
      <c r="AL274" s="4">
        <v>6.83767700416667</v>
      </c>
      <c r="AM274">
        <v>6.1</v>
      </c>
      <c r="AN274" s="5">
        <f t="shared" si="139"/>
        <v>0.73767700416667</v>
      </c>
      <c r="AO274">
        <v>1.89</v>
      </c>
      <c r="AP274" s="3">
        <f t="shared" si="140"/>
        <v>0.390305293209878</v>
      </c>
      <c r="AR274" s="4">
        <v>1.09854166666666</v>
      </c>
      <c r="AS274">
        <v>0.02</v>
      </c>
      <c r="AT274" s="5">
        <f t="shared" si="141"/>
        <v>1.07854166666666</v>
      </c>
      <c r="AU274">
        <v>2.84</v>
      </c>
      <c r="AV274" s="3">
        <f t="shared" si="142"/>
        <v>0.379768192488261</v>
      </c>
      <c r="AX274" s="4">
        <v>13.0147335166667</v>
      </c>
      <c r="AY274">
        <v>3.44</v>
      </c>
      <c r="AZ274" s="5">
        <f t="shared" si="143"/>
        <v>9.5747335166667</v>
      </c>
      <c r="BA274">
        <v>29.17</v>
      </c>
      <c r="BB274" s="3">
        <f t="shared" si="144"/>
        <v>0.328239064678324</v>
      </c>
      <c r="BD274" s="4">
        <v>0.855999995833333</v>
      </c>
      <c r="BE274">
        <v>0.17</v>
      </c>
      <c r="BF274" s="5">
        <f t="shared" si="145"/>
        <v>0.685999995833333</v>
      </c>
      <c r="BG274">
        <v>4</v>
      </c>
      <c r="BH274" s="3">
        <f t="shared" si="146"/>
        <v>0.171499998958333</v>
      </c>
      <c r="BJ274" s="4">
        <v>6.63091665833333</v>
      </c>
      <c r="BK274">
        <v>4.8</v>
      </c>
      <c r="BL274" s="5">
        <f t="shared" si="147"/>
        <v>1.83091665833333</v>
      </c>
      <c r="BM274">
        <v>8.9</v>
      </c>
      <c r="BN274" s="3">
        <f t="shared" si="148"/>
        <v>0.205720972846442</v>
      </c>
      <c r="BP274" s="4">
        <v>0.283283333333333</v>
      </c>
      <c r="BQ274">
        <v>0.09</v>
      </c>
      <c r="BR274" s="5">
        <f t="shared" si="149"/>
        <v>0.193283333333333</v>
      </c>
      <c r="BS274">
        <v>0.43</v>
      </c>
      <c r="BT274" s="3">
        <f t="shared" si="150"/>
        <v>0.449496124031007</v>
      </c>
      <c r="BV274" s="4">
        <v>6.91395835833333</v>
      </c>
      <c r="BW274">
        <v>6.18</v>
      </c>
      <c r="BX274" s="5">
        <f t="shared" si="151"/>
        <v>0.73395835833333</v>
      </c>
      <c r="BY274">
        <v>1.68</v>
      </c>
      <c r="BZ274" s="3">
        <f t="shared" si="152"/>
        <v>0.436879975198411</v>
      </c>
      <c r="CB274" s="11">
        <v>90.5</v>
      </c>
      <c r="CC274">
        <v>54.3</v>
      </c>
      <c r="CD274" s="12">
        <f t="shared" si="153"/>
        <v>36.2</v>
      </c>
      <c r="CE274">
        <v>71.3</v>
      </c>
      <c r="CF274" s="3">
        <f t="shared" si="154"/>
        <v>0.507713884992987</v>
      </c>
      <c r="CH274" s="13">
        <v>28.4</v>
      </c>
      <c r="CI274">
        <v>22.6</v>
      </c>
      <c r="CJ274">
        <f t="shared" si="155"/>
        <v>5.8</v>
      </c>
      <c r="CK274">
        <v>25.1</v>
      </c>
      <c r="CL274">
        <f t="shared" si="156"/>
        <v>0.231075697211155</v>
      </c>
      <c r="CN274" s="13">
        <v>4.7</v>
      </c>
      <c r="CO274">
        <v>3</v>
      </c>
      <c r="CP274" s="12">
        <f t="shared" si="157"/>
        <v>1.7</v>
      </c>
      <c r="CQ274">
        <v>3.4</v>
      </c>
      <c r="CR274" s="3">
        <f t="shared" si="158"/>
        <v>0.5</v>
      </c>
    </row>
    <row r="275" spans="2:96">
      <c r="B275" s="1">
        <v>52897</v>
      </c>
      <c r="C275">
        <v>32416</v>
      </c>
      <c r="D275" s="2">
        <f t="shared" si="159"/>
        <v>20481</v>
      </c>
      <c r="E275">
        <v>31904</v>
      </c>
      <c r="F275" s="3">
        <f t="shared" si="128"/>
        <v>0.641957121364092</v>
      </c>
      <c r="H275" s="1">
        <v>52485</v>
      </c>
      <c r="I275">
        <v>31145</v>
      </c>
      <c r="J275" s="2">
        <f t="shared" si="129"/>
        <v>21340</v>
      </c>
      <c r="K275">
        <v>32760</v>
      </c>
      <c r="L275" s="3">
        <f t="shared" si="130"/>
        <v>0.651404151404151</v>
      </c>
      <c r="N275" s="4">
        <v>249.14666685</v>
      </c>
      <c r="O275">
        <v>201.27</v>
      </c>
      <c r="P275" s="5">
        <f t="shared" si="131"/>
        <v>47.87666685</v>
      </c>
      <c r="Q275">
        <v>79.69</v>
      </c>
      <c r="R275" s="3">
        <f t="shared" si="132"/>
        <v>0.600786382858577</v>
      </c>
      <c r="T275" s="4">
        <v>141.170832883333</v>
      </c>
      <c r="U275">
        <v>100.23</v>
      </c>
      <c r="V275" s="5">
        <f t="shared" si="133"/>
        <v>40.940832883333</v>
      </c>
      <c r="W275">
        <v>410.93</v>
      </c>
      <c r="X275" s="3">
        <f t="shared" si="134"/>
        <v>0.0996297006383885</v>
      </c>
      <c r="Z275" s="4">
        <v>27.779999925</v>
      </c>
      <c r="AA275">
        <v>13.25</v>
      </c>
      <c r="AB275" s="5">
        <f t="shared" si="135"/>
        <v>14.529999925</v>
      </c>
      <c r="AC275">
        <v>33.93</v>
      </c>
      <c r="AD275" s="3">
        <f t="shared" si="136"/>
        <v>0.42823459843796</v>
      </c>
      <c r="AF275" s="4">
        <v>4.29</v>
      </c>
      <c r="AG275">
        <v>2.09</v>
      </c>
      <c r="AH275" s="5">
        <f t="shared" si="137"/>
        <v>2.2</v>
      </c>
      <c r="AI275">
        <v>3.85</v>
      </c>
      <c r="AJ275" s="3">
        <f t="shared" si="138"/>
        <v>0.571428571428572</v>
      </c>
      <c r="AL275" s="4">
        <v>7.44040840833333</v>
      </c>
      <c r="AM275">
        <v>6.1</v>
      </c>
      <c r="AN275" s="5">
        <f t="shared" si="139"/>
        <v>1.34040840833333</v>
      </c>
      <c r="AO275">
        <v>1.89</v>
      </c>
      <c r="AP275" s="3">
        <f t="shared" si="140"/>
        <v>0.709210798059963</v>
      </c>
      <c r="AR275" s="4">
        <v>1.35354165833333</v>
      </c>
      <c r="AS275">
        <v>0.02</v>
      </c>
      <c r="AT275" s="5">
        <f t="shared" si="141"/>
        <v>1.33354165833333</v>
      </c>
      <c r="AU275">
        <v>2.84</v>
      </c>
      <c r="AV275" s="3">
        <f t="shared" si="142"/>
        <v>0.469556921948356</v>
      </c>
      <c r="AX275" s="4">
        <v>12.1038667</v>
      </c>
      <c r="AY275">
        <v>3.44</v>
      </c>
      <c r="AZ275" s="5">
        <f t="shared" si="143"/>
        <v>8.6638667</v>
      </c>
      <c r="BA275">
        <v>29.17</v>
      </c>
      <c r="BB275" s="3">
        <f t="shared" si="144"/>
        <v>0.297012913952691</v>
      </c>
      <c r="BD275" s="4">
        <v>0.5193333375</v>
      </c>
      <c r="BE275">
        <v>0.17</v>
      </c>
      <c r="BF275" s="5">
        <f t="shared" si="145"/>
        <v>0.3493333375</v>
      </c>
      <c r="BG275">
        <v>4</v>
      </c>
      <c r="BH275" s="3">
        <f t="shared" si="146"/>
        <v>0.087333334375</v>
      </c>
      <c r="BJ275" s="9">
        <v>8.96649995833333</v>
      </c>
      <c r="BK275">
        <v>4.8</v>
      </c>
      <c r="BL275" s="5">
        <f t="shared" si="147"/>
        <v>4.16649995833333</v>
      </c>
      <c r="BM275">
        <v>8.9</v>
      </c>
      <c r="BN275" s="3">
        <f t="shared" si="148"/>
        <v>0.468146062734082</v>
      </c>
      <c r="BP275" s="9">
        <v>0.246866666666667</v>
      </c>
      <c r="BQ275">
        <v>0.09</v>
      </c>
      <c r="BR275" s="5">
        <f t="shared" si="149"/>
        <v>0.156866666666667</v>
      </c>
      <c r="BS275">
        <v>0.43</v>
      </c>
      <c r="BT275" s="3">
        <f t="shared" si="150"/>
        <v>0.364806201550388</v>
      </c>
      <c r="BV275" s="4">
        <v>6.872191625</v>
      </c>
      <c r="BW275">
        <v>6.18</v>
      </c>
      <c r="BX275" s="5">
        <f t="shared" si="151"/>
        <v>0.692191625</v>
      </c>
      <c r="BY275">
        <v>1.68</v>
      </c>
      <c r="BZ275" s="3">
        <f t="shared" si="152"/>
        <v>0.412018824404762</v>
      </c>
      <c r="CB275" s="10">
        <v>92.5</v>
      </c>
      <c r="CC275">
        <v>54.3</v>
      </c>
      <c r="CD275" s="12">
        <f t="shared" si="153"/>
        <v>38.2</v>
      </c>
      <c r="CE275">
        <v>71.3</v>
      </c>
      <c r="CF275" s="3">
        <f t="shared" si="154"/>
        <v>0.535764375876578</v>
      </c>
      <c r="CH275" s="13">
        <v>29.4</v>
      </c>
      <c r="CI275">
        <v>22.6</v>
      </c>
      <c r="CJ275">
        <f t="shared" si="155"/>
        <v>6.8</v>
      </c>
      <c r="CK275">
        <v>25.1</v>
      </c>
      <c r="CL275">
        <f t="shared" si="156"/>
        <v>0.270916334661354</v>
      </c>
      <c r="CN275" s="11">
        <v>4.9</v>
      </c>
      <c r="CO275">
        <v>3</v>
      </c>
      <c r="CP275" s="12">
        <f t="shared" si="157"/>
        <v>1.9</v>
      </c>
      <c r="CQ275">
        <v>3.4</v>
      </c>
      <c r="CR275" s="3">
        <f t="shared" si="158"/>
        <v>0.558823529411765</v>
      </c>
    </row>
    <row r="276" spans="2:96">
      <c r="B276" s="1">
        <v>53247</v>
      </c>
      <c r="C276">
        <v>32416</v>
      </c>
      <c r="D276" s="2">
        <f t="shared" si="159"/>
        <v>20831</v>
      </c>
      <c r="E276">
        <v>31904</v>
      </c>
      <c r="F276" s="3">
        <f t="shared" si="128"/>
        <v>0.652927532597793</v>
      </c>
      <c r="H276" s="1">
        <v>52813</v>
      </c>
      <c r="I276">
        <v>31145</v>
      </c>
      <c r="J276" s="2">
        <f t="shared" si="129"/>
        <v>21668</v>
      </c>
      <c r="K276">
        <v>32760</v>
      </c>
      <c r="L276" s="3">
        <f t="shared" si="130"/>
        <v>0.661416361416361</v>
      </c>
      <c r="N276" s="4">
        <v>248.436670308333</v>
      </c>
      <c r="O276">
        <v>201.27</v>
      </c>
      <c r="P276" s="5">
        <f t="shared" si="131"/>
        <v>47.166670308333</v>
      </c>
      <c r="Q276">
        <v>79.69</v>
      </c>
      <c r="R276" s="3">
        <f t="shared" si="132"/>
        <v>0.591876901848826</v>
      </c>
      <c r="T276" s="4">
        <v>139.108333275</v>
      </c>
      <c r="U276">
        <v>100.23</v>
      </c>
      <c r="V276" s="5">
        <f t="shared" si="133"/>
        <v>38.878333275</v>
      </c>
      <c r="W276">
        <v>410.93</v>
      </c>
      <c r="X276" s="3">
        <f t="shared" si="134"/>
        <v>0.0946105985812669</v>
      </c>
      <c r="Z276" s="4">
        <v>21.4675000708333</v>
      </c>
      <c r="AA276">
        <v>13.25</v>
      </c>
      <c r="AB276" s="5">
        <f t="shared" si="135"/>
        <v>8.2175000708333</v>
      </c>
      <c r="AC276">
        <v>33.93</v>
      </c>
      <c r="AD276" s="3">
        <f t="shared" si="136"/>
        <v>0.242189804622261</v>
      </c>
      <c r="AF276" s="4">
        <v>4.52</v>
      </c>
      <c r="AG276">
        <v>2.09</v>
      </c>
      <c r="AH276" s="5">
        <f t="shared" si="137"/>
        <v>2.43</v>
      </c>
      <c r="AI276">
        <v>3.85</v>
      </c>
      <c r="AJ276" s="3">
        <f t="shared" si="138"/>
        <v>0.631168831168831</v>
      </c>
      <c r="AL276" s="4">
        <v>7.49926665833333</v>
      </c>
      <c r="AM276">
        <v>6.1</v>
      </c>
      <c r="AN276" s="5">
        <f t="shared" si="139"/>
        <v>1.39926665833333</v>
      </c>
      <c r="AO276">
        <v>1.89</v>
      </c>
      <c r="AP276" s="3">
        <f t="shared" si="140"/>
        <v>0.740352729276894</v>
      </c>
      <c r="AR276" s="4">
        <v>1.38937500833333</v>
      </c>
      <c r="AS276">
        <v>0.02</v>
      </c>
      <c r="AT276" s="5">
        <f t="shared" si="141"/>
        <v>1.36937500833333</v>
      </c>
      <c r="AU276">
        <v>2.84</v>
      </c>
      <c r="AV276" s="3">
        <f t="shared" si="142"/>
        <v>0.482174298708919</v>
      </c>
      <c r="AX276" s="4">
        <v>8.82440010833333</v>
      </c>
      <c r="AY276">
        <v>3.44</v>
      </c>
      <c r="AZ276" s="5">
        <f t="shared" si="143"/>
        <v>5.38440010833333</v>
      </c>
      <c r="BA276">
        <v>29.17</v>
      </c>
      <c r="BB276" s="3">
        <f t="shared" si="144"/>
        <v>0.184586908067649</v>
      </c>
      <c r="BD276" s="4">
        <v>0.277</v>
      </c>
      <c r="BE276">
        <v>0.17</v>
      </c>
      <c r="BF276" s="5">
        <f t="shared" si="145"/>
        <v>0.107</v>
      </c>
      <c r="BG276">
        <v>4</v>
      </c>
      <c r="BH276" s="3">
        <f t="shared" si="146"/>
        <v>0.02675</v>
      </c>
      <c r="BJ276" s="9">
        <v>9.31516664583333</v>
      </c>
      <c r="BK276">
        <v>4.8</v>
      </c>
      <c r="BL276" s="5">
        <f t="shared" si="147"/>
        <v>4.51516664583333</v>
      </c>
      <c r="BM276">
        <v>8.9</v>
      </c>
      <c r="BN276" s="3">
        <f t="shared" si="148"/>
        <v>0.507322095037453</v>
      </c>
      <c r="BP276" s="9">
        <v>0.237175</v>
      </c>
      <c r="BQ276">
        <v>0.09</v>
      </c>
      <c r="BR276" s="5">
        <f t="shared" si="149"/>
        <v>0.147175</v>
      </c>
      <c r="BS276">
        <v>0.43</v>
      </c>
      <c r="BT276" s="3">
        <f t="shared" si="150"/>
        <v>0.342267441860465</v>
      </c>
      <c r="BV276" s="4">
        <v>6.87044165416667</v>
      </c>
      <c r="BW276">
        <v>6.18</v>
      </c>
      <c r="BX276" s="5">
        <f t="shared" si="151"/>
        <v>0.69044165416667</v>
      </c>
      <c r="BY276">
        <v>1.68</v>
      </c>
      <c r="BZ276" s="3">
        <f t="shared" si="152"/>
        <v>0.410977175099208</v>
      </c>
      <c r="CB276" s="10">
        <v>78.6</v>
      </c>
      <c r="CC276">
        <v>54.3</v>
      </c>
      <c r="CD276" s="12">
        <f t="shared" si="153"/>
        <v>24.3</v>
      </c>
      <c r="CE276">
        <v>71.3</v>
      </c>
      <c r="CF276" s="3">
        <f t="shared" si="154"/>
        <v>0.340813464235624</v>
      </c>
      <c r="CH276" s="13">
        <v>30.5</v>
      </c>
      <c r="CI276">
        <v>22.6</v>
      </c>
      <c r="CJ276">
        <f t="shared" si="155"/>
        <v>7.9</v>
      </c>
      <c r="CK276">
        <v>25.1</v>
      </c>
      <c r="CL276">
        <f t="shared" si="156"/>
        <v>0.314741035856574</v>
      </c>
      <c r="CN276" s="10">
        <v>4.6</v>
      </c>
      <c r="CO276">
        <v>3</v>
      </c>
      <c r="CP276" s="12">
        <f t="shared" si="157"/>
        <v>1.6</v>
      </c>
      <c r="CQ276">
        <v>3.4</v>
      </c>
      <c r="CR276" s="3">
        <f t="shared" si="158"/>
        <v>0.470588235294118</v>
      </c>
    </row>
    <row r="277" spans="2:96">
      <c r="B277" s="1">
        <v>53641</v>
      </c>
      <c r="C277">
        <v>32416</v>
      </c>
      <c r="D277" s="2">
        <f t="shared" si="159"/>
        <v>21225</v>
      </c>
      <c r="E277">
        <v>31904</v>
      </c>
      <c r="F277" s="3">
        <f t="shared" si="128"/>
        <v>0.665277081243731</v>
      </c>
      <c r="H277" s="1">
        <v>53216</v>
      </c>
      <c r="I277">
        <v>31145</v>
      </c>
      <c r="J277" s="2">
        <f t="shared" si="129"/>
        <v>22071</v>
      </c>
      <c r="K277">
        <v>32760</v>
      </c>
      <c r="L277" s="3">
        <f t="shared" si="130"/>
        <v>0.673717948717949</v>
      </c>
      <c r="N277" s="4">
        <v>253.230002079167</v>
      </c>
      <c r="O277">
        <v>201.27</v>
      </c>
      <c r="P277" s="5">
        <f t="shared" si="131"/>
        <v>51.960002079167</v>
      </c>
      <c r="Q277">
        <v>79.69</v>
      </c>
      <c r="R277" s="3">
        <f t="shared" si="132"/>
        <v>0.652026629177651</v>
      </c>
      <c r="T277" s="4">
        <v>161.970832816666</v>
      </c>
      <c r="U277">
        <v>100.23</v>
      </c>
      <c r="V277" s="5">
        <f t="shared" si="133"/>
        <v>61.740832816666</v>
      </c>
      <c r="W277">
        <v>410.93</v>
      </c>
      <c r="X277" s="3">
        <f t="shared" si="134"/>
        <v>0.150246593864322</v>
      </c>
      <c r="Z277" s="4">
        <v>27.9099999958333</v>
      </c>
      <c r="AA277">
        <v>13.25</v>
      </c>
      <c r="AB277" s="5">
        <f t="shared" si="135"/>
        <v>14.6599999958333</v>
      </c>
      <c r="AC277">
        <v>33.93</v>
      </c>
      <c r="AD277" s="3">
        <f t="shared" si="136"/>
        <v>0.432066018150112</v>
      </c>
      <c r="AF277" s="4">
        <v>4.31</v>
      </c>
      <c r="AG277">
        <v>2.09</v>
      </c>
      <c r="AH277" s="5">
        <f t="shared" si="137"/>
        <v>2.22</v>
      </c>
      <c r="AI277">
        <v>3.85</v>
      </c>
      <c r="AJ277" s="3">
        <f t="shared" si="138"/>
        <v>0.576623376623377</v>
      </c>
      <c r="AL277" s="4">
        <v>7.51513330416667</v>
      </c>
      <c r="AM277">
        <v>6.1</v>
      </c>
      <c r="AN277" s="5">
        <f t="shared" si="139"/>
        <v>1.41513330416667</v>
      </c>
      <c r="AO277">
        <v>1.89</v>
      </c>
      <c r="AP277" s="3">
        <f t="shared" si="140"/>
        <v>0.748747779982365</v>
      </c>
      <c r="AR277" s="4">
        <v>1.46437498333333</v>
      </c>
      <c r="AS277">
        <v>0.02</v>
      </c>
      <c r="AT277" s="5">
        <f t="shared" si="141"/>
        <v>1.44437498333333</v>
      </c>
      <c r="AU277">
        <v>2.84</v>
      </c>
      <c r="AV277" s="3">
        <f t="shared" si="142"/>
        <v>0.508582740610327</v>
      </c>
      <c r="AX277" s="4">
        <v>9.829733325</v>
      </c>
      <c r="AY277">
        <v>3.44</v>
      </c>
      <c r="AZ277" s="5">
        <f t="shared" si="143"/>
        <v>6.389733325</v>
      </c>
      <c r="BA277">
        <v>29.17</v>
      </c>
      <c r="BB277" s="3">
        <f t="shared" si="144"/>
        <v>0.219051536681522</v>
      </c>
      <c r="BD277" s="4">
        <v>0.32175</v>
      </c>
      <c r="BE277">
        <v>0.17</v>
      </c>
      <c r="BF277" s="5">
        <f t="shared" si="145"/>
        <v>0.15175</v>
      </c>
      <c r="BG277">
        <v>4</v>
      </c>
      <c r="BH277" s="3">
        <f t="shared" si="146"/>
        <v>0.0379375</v>
      </c>
      <c r="BJ277" s="9">
        <v>11.826666675</v>
      </c>
      <c r="BK277">
        <v>4.8</v>
      </c>
      <c r="BL277" s="5">
        <f t="shared" si="147"/>
        <v>7.026666675</v>
      </c>
      <c r="BM277">
        <v>8.9</v>
      </c>
      <c r="BN277" s="3">
        <f t="shared" si="148"/>
        <v>0.789513109550562</v>
      </c>
      <c r="BP277" s="9">
        <v>0.234458333333333</v>
      </c>
      <c r="BQ277">
        <v>0.09</v>
      </c>
      <c r="BR277" s="5">
        <f t="shared" si="149"/>
        <v>0.144458333333333</v>
      </c>
      <c r="BS277">
        <v>0.43</v>
      </c>
      <c r="BT277" s="3">
        <f t="shared" si="150"/>
        <v>0.3359496124031</v>
      </c>
      <c r="BV277" s="4">
        <v>6.851891675</v>
      </c>
      <c r="BW277">
        <v>6.18</v>
      </c>
      <c r="BX277" s="5">
        <f t="shared" si="151"/>
        <v>0.671891675</v>
      </c>
      <c r="BY277">
        <v>1.68</v>
      </c>
      <c r="BZ277" s="3">
        <f t="shared" si="152"/>
        <v>0.399935520833334</v>
      </c>
      <c r="CB277" s="10">
        <v>80.3</v>
      </c>
      <c r="CC277">
        <v>54.3</v>
      </c>
      <c r="CD277" s="12">
        <f t="shared" si="153"/>
        <v>26</v>
      </c>
      <c r="CE277">
        <v>71.3</v>
      </c>
      <c r="CF277" s="3">
        <f t="shared" si="154"/>
        <v>0.364656381486676</v>
      </c>
      <c r="CH277" s="13">
        <v>31.6</v>
      </c>
      <c r="CI277">
        <v>22.6</v>
      </c>
      <c r="CJ277">
        <f t="shared" si="155"/>
        <v>9</v>
      </c>
      <c r="CK277">
        <v>25.1</v>
      </c>
      <c r="CL277">
        <f t="shared" si="156"/>
        <v>0.358565737051793</v>
      </c>
      <c r="CN277" s="10">
        <v>4.3</v>
      </c>
      <c r="CO277">
        <v>3</v>
      </c>
      <c r="CP277" s="12">
        <f t="shared" si="157"/>
        <v>1.3</v>
      </c>
      <c r="CQ277">
        <v>3.4</v>
      </c>
      <c r="CR277" s="3">
        <f t="shared" si="158"/>
        <v>0.382352941176471</v>
      </c>
    </row>
    <row r="278" spans="2:96">
      <c r="B278" s="1">
        <v>44871</v>
      </c>
      <c r="C278">
        <v>32416</v>
      </c>
      <c r="D278" s="2">
        <f t="shared" si="159"/>
        <v>12455</v>
      </c>
      <c r="E278">
        <v>31904</v>
      </c>
      <c r="F278" s="3">
        <f t="shared" si="128"/>
        <v>0.390389919759278</v>
      </c>
      <c r="H278" s="1">
        <v>44100</v>
      </c>
      <c r="I278">
        <v>31145</v>
      </c>
      <c r="J278" s="2">
        <f t="shared" si="129"/>
        <v>12955</v>
      </c>
      <c r="K278">
        <v>32760</v>
      </c>
      <c r="L278" s="3">
        <f t="shared" si="130"/>
        <v>0.39545177045177</v>
      </c>
      <c r="N278" s="4">
        <v>245.009997683333</v>
      </c>
      <c r="O278">
        <v>201.27</v>
      </c>
      <c r="P278" s="5">
        <f t="shared" si="131"/>
        <v>43.739997683333</v>
      </c>
      <c r="Q278">
        <v>79.69</v>
      </c>
      <c r="R278" s="3">
        <f t="shared" si="132"/>
        <v>0.548876868908684</v>
      </c>
      <c r="T278" s="4">
        <v>158.787499583333</v>
      </c>
      <c r="U278">
        <v>100.23</v>
      </c>
      <c r="V278" s="5">
        <f t="shared" si="133"/>
        <v>58.557499583333</v>
      </c>
      <c r="W278">
        <v>410.93</v>
      </c>
      <c r="X278" s="3">
        <f t="shared" si="134"/>
        <v>0.142499938148427</v>
      </c>
      <c r="Z278" s="4">
        <v>25.846250525</v>
      </c>
      <c r="AA278">
        <v>13.25</v>
      </c>
      <c r="AB278" s="5">
        <f t="shared" si="135"/>
        <v>12.596250525</v>
      </c>
      <c r="AC278">
        <v>33.93</v>
      </c>
      <c r="AD278" s="3">
        <f t="shared" si="136"/>
        <v>0.371242278956675</v>
      </c>
      <c r="AF278" s="4">
        <v>3.96</v>
      </c>
      <c r="AG278">
        <v>2.09</v>
      </c>
      <c r="AH278" s="5">
        <f t="shared" si="137"/>
        <v>1.87</v>
      </c>
      <c r="AI278">
        <v>3.85</v>
      </c>
      <c r="AJ278" s="3">
        <f t="shared" si="138"/>
        <v>0.485714285714286</v>
      </c>
      <c r="AL278" s="4">
        <v>7.50854162083333</v>
      </c>
      <c r="AM278">
        <v>6.1</v>
      </c>
      <c r="AN278" s="5">
        <f t="shared" si="139"/>
        <v>1.40854162083333</v>
      </c>
      <c r="AO278">
        <v>1.89</v>
      </c>
      <c r="AP278" s="3">
        <f t="shared" si="140"/>
        <v>0.745260116843032</v>
      </c>
      <c r="AR278" s="4">
        <v>1.50562499583333</v>
      </c>
      <c r="AS278">
        <v>0.02</v>
      </c>
      <c r="AT278" s="5">
        <f t="shared" si="141"/>
        <v>1.48562499583333</v>
      </c>
      <c r="AU278">
        <v>2.84</v>
      </c>
      <c r="AV278" s="3">
        <f t="shared" si="142"/>
        <v>0.52310739289906</v>
      </c>
      <c r="AX278" s="4">
        <v>11.2467333166667</v>
      </c>
      <c r="AY278">
        <v>3.44</v>
      </c>
      <c r="AZ278" s="5">
        <f t="shared" si="143"/>
        <v>7.8067333166667</v>
      </c>
      <c r="BA278">
        <v>29.17</v>
      </c>
      <c r="BB278" s="3">
        <f t="shared" si="144"/>
        <v>0.267628841846647</v>
      </c>
      <c r="BD278" s="4">
        <v>0.547166670833333</v>
      </c>
      <c r="BE278">
        <v>0.17</v>
      </c>
      <c r="BF278" s="5">
        <f t="shared" si="145"/>
        <v>0.377166670833333</v>
      </c>
      <c r="BG278">
        <v>4</v>
      </c>
      <c r="BH278" s="3">
        <f t="shared" si="146"/>
        <v>0.0942916677083332</v>
      </c>
      <c r="BJ278" s="9">
        <v>12.3552500083333</v>
      </c>
      <c r="BK278">
        <v>4.8</v>
      </c>
      <c r="BL278" s="5">
        <f t="shared" si="147"/>
        <v>7.5552500083333</v>
      </c>
      <c r="BM278">
        <v>8.9</v>
      </c>
      <c r="BN278" s="3">
        <f t="shared" si="148"/>
        <v>0.848904495318348</v>
      </c>
      <c r="BP278" s="9">
        <v>0.232775</v>
      </c>
      <c r="BQ278">
        <v>0.09</v>
      </c>
      <c r="BR278" s="5">
        <f t="shared" si="149"/>
        <v>0.142775</v>
      </c>
      <c r="BS278">
        <v>0.43</v>
      </c>
      <c r="BT278" s="3">
        <f t="shared" si="150"/>
        <v>0.33203488372093</v>
      </c>
      <c r="BV278" s="4">
        <v>6.8693916125</v>
      </c>
      <c r="BW278">
        <v>6.18</v>
      </c>
      <c r="BX278" s="5">
        <f t="shared" si="151"/>
        <v>0.689391612500001</v>
      </c>
      <c r="BY278">
        <v>1.68</v>
      </c>
      <c r="BZ278" s="3">
        <f t="shared" si="152"/>
        <v>0.410352150297619</v>
      </c>
      <c r="CB278" s="10">
        <v>76.4</v>
      </c>
      <c r="CC278">
        <v>54.3</v>
      </c>
      <c r="CD278" s="12">
        <f t="shared" si="153"/>
        <v>22.1</v>
      </c>
      <c r="CE278">
        <v>71.3</v>
      </c>
      <c r="CF278" s="3">
        <f t="shared" si="154"/>
        <v>0.309957924263675</v>
      </c>
      <c r="CH278" s="13">
        <v>30.8</v>
      </c>
      <c r="CI278">
        <v>22.6</v>
      </c>
      <c r="CJ278">
        <f t="shared" si="155"/>
        <v>8.2</v>
      </c>
      <c r="CK278">
        <v>25.1</v>
      </c>
      <c r="CL278">
        <f t="shared" si="156"/>
        <v>0.326693227091633</v>
      </c>
      <c r="CN278" s="10">
        <v>3.9</v>
      </c>
      <c r="CO278">
        <v>3</v>
      </c>
      <c r="CP278" s="12">
        <f t="shared" si="157"/>
        <v>0.9</v>
      </c>
      <c r="CQ278">
        <v>3.4</v>
      </c>
      <c r="CR278" s="3">
        <f t="shared" si="158"/>
        <v>0.264705882352941</v>
      </c>
    </row>
    <row r="279" spans="2:96">
      <c r="B279" s="1">
        <v>41865</v>
      </c>
      <c r="C279">
        <v>32416</v>
      </c>
      <c r="D279" s="2">
        <f t="shared" si="159"/>
        <v>9449</v>
      </c>
      <c r="E279">
        <v>31904</v>
      </c>
      <c r="F279" s="3">
        <f t="shared" si="128"/>
        <v>0.296169759277834</v>
      </c>
      <c r="H279" s="1">
        <v>41421</v>
      </c>
      <c r="I279">
        <v>31145</v>
      </c>
      <c r="J279" s="2">
        <f t="shared" si="129"/>
        <v>10276</v>
      </c>
      <c r="K279">
        <v>32760</v>
      </c>
      <c r="L279" s="3">
        <f t="shared" si="130"/>
        <v>0.313675213675214</v>
      </c>
      <c r="N279" s="4">
        <v>251.266667679167</v>
      </c>
      <c r="O279">
        <v>201.27</v>
      </c>
      <c r="P279" s="5">
        <f t="shared" si="131"/>
        <v>49.996667679167</v>
      </c>
      <c r="Q279">
        <v>79.69</v>
      </c>
      <c r="R279" s="3">
        <f t="shared" si="132"/>
        <v>0.627389480225461</v>
      </c>
      <c r="T279" s="4">
        <v>149.687499358333</v>
      </c>
      <c r="U279">
        <v>100.23</v>
      </c>
      <c r="V279" s="5">
        <f t="shared" si="133"/>
        <v>49.457499358333</v>
      </c>
      <c r="W279">
        <v>410.93</v>
      </c>
      <c r="X279" s="3">
        <f t="shared" si="134"/>
        <v>0.120355046743565</v>
      </c>
      <c r="Z279" s="4">
        <v>29.4200000791667</v>
      </c>
      <c r="AA279">
        <v>13.25</v>
      </c>
      <c r="AB279" s="5">
        <f t="shared" si="135"/>
        <v>16.1700000791667</v>
      </c>
      <c r="AC279">
        <v>33.93</v>
      </c>
      <c r="AD279" s="3">
        <f t="shared" si="136"/>
        <v>0.476569409937126</v>
      </c>
      <c r="AF279" s="4">
        <v>3.81</v>
      </c>
      <c r="AG279">
        <v>2.09</v>
      </c>
      <c r="AH279" s="5">
        <f t="shared" si="137"/>
        <v>1.72</v>
      </c>
      <c r="AI279">
        <v>3.85</v>
      </c>
      <c r="AJ279" s="3">
        <f t="shared" si="138"/>
        <v>0.446753246753247</v>
      </c>
      <c r="AL279" s="4">
        <v>7.49955839166667</v>
      </c>
      <c r="AM279">
        <v>6.1</v>
      </c>
      <c r="AN279" s="5">
        <f t="shared" si="139"/>
        <v>1.39955839166667</v>
      </c>
      <c r="AO279">
        <v>1.89</v>
      </c>
      <c r="AP279" s="3">
        <f t="shared" si="140"/>
        <v>0.740507085537921</v>
      </c>
      <c r="AR279" s="4">
        <v>1.74083332083333</v>
      </c>
      <c r="AS279">
        <v>0.02</v>
      </c>
      <c r="AT279" s="5">
        <f t="shared" si="141"/>
        <v>1.72083332083333</v>
      </c>
      <c r="AU279">
        <v>2.84</v>
      </c>
      <c r="AV279" s="3">
        <f t="shared" si="142"/>
        <v>0.605927225645539</v>
      </c>
      <c r="AX279" s="4">
        <v>11.0161999083333</v>
      </c>
      <c r="AY279">
        <v>3.44</v>
      </c>
      <c r="AZ279" s="5">
        <f t="shared" si="143"/>
        <v>7.5761999083333</v>
      </c>
      <c r="BA279">
        <v>29.17</v>
      </c>
      <c r="BB279" s="3">
        <f t="shared" si="144"/>
        <v>0.259725742486572</v>
      </c>
      <c r="BD279" s="4">
        <v>0.5378333375</v>
      </c>
      <c r="BE279">
        <v>0.17</v>
      </c>
      <c r="BF279" s="5">
        <f t="shared" si="145"/>
        <v>0.3678333375</v>
      </c>
      <c r="BG279">
        <v>4</v>
      </c>
      <c r="BH279" s="3">
        <f t="shared" si="146"/>
        <v>0.091958334375</v>
      </c>
      <c r="BJ279" s="9">
        <v>12.0695000458333</v>
      </c>
      <c r="BK279">
        <v>4.8</v>
      </c>
      <c r="BL279" s="5">
        <f t="shared" si="147"/>
        <v>7.2695000458333</v>
      </c>
      <c r="BM279">
        <v>8.9</v>
      </c>
      <c r="BN279" s="3">
        <f t="shared" si="148"/>
        <v>0.816797757958798</v>
      </c>
      <c r="BP279" s="9">
        <v>0.23845</v>
      </c>
      <c r="BQ279">
        <v>0.09</v>
      </c>
      <c r="BR279" s="5">
        <f t="shared" si="149"/>
        <v>0.14845</v>
      </c>
      <c r="BS279">
        <v>0.43</v>
      </c>
      <c r="BT279" s="3">
        <f t="shared" si="150"/>
        <v>0.345232558139535</v>
      </c>
      <c r="BV279" s="4">
        <v>6.8710833</v>
      </c>
      <c r="BW279">
        <v>6.18</v>
      </c>
      <c r="BX279" s="5">
        <f t="shared" si="151"/>
        <v>0.6910833</v>
      </c>
      <c r="BY279">
        <v>1.68</v>
      </c>
      <c r="BZ279" s="3">
        <f t="shared" si="152"/>
        <v>0.411359107142857</v>
      </c>
      <c r="CB279" s="10">
        <v>74.2</v>
      </c>
      <c r="CC279">
        <v>54.3</v>
      </c>
      <c r="CD279" s="12">
        <f t="shared" si="153"/>
        <v>19.9</v>
      </c>
      <c r="CE279">
        <v>71.3</v>
      </c>
      <c r="CF279" s="3">
        <f t="shared" si="154"/>
        <v>0.279102384291725</v>
      </c>
      <c r="CH279" s="13">
        <v>31.2</v>
      </c>
      <c r="CI279">
        <v>22.6</v>
      </c>
      <c r="CJ279">
        <f t="shared" si="155"/>
        <v>8.6</v>
      </c>
      <c r="CK279">
        <v>25.1</v>
      </c>
      <c r="CL279">
        <f t="shared" si="156"/>
        <v>0.342629482071713</v>
      </c>
      <c r="CN279" s="10">
        <v>4.2</v>
      </c>
      <c r="CO279">
        <v>3</v>
      </c>
      <c r="CP279" s="12">
        <f t="shared" si="157"/>
        <v>1.2</v>
      </c>
      <c r="CQ279">
        <v>3.4</v>
      </c>
      <c r="CR279" s="3">
        <f t="shared" si="158"/>
        <v>0.352941176470588</v>
      </c>
    </row>
    <row r="280" spans="2:96">
      <c r="B280" s="1">
        <v>46103</v>
      </c>
      <c r="C280">
        <v>32416</v>
      </c>
      <c r="D280" s="2">
        <f t="shared" si="159"/>
        <v>13687</v>
      </c>
      <c r="E280">
        <v>31904</v>
      </c>
      <c r="F280" s="3">
        <f t="shared" si="128"/>
        <v>0.429005767301906</v>
      </c>
      <c r="H280" s="1">
        <v>45729</v>
      </c>
      <c r="I280">
        <v>31145</v>
      </c>
      <c r="J280" s="2">
        <f t="shared" si="129"/>
        <v>14584</v>
      </c>
      <c r="K280">
        <v>32760</v>
      </c>
      <c r="L280" s="3">
        <f t="shared" si="130"/>
        <v>0.445177045177045</v>
      </c>
      <c r="N280" s="4">
        <v>245.060003275</v>
      </c>
      <c r="O280">
        <v>201.27</v>
      </c>
      <c r="P280" s="5">
        <f t="shared" si="131"/>
        <v>43.790003275</v>
      </c>
      <c r="Q280">
        <v>79.69</v>
      </c>
      <c r="R280" s="3">
        <f t="shared" si="132"/>
        <v>0.549504370372694</v>
      </c>
      <c r="T280" s="4">
        <v>165.424999566666</v>
      </c>
      <c r="U280">
        <v>100.23</v>
      </c>
      <c r="V280" s="5">
        <f t="shared" si="133"/>
        <v>65.194999566666</v>
      </c>
      <c r="W280">
        <v>410.93</v>
      </c>
      <c r="X280" s="3">
        <f t="shared" si="134"/>
        <v>0.15865232415902</v>
      </c>
      <c r="Z280" s="4">
        <v>31.4324996541667</v>
      </c>
      <c r="AA280">
        <v>13.25</v>
      </c>
      <c r="AB280" s="5">
        <f t="shared" si="135"/>
        <v>18.1824996541667</v>
      </c>
      <c r="AC280">
        <v>33.93</v>
      </c>
      <c r="AD280" s="3">
        <f t="shared" si="136"/>
        <v>0.535882689483251</v>
      </c>
      <c r="AF280" s="4">
        <v>3.73</v>
      </c>
      <c r="AG280">
        <v>2.09</v>
      </c>
      <c r="AH280" s="5">
        <f t="shared" si="137"/>
        <v>1.64</v>
      </c>
      <c r="AI280">
        <v>3.85</v>
      </c>
      <c r="AJ280" s="3">
        <f t="shared" si="138"/>
        <v>0.425974025974026</v>
      </c>
      <c r="AL280" s="4">
        <v>7.48334167083333</v>
      </c>
      <c r="AM280">
        <v>6.1</v>
      </c>
      <c r="AN280" s="5">
        <f t="shared" si="139"/>
        <v>1.38334167083333</v>
      </c>
      <c r="AO280">
        <v>1.89</v>
      </c>
      <c r="AP280" s="3">
        <f t="shared" si="140"/>
        <v>0.731926809964725</v>
      </c>
      <c r="AR280" s="4">
        <v>1.63187500833333</v>
      </c>
      <c r="AS280">
        <v>0.02</v>
      </c>
      <c r="AT280" s="5">
        <f t="shared" si="141"/>
        <v>1.61187500833333</v>
      </c>
      <c r="AU280">
        <v>2.84</v>
      </c>
      <c r="AV280" s="3">
        <f t="shared" si="142"/>
        <v>0.567561622652581</v>
      </c>
      <c r="AX280" s="4">
        <v>11.8074666208333</v>
      </c>
      <c r="AY280">
        <v>3.44</v>
      </c>
      <c r="AZ280" s="5">
        <f t="shared" si="143"/>
        <v>8.3674666208333</v>
      </c>
      <c r="BA280">
        <v>29.17</v>
      </c>
      <c r="BB280" s="3">
        <f t="shared" si="144"/>
        <v>0.286851786795794</v>
      </c>
      <c r="BD280" s="4">
        <v>0.824999995833333</v>
      </c>
      <c r="BE280">
        <v>0.17</v>
      </c>
      <c r="BF280" s="5">
        <f t="shared" si="145"/>
        <v>0.654999995833333</v>
      </c>
      <c r="BG280">
        <v>4</v>
      </c>
      <c r="BH280" s="3">
        <f t="shared" si="146"/>
        <v>0.163749998958333</v>
      </c>
      <c r="BJ280" s="9">
        <v>11.9278333666667</v>
      </c>
      <c r="BK280">
        <v>4.8</v>
      </c>
      <c r="BL280" s="5">
        <f t="shared" si="147"/>
        <v>7.1278333666667</v>
      </c>
      <c r="BM280">
        <v>8.9</v>
      </c>
      <c r="BN280" s="3">
        <f t="shared" si="148"/>
        <v>0.800880153558056</v>
      </c>
      <c r="BP280" s="9">
        <v>0.24115</v>
      </c>
      <c r="BQ280">
        <v>0.09</v>
      </c>
      <c r="BR280" s="5">
        <f t="shared" si="149"/>
        <v>0.15115</v>
      </c>
      <c r="BS280">
        <v>0.43</v>
      </c>
      <c r="BT280" s="3">
        <f t="shared" si="150"/>
        <v>0.351511627906977</v>
      </c>
      <c r="BV280" s="4">
        <v>6.85848334583333</v>
      </c>
      <c r="BW280">
        <v>6.18</v>
      </c>
      <c r="BX280" s="5">
        <f t="shared" si="151"/>
        <v>0.67848334583333</v>
      </c>
      <c r="BY280">
        <v>1.68</v>
      </c>
      <c r="BZ280" s="3">
        <f t="shared" si="152"/>
        <v>0.403859134424601</v>
      </c>
      <c r="CB280" s="10">
        <v>78.6</v>
      </c>
      <c r="CC280">
        <v>54.3</v>
      </c>
      <c r="CD280" s="12">
        <f t="shared" si="153"/>
        <v>24.3</v>
      </c>
      <c r="CE280">
        <v>71.3</v>
      </c>
      <c r="CF280" s="3">
        <f t="shared" si="154"/>
        <v>0.340813464235624</v>
      </c>
      <c r="CH280" s="13">
        <v>33.6</v>
      </c>
      <c r="CI280">
        <v>22.6</v>
      </c>
      <c r="CJ280">
        <f t="shared" si="155"/>
        <v>11</v>
      </c>
      <c r="CK280">
        <v>25.1</v>
      </c>
      <c r="CL280">
        <f t="shared" si="156"/>
        <v>0.438247011952191</v>
      </c>
      <c r="CN280" s="10">
        <v>3.8</v>
      </c>
      <c r="CO280">
        <v>3</v>
      </c>
      <c r="CP280" s="12">
        <f t="shared" si="157"/>
        <v>0.8</v>
      </c>
      <c r="CQ280">
        <v>3.4</v>
      </c>
      <c r="CR280" s="3">
        <f t="shared" si="158"/>
        <v>0.235294117647059</v>
      </c>
    </row>
    <row r="281" spans="2:96">
      <c r="B281" s="1">
        <v>43851</v>
      </c>
      <c r="C281">
        <v>32416</v>
      </c>
      <c r="D281" s="2">
        <f t="shared" si="159"/>
        <v>11435</v>
      </c>
      <c r="E281">
        <v>31904</v>
      </c>
      <c r="F281" s="3">
        <f t="shared" si="128"/>
        <v>0.358419007021063</v>
      </c>
      <c r="H281" s="1">
        <v>43196</v>
      </c>
      <c r="I281">
        <v>31145</v>
      </c>
      <c r="J281" s="2">
        <f t="shared" si="129"/>
        <v>12051</v>
      </c>
      <c r="K281">
        <v>32760</v>
      </c>
      <c r="L281" s="3">
        <f t="shared" si="130"/>
        <v>0.367857142857143</v>
      </c>
      <c r="N281" s="4">
        <v>252.949999491667</v>
      </c>
      <c r="O281">
        <v>201.27</v>
      </c>
      <c r="P281" s="5">
        <f t="shared" si="131"/>
        <v>51.679999491667</v>
      </c>
      <c r="Q281">
        <v>79.69</v>
      </c>
      <c r="R281" s="3">
        <f t="shared" si="132"/>
        <v>0.648512981448952</v>
      </c>
      <c r="T281" s="4">
        <v>160.804166795833</v>
      </c>
      <c r="U281">
        <v>100.23</v>
      </c>
      <c r="V281" s="5">
        <f t="shared" si="133"/>
        <v>60.574166795833</v>
      </c>
      <c r="W281">
        <v>410.93</v>
      </c>
      <c r="X281" s="3">
        <f t="shared" si="134"/>
        <v>0.14740750686451</v>
      </c>
      <c r="Z281" s="4">
        <v>25.9275001583333</v>
      </c>
      <c r="AA281">
        <v>13.25</v>
      </c>
      <c r="AB281" s="5">
        <f t="shared" si="135"/>
        <v>12.6775001583333</v>
      </c>
      <c r="AC281">
        <v>33.93</v>
      </c>
      <c r="AD281" s="3">
        <f t="shared" si="136"/>
        <v>0.373636904165438</v>
      </c>
      <c r="AF281" s="4">
        <v>4.23</v>
      </c>
      <c r="AG281">
        <v>2.09</v>
      </c>
      <c r="AH281" s="5">
        <f t="shared" si="137"/>
        <v>2.14</v>
      </c>
      <c r="AI281">
        <v>3.85</v>
      </c>
      <c r="AJ281" s="3">
        <f t="shared" si="138"/>
        <v>0.555844155844156</v>
      </c>
      <c r="AL281" s="4">
        <v>7.52324165416667</v>
      </c>
      <c r="AM281">
        <v>6.1</v>
      </c>
      <c r="AN281" s="5">
        <f t="shared" si="139"/>
        <v>1.42324165416667</v>
      </c>
      <c r="AO281">
        <v>1.89</v>
      </c>
      <c r="AP281" s="3">
        <f t="shared" si="140"/>
        <v>0.753037912257497</v>
      </c>
      <c r="AR281" s="4">
        <v>1.88270834166667</v>
      </c>
      <c r="AS281">
        <v>0.02</v>
      </c>
      <c r="AT281" s="5">
        <f t="shared" si="141"/>
        <v>1.86270834166667</v>
      </c>
      <c r="AU281">
        <v>2.84</v>
      </c>
      <c r="AV281" s="3">
        <f t="shared" si="142"/>
        <v>0.655883218896715</v>
      </c>
      <c r="AX281" s="4">
        <v>11.9660666458333</v>
      </c>
      <c r="AY281">
        <v>3.44</v>
      </c>
      <c r="AZ281" s="5">
        <f t="shared" si="143"/>
        <v>8.5260666458333</v>
      </c>
      <c r="BA281">
        <v>29.17</v>
      </c>
      <c r="BB281" s="3">
        <f t="shared" si="144"/>
        <v>0.292288880556507</v>
      </c>
      <c r="BD281" s="4">
        <v>1.56175000416667</v>
      </c>
      <c r="BE281">
        <v>0.17</v>
      </c>
      <c r="BF281" s="5">
        <f t="shared" si="145"/>
        <v>1.39175000416667</v>
      </c>
      <c r="BG281">
        <v>4</v>
      </c>
      <c r="BH281" s="3">
        <f t="shared" si="146"/>
        <v>0.347937501041668</v>
      </c>
      <c r="BJ281" s="9">
        <v>12.7211667333333</v>
      </c>
      <c r="BK281">
        <v>4.8</v>
      </c>
      <c r="BL281" s="5">
        <f t="shared" si="147"/>
        <v>7.9211667333333</v>
      </c>
      <c r="BM281">
        <v>8.9</v>
      </c>
      <c r="BN281" s="3">
        <f t="shared" si="148"/>
        <v>0.890018734082393</v>
      </c>
      <c r="BP281" s="9">
        <v>0.224325</v>
      </c>
      <c r="BQ281">
        <v>0.09</v>
      </c>
      <c r="BR281" s="5">
        <f t="shared" si="149"/>
        <v>0.134325</v>
      </c>
      <c r="BS281">
        <v>0.43</v>
      </c>
      <c r="BT281" s="3">
        <f t="shared" si="150"/>
        <v>0.312383720930233</v>
      </c>
      <c r="BV281" s="4">
        <v>6.85165837916667</v>
      </c>
      <c r="BW281">
        <v>6.18</v>
      </c>
      <c r="BX281" s="5">
        <f t="shared" si="151"/>
        <v>0.67165837916667</v>
      </c>
      <c r="BY281">
        <v>1.68</v>
      </c>
      <c r="BZ281" s="3">
        <f t="shared" si="152"/>
        <v>0.399796654265875</v>
      </c>
      <c r="CB281" s="10">
        <v>80.2</v>
      </c>
      <c r="CC281">
        <v>54.3</v>
      </c>
      <c r="CD281" s="12">
        <f t="shared" si="153"/>
        <v>25.9</v>
      </c>
      <c r="CE281">
        <v>71.3</v>
      </c>
      <c r="CF281" s="3">
        <f t="shared" si="154"/>
        <v>0.363253856942497</v>
      </c>
      <c r="CH281" s="13">
        <v>28.7</v>
      </c>
      <c r="CI281">
        <v>22.6</v>
      </c>
      <c r="CJ281">
        <f t="shared" si="155"/>
        <v>6.1</v>
      </c>
      <c r="CK281">
        <v>25.1</v>
      </c>
      <c r="CL281">
        <f t="shared" si="156"/>
        <v>0.243027888446215</v>
      </c>
      <c r="CN281" s="10">
        <v>3.5</v>
      </c>
      <c r="CO281">
        <v>3</v>
      </c>
      <c r="CP281" s="12">
        <f t="shared" si="157"/>
        <v>0.5</v>
      </c>
      <c r="CQ281">
        <v>3.4</v>
      </c>
      <c r="CR281" s="3">
        <f t="shared" si="158"/>
        <v>0.147058823529412</v>
      </c>
    </row>
    <row r="282" spans="2:96">
      <c r="B282" s="1">
        <v>37541</v>
      </c>
      <c r="C282">
        <v>32416</v>
      </c>
      <c r="D282" s="2">
        <f t="shared" si="159"/>
        <v>5125</v>
      </c>
      <c r="E282">
        <v>31904</v>
      </c>
      <c r="F282" s="3">
        <f t="shared" si="128"/>
        <v>0.16063816449348</v>
      </c>
      <c r="H282" s="1">
        <v>36840</v>
      </c>
      <c r="I282">
        <v>31145</v>
      </c>
      <c r="J282" s="2">
        <f t="shared" si="129"/>
        <v>5695</v>
      </c>
      <c r="K282">
        <v>32760</v>
      </c>
      <c r="L282" s="3">
        <f t="shared" si="130"/>
        <v>0.173840048840049</v>
      </c>
      <c r="N282" s="4">
        <v>259.733335495833</v>
      </c>
      <c r="O282">
        <v>201.27</v>
      </c>
      <c r="P282" s="5">
        <f t="shared" si="131"/>
        <v>58.463335495833</v>
      </c>
      <c r="Q282">
        <v>79.69</v>
      </c>
      <c r="R282" s="3">
        <f t="shared" si="132"/>
        <v>0.733634527491944</v>
      </c>
      <c r="T282" s="4">
        <v>132.274999854166</v>
      </c>
      <c r="U282">
        <v>100.23</v>
      </c>
      <c r="V282" s="5">
        <f t="shared" si="133"/>
        <v>32.044999854166</v>
      </c>
      <c r="W282">
        <v>410.93</v>
      </c>
      <c r="X282" s="3">
        <f t="shared" si="134"/>
        <v>0.0779816510212591</v>
      </c>
      <c r="Z282" s="4">
        <v>19.411249825</v>
      </c>
      <c r="AA282">
        <v>13.25</v>
      </c>
      <c r="AB282" s="5">
        <f t="shared" si="135"/>
        <v>6.161249825</v>
      </c>
      <c r="AC282">
        <v>33.93</v>
      </c>
      <c r="AD282" s="3">
        <f t="shared" si="136"/>
        <v>0.181587085912172</v>
      </c>
      <c r="AF282" s="4">
        <v>4.43</v>
      </c>
      <c r="AG282">
        <v>2.09</v>
      </c>
      <c r="AH282" s="5">
        <f t="shared" si="137"/>
        <v>2.34</v>
      </c>
      <c r="AI282">
        <v>3.85</v>
      </c>
      <c r="AJ282" s="3">
        <f t="shared" si="138"/>
        <v>0.607792207792208</v>
      </c>
      <c r="AL282" s="4">
        <v>7.49985005</v>
      </c>
      <c r="AM282">
        <v>6.1</v>
      </c>
      <c r="AN282" s="5">
        <f t="shared" si="139"/>
        <v>1.39985005</v>
      </c>
      <c r="AO282">
        <v>1.89</v>
      </c>
      <c r="AP282" s="3">
        <f t="shared" si="140"/>
        <v>0.740661402116402</v>
      </c>
      <c r="AR282" s="4">
        <v>1.15104166666667</v>
      </c>
      <c r="AS282">
        <v>0.02</v>
      </c>
      <c r="AT282" s="5">
        <f t="shared" si="141"/>
        <v>1.13104166666667</v>
      </c>
      <c r="AU282">
        <v>2.84</v>
      </c>
      <c r="AV282" s="3">
        <f t="shared" si="142"/>
        <v>0.398254107981222</v>
      </c>
      <c r="AX282" s="4">
        <v>12.0024667916667</v>
      </c>
      <c r="AY282">
        <v>3.44</v>
      </c>
      <c r="AZ282" s="5">
        <f t="shared" si="143"/>
        <v>8.5624667916667</v>
      </c>
      <c r="BA282">
        <v>29.17</v>
      </c>
      <c r="BB282" s="3">
        <f t="shared" si="144"/>
        <v>0.293536742943665</v>
      </c>
      <c r="BD282" s="4">
        <v>0.8751666625</v>
      </c>
      <c r="BE282">
        <v>0.17</v>
      </c>
      <c r="BF282" s="5">
        <f t="shared" si="145"/>
        <v>0.7051666625</v>
      </c>
      <c r="BG282">
        <v>4</v>
      </c>
      <c r="BH282" s="3">
        <f t="shared" si="146"/>
        <v>0.176291665625</v>
      </c>
      <c r="BJ282" s="9">
        <v>11.7419166875</v>
      </c>
      <c r="BK282">
        <v>4.8</v>
      </c>
      <c r="BL282" s="5">
        <f t="shared" si="147"/>
        <v>6.9419166875</v>
      </c>
      <c r="BM282">
        <v>8.9</v>
      </c>
      <c r="BN282" s="3">
        <f t="shared" si="148"/>
        <v>0.779990639044944</v>
      </c>
      <c r="BP282" s="9">
        <v>0.22125</v>
      </c>
      <c r="BQ282">
        <v>0.09</v>
      </c>
      <c r="BR282" s="5">
        <f t="shared" si="149"/>
        <v>0.13125</v>
      </c>
      <c r="BS282">
        <v>0.43</v>
      </c>
      <c r="BT282" s="3">
        <f t="shared" si="150"/>
        <v>0.305232558139535</v>
      </c>
      <c r="BV282" s="4">
        <v>6.86104997083333</v>
      </c>
      <c r="BW282">
        <v>6.18</v>
      </c>
      <c r="BX282" s="5">
        <f t="shared" si="151"/>
        <v>0.68104997083333</v>
      </c>
      <c r="BY282">
        <v>1.68</v>
      </c>
      <c r="BZ282" s="3">
        <f t="shared" si="152"/>
        <v>0.405386887400792</v>
      </c>
      <c r="CB282" s="10">
        <v>84.9</v>
      </c>
      <c r="CC282">
        <v>54.3</v>
      </c>
      <c r="CD282" s="12">
        <f t="shared" si="153"/>
        <v>30.6</v>
      </c>
      <c r="CE282">
        <v>71.3</v>
      </c>
      <c r="CF282" s="3">
        <f t="shared" si="154"/>
        <v>0.429172510518934</v>
      </c>
      <c r="CH282" s="13">
        <v>26.9</v>
      </c>
      <c r="CI282">
        <v>22.6</v>
      </c>
      <c r="CJ282">
        <f t="shared" si="155"/>
        <v>4.3</v>
      </c>
      <c r="CK282">
        <v>25.1</v>
      </c>
      <c r="CL282">
        <f t="shared" si="156"/>
        <v>0.171314741035856</v>
      </c>
      <c r="CN282" s="11">
        <v>3.7</v>
      </c>
      <c r="CO282">
        <v>3</v>
      </c>
      <c r="CP282" s="12">
        <f t="shared" si="157"/>
        <v>0.7</v>
      </c>
      <c r="CQ282">
        <v>3.4</v>
      </c>
      <c r="CR282" s="3">
        <f t="shared" si="158"/>
        <v>0.205882352941177</v>
      </c>
    </row>
    <row r="283" spans="2:96">
      <c r="B283" s="1">
        <v>37431</v>
      </c>
      <c r="C283">
        <v>32416</v>
      </c>
      <c r="D283" s="2">
        <f t="shared" si="159"/>
        <v>5015</v>
      </c>
      <c r="E283">
        <v>31904</v>
      </c>
      <c r="F283" s="3">
        <f t="shared" si="128"/>
        <v>0.157190320962889</v>
      </c>
      <c r="H283" s="1">
        <v>37070</v>
      </c>
      <c r="I283">
        <v>31145</v>
      </c>
      <c r="J283" s="2">
        <f t="shared" si="129"/>
        <v>5925</v>
      </c>
      <c r="K283">
        <v>32760</v>
      </c>
      <c r="L283" s="3">
        <f t="shared" si="130"/>
        <v>0.180860805860806</v>
      </c>
      <c r="N283" s="4">
        <v>246.890002570833</v>
      </c>
      <c r="O283">
        <v>201.27</v>
      </c>
      <c r="P283" s="5">
        <f t="shared" si="131"/>
        <v>45.620002570833</v>
      </c>
      <c r="Q283">
        <v>79.69</v>
      </c>
      <c r="R283" s="3">
        <f t="shared" si="132"/>
        <v>0.57246834697996</v>
      </c>
      <c r="T283" s="4">
        <v>148.908332975</v>
      </c>
      <c r="U283">
        <v>100.23</v>
      </c>
      <c r="V283" s="5">
        <f t="shared" si="133"/>
        <v>48.678332975</v>
      </c>
      <c r="W283">
        <v>410.93</v>
      </c>
      <c r="X283" s="3">
        <f t="shared" si="134"/>
        <v>0.11845894185141</v>
      </c>
      <c r="Z283" s="4">
        <v>20.5762501166667</v>
      </c>
      <c r="AA283">
        <v>13.25</v>
      </c>
      <c r="AB283" s="5">
        <f t="shared" si="135"/>
        <v>7.3262501166667</v>
      </c>
      <c r="AC283">
        <v>33.93</v>
      </c>
      <c r="AD283" s="3">
        <f t="shared" si="136"/>
        <v>0.215922490912664</v>
      </c>
      <c r="AF283" s="4">
        <v>4.33</v>
      </c>
      <c r="AG283">
        <v>2.09</v>
      </c>
      <c r="AH283" s="5">
        <f t="shared" si="137"/>
        <v>2.24</v>
      </c>
      <c r="AI283">
        <v>3.85</v>
      </c>
      <c r="AJ283" s="3">
        <f t="shared" si="138"/>
        <v>0.581818181818182</v>
      </c>
      <c r="AL283" s="4">
        <v>7.539808275</v>
      </c>
      <c r="AM283">
        <v>6.1</v>
      </c>
      <c r="AN283" s="5">
        <f t="shared" si="139"/>
        <v>1.439808275</v>
      </c>
      <c r="AO283">
        <v>1.89</v>
      </c>
      <c r="AP283" s="3">
        <f t="shared" si="140"/>
        <v>0.761803320105821</v>
      </c>
      <c r="AR283" s="4">
        <v>1.8625000125</v>
      </c>
      <c r="AS283">
        <v>0.02</v>
      </c>
      <c r="AT283" s="5">
        <f t="shared" si="141"/>
        <v>1.8425000125</v>
      </c>
      <c r="AU283">
        <v>2.84</v>
      </c>
      <c r="AV283" s="3">
        <f t="shared" si="142"/>
        <v>0.648767610035211</v>
      </c>
      <c r="AX283" s="4">
        <v>11.9088668125</v>
      </c>
      <c r="AY283">
        <v>3.44</v>
      </c>
      <c r="AZ283" s="5">
        <f t="shared" si="143"/>
        <v>8.4688668125</v>
      </c>
      <c r="BA283">
        <v>29.17</v>
      </c>
      <c r="BB283" s="3">
        <f t="shared" si="144"/>
        <v>0.290327967517998</v>
      </c>
      <c r="BD283" s="4">
        <v>0.545000004166667</v>
      </c>
      <c r="BE283">
        <v>0.17</v>
      </c>
      <c r="BF283" s="5">
        <f t="shared" si="145"/>
        <v>0.375000004166667</v>
      </c>
      <c r="BG283">
        <v>4</v>
      </c>
      <c r="BH283" s="3">
        <f t="shared" si="146"/>
        <v>0.0937500010416668</v>
      </c>
      <c r="BJ283" s="9">
        <v>10.2370000625</v>
      </c>
      <c r="BK283">
        <v>4.8</v>
      </c>
      <c r="BL283" s="5">
        <f t="shared" si="147"/>
        <v>5.4370000625</v>
      </c>
      <c r="BM283">
        <v>8.9</v>
      </c>
      <c r="BN283" s="3">
        <f t="shared" si="148"/>
        <v>0.610898883426966</v>
      </c>
      <c r="BP283" s="9">
        <v>0.2094</v>
      </c>
      <c r="BQ283">
        <v>0.09</v>
      </c>
      <c r="BR283" s="5">
        <f t="shared" si="149"/>
        <v>0.1194</v>
      </c>
      <c r="BS283">
        <v>0.43</v>
      </c>
      <c r="BT283" s="3">
        <f t="shared" si="150"/>
        <v>0.277674418604651</v>
      </c>
      <c r="BV283" s="4">
        <v>6.90829997916667</v>
      </c>
      <c r="BW283">
        <v>6.18</v>
      </c>
      <c r="BX283" s="5">
        <f t="shared" si="151"/>
        <v>0.72829997916667</v>
      </c>
      <c r="BY283">
        <v>1.68</v>
      </c>
      <c r="BZ283" s="3">
        <f t="shared" si="152"/>
        <v>0.433511892361113</v>
      </c>
      <c r="CB283" s="10">
        <v>88.1</v>
      </c>
      <c r="CC283">
        <v>54.3</v>
      </c>
      <c r="CD283" s="12">
        <f t="shared" si="153"/>
        <v>33.8</v>
      </c>
      <c r="CE283">
        <v>71.3</v>
      </c>
      <c r="CF283" s="3">
        <f t="shared" si="154"/>
        <v>0.474053295932679</v>
      </c>
      <c r="CH283" s="13">
        <v>23.8</v>
      </c>
      <c r="CI283">
        <v>22.6</v>
      </c>
      <c r="CJ283">
        <f t="shared" si="155"/>
        <v>1.2</v>
      </c>
      <c r="CK283">
        <v>25.1</v>
      </c>
      <c r="CL283">
        <f t="shared" si="156"/>
        <v>0.047808764940239</v>
      </c>
      <c r="CN283" s="10">
        <v>3.3</v>
      </c>
      <c r="CO283">
        <v>3</v>
      </c>
      <c r="CP283" s="12">
        <f t="shared" si="157"/>
        <v>0.3</v>
      </c>
      <c r="CQ283">
        <v>3.4</v>
      </c>
      <c r="CR283" s="3">
        <f t="shared" si="158"/>
        <v>0.088235294117647</v>
      </c>
    </row>
    <row r="284" spans="2:96">
      <c r="B284" s="1">
        <v>36204</v>
      </c>
      <c r="C284">
        <v>32416</v>
      </c>
      <c r="D284" s="2">
        <f t="shared" si="159"/>
        <v>3788</v>
      </c>
      <c r="E284">
        <v>31904</v>
      </c>
      <c r="F284" s="3">
        <f t="shared" si="128"/>
        <v>0.118731193580742</v>
      </c>
      <c r="H284" s="1">
        <v>35894</v>
      </c>
      <c r="I284">
        <v>31145</v>
      </c>
      <c r="J284" s="2">
        <f t="shared" si="129"/>
        <v>4749</v>
      </c>
      <c r="K284">
        <v>32760</v>
      </c>
      <c r="L284" s="3">
        <f t="shared" si="130"/>
        <v>0.14496336996337</v>
      </c>
      <c r="N284" s="4">
        <v>253.323334379167</v>
      </c>
      <c r="O284">
        <v>201.27</v>
      </c>
      <c r="P284" s="5">
        <f t="shared" si="131"/>
        <v>52.053334379167</v>
      </c>
      <c r="Q284">
        <v>79.69</v>
      </c>
      <c r="R284" s="3">
        <f t="shared" si="132"/>
        <v>0.653197821297114</v>
      </c>
      <c r="T284" s="4">
        <v>158.583333333333</v>
      </c>
      <c r="U284">
        <v>100.23</v>
      </c>
      <c r="V284" s="5">
        <f t="shared" si="133"/>
        <v>58.353333333333</v>
      </c>
      <c r="W284">
        <v>410.93</v>
      </c>
      <c r="X284" s="3">
        <f t="shared" si="134"/>
        <v>0.142003098662383</v>
      </c>
      <c r="Z284" s="4">
        <v>20.3437500333333</v>
      </c>
      <c r="AA284">
        <v>13.25</v>
      </c>
      <c r="AB284" s="5">
        <f t="shared" si="135"/>
        <v>7.0937500333333</v>
      </c>
      <c r="AC284">
        <v>33.93</v>
      </c>
      <c r="AD284" s="3">
        <f t="shared" si="136"/>
        <v>0.209070145397386</v>
      </c>
      <c r="AF284" s="4">
        <v>4.17</v>
      </c>
      <c r="AG284">
        <v>2.09</v>
      </c>
      <c r="AH284" s="5">
        <f t="shared" si="137"/>
        <v>2.08</v>
      </c>
      <c r="AI284">
        <v>3.85</v>
      </c>
      <c r="AJ284" s="3">
        <f t="shared" si="138"/>
        <v>0.54025974025974</v>
      </c>
      <c r="AL284" s="4">
        <v>7.54744997916667</v>
      </c>
      <c r="AM284">
        <v>6.1</v>
      </c>
      <c r="AN284" s="5">
        <f t="shared" si="139"/>
        <v>1.44744997916667</v>
      </c>
      <c r="AO284">
        <v>1.89</v>
      </c>
      <c r="AP284" s="3">
        <f t="shared" si="140"/>
        <v>0.765846549823635</v>
      </c>
      <c r="AR284" s="4">
        <v>1.81145829166667</v>
      </c>
      <c r="AS284">
        <v>0.02</v>
      </c>
      <c r="AT284" s="5">
        <f t="shared" si="141"/>
        <v>1.79145829166667</v>
      </c>
      <c r="AU284">
        <v>2.84</v>
      </c>
      <c r="AV284" s="3">
        <f t="shared" si="142"/>
        <v>0.630795173122067</v>
      </c>
      <c r="AX284" s="4">
        <v>19.2165998666667</v>
      </c>
      <c r="AY284">
        <v>3.44</v>
      </c>
      <c r="AZ284" s="5">
        <f t="shared" si="143"/>
        <v>15.7765998666667</v>
      </c>
      <c r="BA284">
        <v>29.17</v>
      </c>
      <c r="BB284" s="3">
        <f t="shared" si="144"/>
        <v>0.540850183978975</v>
      </c>
      <c r="BD284" s="4">
        <v>0.699000004166667</v>
      </c>
      <c r="BE284">
        <v>0.17</v>
      </c>
      <c r="BF284" s="5">
        <f t="shared" si="145"/>
        <v>0.529000004166667</v>
      </c>
      <c r="BG284">
        <v>4</v>
      </c>
      <c r="BH284" s="3">
        <f t="shared" si="146"/>
        <v>0.132250001041667</v>
      </c>
      <c r="BJ284" s="9">
        <v>8.84883330833333</v>
      </c>
      <c r="BK284">
        <v>4.8</v>
      </c>
      <c r="BL284" s="5">
        <f t="shared" si="147"/>
        <v>4.04883330833333</v>
      </c>
      <c r="BM284">
        <v>8.9</v>
      </c>
      <c r="BN284" s="3">
        <f t="shared" si="148"/>
        <v>0.45492509082397</v>
      </c>
      <c r="BP284" s="9">
        <v>0.177091666666667</v>
      </c>
      <c r="BQ284">
        <v>0.09</v>
      </c>
      <c r="BR284" s="5">
        <f t="shared" si="149"/>
        <v>0.087091666666667</v>
      </c>
      <c r="BS284">
        <v>0.43</v>
      </c>
      <c r="BT284" s="3">
        <f t="shared" si="150"/>
        <v>0.202538759689923</v>
      </c>
      <c r="BV284" s="4">
        <v>6.93005831666667</v>
      </c>
      <c r="BW284">
        <v>6.18</v>
      </c>
      <c r="BX284" s="5">
        <f t="shared" si="151"/>
        <v>0.75005831666667</v>
      </c>
      <c r="BY284">
        <v>1.68</v>
      </c>
      <c r="BZ284" s="3">
        <f t="shared" si="152"/>
        <v>0.446463283730161</v>
      </c>
      <c r="CB284" s="10">
        <v>87.3</v>
      </c>
      <c r="CC284">
        <v>54.3</v>
      </c>
      <c r="CD284" s="12">
        <f t="shared" si="153"/>
        <v>33</v>
      </c>
      <c r="CE284">
        <v>71.3</v>
      </c>
      <c r="CF284" s="3">
        <f t="shared" si="154"/>
        <v>0.462833099579243</v>
      </c>
      <c r="CH284" s="13">
        <v>24.9</v>
      </c>
      <c r="CI284">
        <v>22.6</v>
      </c>
      <c r="CJ284">
        <f t="shared" si="155"/>
        <v>2.3</v>
      </c>
      <c r="CK284">
        <v>25.1</v>
      </c>
      <c r="CL284">
        <f t="shared" si="156"/>
        <v>0.091633466135458</v>
      </c>
      <c r="CN284" s="10">
        <v>3.9</v>
      </c>
      <c r="CO284">
        <v>3</v>
      </c>
      <c r="CP284" s="12">
        <f t="shared" si="157"/>
        <v>0.9</v>
      </c>
      <c r="CQ284">
        <v>3.4</v>
      </c>
      <c r="CR284" s="3">
        <f t="shared" si="158"/>
        <v>0.264705882352941</v>
      </c>
    </row>
    <row r="285" spans="2:96">
      <c r="B285" s="1">
        <v>45682</v>
      </c>
      <c r="C285">
        <v>32416</v>
      </c>
      <c r="D285" s="2">
        <f t="shared" si="159"/>
        <v>13266</v>
      </c>
      <c r="E285">
        <v>31904</v>
      </c>
      <c r="F285" s="3">
        <f t="shared" si="128"/>
        <v>0.415809929789368</v>
      </c>
      <c r="H285" s="1">
        <v>44950</v>
      </c>
      <c r="I285">
        <v>31145</v>
      </c>
      <c r="J285" s="2">
        <f t="shared" si="129"/>
        <v>13805</v>
      </c>
      <c r="K285">
        <v>32760</v>
      </c>
      <c r="L285" s="3">
        <f t="shared" si="130"/>
        <v>0.421398046398046</v>
      </c>
      <c r="N285" s="4">
        <v>256.036668775</v>
      </c>
      <c r="O285">
        <v>201.27</v>
      </c>
      <c r="P285" s="5">
        <f t="shared" si="131"/>
        <v>54.766668775</v>
      </c>
      <c r="Q285">
        <v>79.69</v>
      </c>
      <c r="R285" s="3">
        <f t="shared" si="132"/>
        <v>0.687246439641109</v>
      </c>
      <c r="T285" s="4">
        <v>185.037499591666</v>
      </c>
      <c r="U285">
        <v>100.23</v>
      </c>
      <c r="V285" s="5">
        <f t="shared" si="133"/>
        <v>84.807499591666</v>
      </c>
      <c r="W285">
        <v>410.93</v>
      </c>
      <c r="X285" s="3">
        <f t="shared" si="134"/>
        <v>0.206379431026369</v>
      </c>
      <c r="Z285" s="4">
        <v>21.0699998291667</v>
      </c>
      <c r="AA285">
        <v>13.25</v>
      </c>
      <c r="AB285" s="5">
        <f t="shared" si="135"/>
        <v>7.8199998291667</v>
      </c>
      <c r="AC285">
        <v>33.93</v>
      </c>
      <c r="AD285" s="3">
        <f t="shared" si="136"/>
        <v>0.230474501301701</v>
      </c>
      <c r="AF285" s="4">
        <v>4.19</v>
      </c>
      <c r="AG285">
        <v>2.09</v>
      </c>
      <c r="AH285" s="5">
        <f t="shared" si="137"/>
        <v>2.1</v>
      </c>
      <c r="AI285">
        <v>3.85</v>
      </c>
      <c r="AJ285" s="3">
        <f t="shared" si="138"/>
        <v>0.545454545454546</v>
      </c>
      <c r="AL285" s="4">
        <v>7.38936668333333</v>
      </c>
      <c r="AM285">
        <v>6.1</v>
      </c>
      <c r="AN285" s="5">
        <f t="shared" si="139"/>
        <v>1.28936668333333</v>
      </c>
      <c r="AO285">
        <v>1.89</v>
      </c>
      <c r="AP285" s="3">
        <f t="shared" si="140"/>
        <v>0.68220459435626</v>
      </c>
      <c r="AR285" s="4">
        <v>1.55229167083333</v>
      </c>
      <c r="AS285">
        <v>0.02</v>
      </c>
      <c r="AT285" s="5">
        <f t="shared" si="141"/>
        <v>1.53229167083333</v>
      </c>
      <c r="AU285">
        <v>2.84</v>
      </c>
      <c r="AV285" s="3">
        <f t="shared" si="142"/>
        <v>0.539539320715961</v>
      </c>
      <c r="AX285" s="4">
        <v>24.7762665875</v>
      </c>
      <c r="AY285">
        <v>3.44</v>
      </c>
      <c r="AZ285" s="5">
        <f t="shared" si="143"/>
        <v>21.3362665875</v>
      </c>
      <c r="BA285">
        <v>29.17</v>
      </c>
      <c r="BB285" s="3">
        <f t="shared" si="144"/>
        <v>0.731445546366129</v>
      </c>
      <c r="BD285" s="4">
        <v>0.414666666666667</v>
      </c>
      <c r="BE285">
        <v>0.17</v>
      </c>
      <c r="BF285" s="5">
        <f t="shared" si="145"/>
        <v>0.244666666666667</v>
      </c>
      <c r="BG285">
        <v>4</v>
      </c>
      <c r="BH285" s="3">
        <f t="shared" si="146"/>
        <v>0.0611666666666668</v>
      </c>
      <c r="BJ285" s="9">
        <v>6.2963333125</v>
      </c>
      <c r="BK285">
        <v>4.8</v>
      </c>
      <c r="BL285" s="5">
        <f t="shared" si="147"/>
        <v>1.4963333125</v>
      </c>
      <c r="BM285">
        <v>8.9</v>
      </c>
      <c r="BN285" s="3">
        <f t="shared" si="148"/>
        <v>0.168127338483146</v>
      </c>
      <c r="BP285" s="9">
        <v>0.123133333333333</v>
      </c>
      <c r="BQ285">
        <v>0.09</v>
      </c>
      <c r="BR285" s="5">
        <f t="shared" si="149"/>
        <v>0.033133333333333</v>
      </c>
      <c r="BS285">
        <v>0.43</v>
      </c>
      <c r="BT285" s="3">
        <f t="shared" si="150"/>
        <v>0.0770542635658907</v>
      </c>
      <c r="BV285" s="4">
        <v>6.92066669166667</v>
      </c>
      <c r="BW285">
        <v>6.18</v>
      </c>
      <c r="BX285" s="5">
        <f t="shared" si="151"/>
        <v>0.740666691666671</v>
      </c>
      <c r="BY285">
        <v>1.68</v>
      </c>
      <c r="BZ285" s="3">
        <f t="shared" si="152"/>
        <v>0.440873030753971</v>
      </c>
      <c r="CB285" s="10">
        <v>86.2</v>
      </c>
      <c r="CC285">
        <v>54.3</v>
      </c>
      <c r="CD285" s="12">
        <f t="shared" si="153"/>
        <v>31.9</v>
      </c>
      <c r="CE285">
        <v>71.3</v>
      </c>
      <c r="CF285" s="3">
        <f t="shared" si="154"/>
        <v>0.447405329593268</v>
      </c>
      <c r="CH285" s="13">
        <v>22.6</v>
      </c>
      <c r="CI285">
        <v>22.6</v>
      </c>
      <c r="CJ285">
        <f t="shared" si="155"/>
        <v>0</v>
      </c>
      <c r="CK285">
        <v>25.1</v>
      </c>
      <c r="CL285">
        <f t="shared" si="156"/>
        <v>0</v>
      </c>
      <c r="CN285" s="10">
        <v>3.8</v>
      </c>
      <c r="CO285">
        <v>3</v>
      </c>
      <c r="CP285" s="12">
        <f t="shared" si="157"/>
        <v>0.8</v>
      </c>
      <c r="CQ285">
        <v>3.4</v>
      </c>
      <c r="CR285" s="3">
        <f t="shared" si="158"/>
        <v>0.235294117647059</v>
      </c>
    </row>
    <row r="286" spans="2:96">
      <c r="B286" s="1">
        <v>47981</v>
      </c>
      <c r="C286">
        <v>32416</v>
      </c>
      <c r="D286" s="2">
        <f t="shared" si="159"/>
        <v>15565</v>
      </c>
      <c r="E286">
        <v>31904</v>
      </c>
      <c r="F286" s="3">
        <f t="shared" si="128"/>
        <v>0.487869859578736</v>
      </c>
      <c r="H286" s="1">
        <v>47520</v>
      </c>
      <c r="I286">
        <v>31145</v>
      </c>
      <c r="J286" s="2">
        <f t="shared" si="129"/>
        <v>16375</v>
      </c>
      <c r="K286">
        <v>32760</v>
      </c>
      <c r="L286" s="3">
        <f t="shared" si="130"/>
        <v>0.499847374847375</v>
      </c>
      <c r="N286" s="4">
        <v>231.4066670625</v>
      </c>
      <c r="O286">
        <v>201.27</v>
      </c>
      <c r="P286" s="5">
        <f t="shared" si="131"/>
        <v>30.1366670625</v>
      </c>
      <c r="Q286">
        <v>79.69</v>
      </c>
      <c r="R286" s="3">
        <f t="shared" si="132"/>
        <v>0.378173761607479</v>
      </c>
      <c r="T286" s="4">
        <v>180.849999095833</v>
      </c>
      <c r="U286">
        <v>100.23</v>
      </c>
      <c r="V286" s="5">
        <f t="shared" si="133"/>
        <v>80.619999095833</v>
      </c>
      <c r="W286">
        <v>410.93</v>
      </c>
      <c r="X286" s="3">
        <f t="shared" si="134"/>
        <v>0.196189129768654</v>
      </c>
      <c r="Z286" s="4">
        <v>29.6300001125</v>
      </c>
      <c r="AA286">
        <v>13.25</v>
      </c>
      <c r="AB286" s="5">
        <f t="shared" si="135"/>
        <v>16.3800001125</v>
      </c>
      <c r="AC286">
        <v>33.93</v>
      </c>
      <c r="AD286" s="3">
        <f t="shared" si="136"/>
        <v>0.482758624005305</v>
      </c>
      <c r="AF286" s="4">
        <v>3.71</v>
      </c>
      <c r="AG286">
        <v>2.09</v>
      </c>
      <c r="AH286" s="5">
        <f t="shared" si="137"/>
        <v>1.62</v>
      </c>
      <c r="AI286">
        <v>3.85</v>
      </c>
      <c r="AJ286" s="3">
        <f t="shared" si="138"/>
        <v>0.420779220779221</v>
      </c>
      <c r="AL286" s="4">
        <v>7.47593329583333</v>
      </c>
      <c r="AM286">
        <v>6.1</v>
      </c>
      <c r="AN286" s="5">
        <f t="shared" si="139"/>
        <v>1.37593329583333</v>
      </c>
      <c r="AO286">
        <v>1.89</v>
      </c>
      <c r="AP286" s="3">
        <f t="shared" si="140"/>
        <v>0.72800703483245</v>
      </c>
      <c r="AR286" s="4">
        <v>1.17145832916667</v>
      </c>
      <c r="AS286">
        <v>0.02</v>
      </c>
      <c r="AT286" s="5">
        <f t="shared" si="141"/>
        <v>1.15145832916667</v>
      </c>
      <c r="AU286">
        <v>2.84</v>
      </c>
      <c r="AV286" s="3">
        <f t="shared" si="142"/>
        <v>0.405443073650236</v>
      </c>
      <c r="AX286" s="4">
        <v>17.2839334</v>
      </c>
      <c r="AY286">
        <v>3.44</v>
      </c>
      <c r="AZ286" s="5">
        <f t="shared" si="143"/>
        <v>13.8439334</v>
      </c>
      <c r="BA286">
        <v>29.17</v>
      </c>
      <c r="BB286" s="3">
        <f t="shared" si="144"/>
        <v>0.47459490572506</v>
      </c>
      <c r="BD286" s="4">
        <v>0.760749995833333</v>
      </c>
      <c r="BE286">
        <v>0.17</v>
      </c>
      <c r="BF286" s="5">
        <f t="shared" si="145"/>
        <v>0.590749995833333</v>
      </c>
      <c r="BG286">
        <v>4</v>
      </c>
      <c r="BH286" s="3">
        <f t="shared" si="146"/>
        <v>0.147687498958333</v>
      </c>
      <c r="BJ286" s="9">
        <v>11.4335833416667</v>
      </c>
      <c r="BK286">
        <v>4.8</v>
      </c>
      <c r="BL286" s="5">
        <f t="shared" si="147"/>
        <v>6.6335833416667</v>
      </c>
      <c r="BM286">
        <v>8.9</v>
      </c>
      <c r="BN286" s="3">
        <f t="shared" si="148"/>
        <v>0.745346442883899</v>
      </c>
      <c r="BP286" s="9">
        <v>0.215608333333333</v>
      </c>
      <c r="BQ286">
        <v>0.09</v>
      </c>
      <c r="BR286" s="5">
        <f t="shared" si="149"/>
        <v>0.125608333333333</v>
      </c>
      <c r="BS286">
        <v>0.43</v>
      </c>
      <c r="BT286" s="3">
        <f t="shared" si="150"/>
        <v>0.292112403100774</v>
      </c>
      <c r="BV286" s="4">
        <v>6.90205830833333</v>
      </c>
      <c r="BW286">
        <v>6.18</v>
      </c>
      <c r="BX286" s="5">
        <f t="shared" si="151"/>
        <v>0.72205830833333</v>
      </c>
      <c r="BY286">
        <v>1.68</v>
      </c>
      <c r="BZ286" s="3">
        <f t="shared" si="152"/>
        <v>0.429796612103173</v>
      </c>
      <c r="CB286" s="10">
        <v>79.6</v>
      </c>
      <c r="CC286">
        <v>54.3</v>
      </c>
      <c r="CD286" s="12">
        <f t="shared" si="153"/>
        <v>25.3</v>
      </c>
      <c r="CE286">
        <v>71.3</v>
      </c>
      <c r="CF286" s="3">
        <f t="shared" si="154"/>
        <v>0.354838709677419</v>
      </c>
      <c r="CH286" s="13">
        <v>25.5</v>
      </c>
      <c r="CI286">
        <v>22.6</v>
      </c>
      <c r="CJ286">
        <f t="shared" si="155"/>
        <v>2.9</v>
      </c>
      <c r="CK286">
        <v>25.1</v>
      </c>
      <c r="CL286">
        <f t="shared" si="156"/>
        <v>0.115537848605578</v>
      </c>
      <c r="CN286" s="10">
        <v>3.9</v>
      </c>
      <c r="CO286">
        <v>3</v>
      </c>
      <c r="CP286" s="12">
        <f t="shared" si="157"/>
        <v>0.9</v>
      </c>
      <c r="CQ286">
        <v>3.4</v>
      </c>
      <c r="CR286" s="3">
        <f t="shared" si="158"/>
        <v>0.264705882352941</v>
      </c>
    </row>
    <row r="287" spans="2:96">
      <c r="B287" s="1">
        <v>51327</v>
      </c>
      <c r="C287">
        <v>32416</v>
      </c>
      <c r="D287" s="2">
        <f t="shared" si="159"/>
        <v>18911</v>
      </c>
      <c r="E287">
        <v>31904</v>
      </c>
      <c r="F287" s="3">
        <f t="shared" si="128"/>
        <v>0.592746990972919</v>
      </c>
      <c r="H287" s="1">
        <v>50936</v>
      </c>
      <c r="I287">
        <v>31145</v>
      </c>
      <c r="J287" s="2">
        <f t="shared" si="129"/>
        <v>19791</v>
      </c>
      <c r="K287">
        <v>32760</v>
      </c>
      <c r="L287" s="3">
        <f t="shared" si="130"/>
        <v>0.604120879120879</v>
      </c>
      <c r="N287" s="4">
        <v>237.993331908333</v>
      </c>
      <c r="O287">
        <v>201.27</v>
      </c>
      <c r="P287" s="5">
        <f t="shared" si="131"/>
        <v>36.723331908333</v>
      </c>
      <c r="Q287">
        <v>79.69</v>
      </c>
      <c r="R287" s="3">
        <f t="shared" si="132"/>
        <v>0.460827354854223</v>
      </c>
      <c r="T287" s="4">
        <v>183.150000258333</v>
      </c>
      <c r="U287">
        <v>100.23</v>
      </c>
      <c r="V287" s="5">
        <f t="shared" si="133"/>
        <v>82.920000258333</v>
      </c>
      <c r="W287">
        <v>410.93</v>
      </c>
      <c r="X287" s="3">
        <f t="shared" si="134"/>
        <v>0.201786192924179</v>
      </c>
      <c r="Z287" s="4">
        <v>23.0224998375</v>
      </c>
      <c r="AA287">
        <v>13.25</v>
      </c>
      <c r="AB287" s="5">
        <f t="shared" si="135"/>
        <v>9.7724998375</v>
      </c>
      <c r="AC287">
        <v>33.93</v>
      </c>
      <c r="AD287" s="3">
        <f t="shared" si="136"/>
        <v>0.288019447023283</v>
      </c>
      <c r="AF287" s="4">
        <v>3.52</v>
      </c>
      <c r="AG287">
        <v>2.09</v>
      </c>
      <c r="AH287" s="5">
        <f t="shared" si="137"/>
        <v>1.43</v>
      </c>
      <c r="AI287">
        <v>3.85</v>
      </c>
      <c r="AJ287" s="3">
        <f t="shared" si="138"/>
        <v>0.371428571428571</v>
      </c>
      <c r="AL287" s="4">
        <v>7.54400825416667</v>
      </c>
      <c r="AM287">
        <v>6.1</v>
      </c>
      <c r="AN287" s="5">
        <f t="shared" si="139"/>
        <v>1.44400825416667</v>
      </c>
      <c r="AO287">
        <v>1.89</v>
      </c>
      <c r="AP287" s="3">
        <f t="shared" si="140"/>
        <v>0.764025531305117</v>
      </c>
      <c r="AR287" s="4">
        <v>1.57395832916667</v>
      </c>
      <c r="AS287">
        <v>0.02</v>
      </c>
      <c r="AT287" s="5">
        <f t="shared" si="141"/>
        <v>1.55395832916667</v>
      </c>
      <c r="AU287">
        <v>2.84</v>
      </c>
      <c r="AV287" s="3">
        <f t="shared" si="142"/>
        <v>0.547168425762912</v>
      </c>
      <c r="AX287" s="4">
        <v>16.8419334791667</v>
      </c>
      <c r="AY287">
        <v>3.44</v>
      </c>
      <c r="AZ287" s="5">
        <f t="shared" si="143"/>
        <v>13.4019334791667</v>
      </c>
      <c r="BA287">
        <v>29.17</v>
      </c>
      <c r="BB287" s="3">
        <f t="shared" si="144"/>
        <v>0.459442354445207</v>
      </c>
      <c r="BD287" s="4">
        <v>1.82866665</v>
      </c>
      <c r="BE287">
        <v>0.17</v>
      </c>
      <c r="BF287" s="5">
        <f t="shared" si="145"/>
        <v>1.65866665</v>
      </c>
      <c r="BG287">
        <v>4</v>
      </c>
      <c r="BH287" s="3">
        <f t="shared" si="146"/>
        <v>0.4146666625</v>
      </c>
      <c r="BJ287" s="9">
        <v>11.3305832875</v>
      </c>
      <c r="BK287">
        <v>4.8</v>
      </c>
      <c r="BL287" s="5">
        <f t="shared" si="147"/>
        <v>6.5305832875</v>
      </c>
      <c r="BM287">
        <v>8.9</v>
      </c>
      <c r="BN287" s="3">
        <f t="shared" si="148"/>
        <v>0.733773403089888</v>
      </c>
      <c r="BP287" s="9">
        <v>0.219933333333333</v>
      </c>
      <c r="BQ287">
        <v>0.09</v>
      </c>
      <c r="BR287" s="5">
        <f t="shared" si="149"/>
        <v>0.129933333333333</v>
      </c>
      <c r="BS287">
        <v>0.43</v>
      </c>
      <c r="BT287" s="3">
        <f t="shared" si="150"/>
        <v>0.302170542635658</v>
      </c>
      <c r="BV287" s="4">
        <v>6.94365000416666</v>
      </c>
      <c r="BW287">
        <v>6.18</v>
      </c>
      <c r="BX287" s="5">
        <f t="shared" si="151"/>
        <v>0.76365000416666</v>
      </c>
      <c r="BY287">
        <v>1.68</v>
      </c>
      <c r="BZ287" s="3">
        <f t="shared" si="152"/>
        <v>0.454553573908726</v>
      </c>
      <c r="CB287" s="10">
        <v>75.2</v>
      </c>
      <c r="CC287">
        <v>54.3</v>
      </c>
      <c r="CD287" s="12">
        <f t="shared" si="153"/>
        <v>20.9</v>
      </c>
      <c r="CE287">
        <v>71.3</v>
      </c>
      <c r="CF287" s="3">
        <f t="shared" si="154"/>
        <v>0.29312762973352</v>
      </c>
      <c r="CH287" s="13">
        <v>26.8</v>
      </c>
      <c r="CI287">
        <v>22.6</v>
      </c>
      <c r="CJ287">
        <f t="shared" si="155"/>
        <v>4.2</v>
      </c>
      <c r="CK287">
        <v>25.1</v>
      </c>
      <c r="CL287">
        <f t="shared" si="156"/>
        <v>0.167330677290837</v>
      </c>
      <c r="CN287" s="10">
        <v>4.1</v>
      </c>
      <c r="CO287">
        <v>3</v>
      </c>
      <c r="CP287" s="12">
        <f t="shared" si="157"/>
        <v>1.1</v>
      </c>
      <c r="CQ287">
        <v>3.4</v>
      </c>
      <c r="CR287" s="3">
        <f t="shared" si="158"/>
        <v>0.323529411764706</v>
      </c>
    </row>
    <row r="288" spans="2:96">
      <c r="B288" s="1">
        <v>52941</v>
      </c>
      <c r="C288">
        <v>32416</v>
      </c>
      <c r="D288" s="2">
        <f t="shared" si="159"/>
        <v>20525</v>
      </c>
      <c r="E288">
        <v>31904</v>
      </c>
      <c r="F288" s="3">
        <f t="shared" si="128"/>
        <v>0.643336258776329</v>
      </c>
      <c r="H288" s="1">
        <v>52249</v>
      </c>
      <c r="I288">
        <v>31145</v>
      </c>
      <c r="J288" s="2">
        <f t="shared" si="129"/>
        <v>21104</v>
      </c>
      <c r="K288">
        <v>32760</v>
      </c>
      <c r="L288" s="3">
        <f t="shared" si="130"/>
        <v>0.644200244200244</v>
      </c>
      <c r="N288" s="4">
        <v>242.2966740875</v>
      </c>
      <c r="O288">
        <v>201.27</v>
      </c>
      <c r="P288" s="5">
        <f t="shared" si="131"/>
        <v>41.0266740875</v>
      </c>
      <c r="Q288">
        <v>79.69</v>
      </c>
      <c r="R288" s="3">
        <f t="shared" si="132"/>
        <v>0.514828386089848</v>
      </c>
      <c r="T288" s="4">
        <v>185.537500225</v>
      </c>
      <c r="U288">
        <v>100.23</v>
      </c>
      <c r="V288" s="5">
        <f t="shared" si="133"/>
        <v>85.307500225</v>
      </c>
      <c r="W288">
        <v>410.93</v>
      </c>
      <c r="X288" s="3">
        <f t="shared" si="134"/>
        <v>0.207596184812498</v>
      </c>
      <c r="Z288" s="4">
        <v>28.6387501458333</v>
      </c>
      <c r="AA288">
        <v>13.25</v>
      </c>
      <c r="AB288" s="5">
        <f t="shared" si="135"/>
        <v>15.3887501458333</v>
      </c>
      <c r="AC288">
        <v>33.93</v>
      </c>
      <c r="AD288" s="3">
        <f t="shared" si="136"/>
        <v>0.453544065600746</v>
      </c>
      <c r="AF288" s="4">
        <v>4.14</v>
      </c>
      <c r="AG288">
        <v>2.09</v>
      </c>
      <c r="AH288" s="5">
        <f t="shared" si="137"/>
        <v>2.05</v>
      </c>
      <c r="AI288">
        <v>3.85</v>
      </c>
      <c r="AJ288" s="3">
        <f t="shared" si="138"/>
        <v>0.532467532467532</v>
      </c>
      <c r="AL288" s="4">
        <v>7.5934166625</v>
      </c>
      <c r="AM288">
        <v>6.1</v>
      </c>
      <c r="AN288" s="5">
        <f t="shared" si="139"/>
        <v>1.4934166625</v>
      </c>
      <c r="AO288">
        <v>1.89</v>
      </c>
      <c r="AP288" s="3">
        <f t="shared" si="140"/>
        <v>0.790167546296297</v>
      </c>
      <c r="AR288" s="4">
        <v>1.40145840416667</v>
      </c>
      <c r="AS288">
        <v>0.02</v>
      </c>
      <c r="AT288" s="5">
        <f t="shared" si="141"/>
        <v>1.38145840416667</v>
      </c>
      <c r="AU288">
        <v>2.84</v>
      </c>
      <c r="AV288" s="3">
        <f t="shared" si="142"/>
        <v>0.486429015551644</v>
      </c>
      <c r="AX288" s="4">
        <v>16.2179334083333</v>
      </c>
      <c r="AY288">
        <v>3.44</v>
      </c>
      <c r="AZ288" s="5">
        <f t="shared" si="143"/>
        <v>12.7779334083333</v>
      </c>
      <c r="BA288">
        <v>29.17</v>
      </c>
      <c r="BB288" s="3">
        <f t="shared" si="144"/>
        <v>0.438050511084446</v>
      </c>
      <c r="BD288" s="4">
        <v>1.85350000833333</v>
      </c>
      <c r="BE288">
        <v>0.17</v>
      </c>
      <c r="BF288" s="5">
        <f t="shared" si="145"/>
        <v>1.68350000833333</v>
      </c>
      <c r="BG288">
        <v>4</v>
      </c>
      <c r="BH288" s="3">
        <f t="shared" si="146"/>
        <v>0.420875002083333</v>
      </c>
      <c r="BJ288" s="9">
        <v>12.196916675</v>
      </c>
      <c r="BK288">
        <v>4.8</v>
      </c>
      <c r="BL288" s="5">
        <f t="shared" si="147"/>
        <v>7.396916675</v>
      </c>
      <c r="BM288">
        <v>8.9</v>
      </c>
      <c r="BN288" s="3">
        <f t="shared" si="148"/>
        <v>0.831114233146067</v>
      </c>
      <c r="BP288" s="9">
        <v>0.246333333333333</v>
      </c>
      <c r="BQ288">
        <v>0.09</v>
      </c>
      <c r="BR288" s="5">
        <f t="shared" si="149"/>
        <v>0.156333333333333</v>
      </c>
      <c r="BS288">
        <v>0.43</v>
      </c>
      <c r="BT288" s="3">
        <f t="shared" si="150"/>
        <v>0.363565891472867</v>
      </c>
      <c r="BV288" s="4">
        <v>6.90894173333333</v>
      </c>
      <c r="BW288">
        <v>6.18</v>
      </c>
      <c r="BX288" s="5">
        <f t="shared" si="151"/>
        <v>0.72894173333333</v>
      </c>
      <c r="BY288">
        <v>1.68</v>
      </c>
      <c r="BZ288" s="3">
        <f t="shared" si="152"/>
        <v>0.433893888888887</v>
      </c>
      <c r="CB288" s="10">
        <v>71.4</v>
      </c>
      <c r="CC288">
        <v>54.3</v>
      </c>
      <c r="CD288" s="12">
        <f t="shared" si="153"/>
        <v>17.1</v>
      </c>
      <c r="CE288">
        <v>71.3</v>
      </c>
      <c r="CF288" s="3">
        <f t="shared" si="154"/>
        <v>0.239831697054699</v>
      </c>
      <c r="CH288" s="13">
        <v>29.4</v>
      </c>
      <c r="CI288">
        <v>22.6</v>
      </c>
      <c r="CJ288">
        <f t="shared" si="155"/>
        <v>6.8</v>
      </c>
      <c r="CK288">
        <v>25.1</v>
      </c>
      <c r="CL288">
        <f t="shared" si="156"/>
        <v>0.270916334661354</v>
      </c>
      <c r="CN288" s="10">
        <v>4.3</v>
      </c>
      <c r="CO288">
        <v>3</v>
      </c>
      <c r="CP288" s="12">
        <f t="shared" si="157"/>
        <v>1.3</v>
      </c>
      <c r="CQ288">
        <v>3.4</v>
      </c>
      <c r="CR288" s="3">
        <f t="shared" si="158"/>
        <v>0.382352941176471</v>
      </c>
    </row>
    <row r="289" spans="2:96">
      <c r="B289" s="1">
        <v>52314</v>
      </c>
      <c r="C289">
        <v>32416</v>
      </c>
      <c r="D289" s="2">
        <f t="shared" si="159"/>
        <v>19898</v>
      </c>
      <c r="E289">
        <v>31904</v>
      </c>
      <c r="F289" s="3">
        <f t="shared" si="128"/>
        <v>0.623683550651956</v>
      </c>
      <c r="H289" s="1">
        <v>51703</v>
      </c>
      <c r="I289">
        <v>31145</v>
      </c>
      <c r="J289" s="2">
        <f t="shared" si="129"/>
        <v>20558</v>
      </c>
      <c r="K289">
        <v>32760</v>
      </c>
      <c r="L289" s="3">
        <f t="shared" si="130"/>
        <v>0.627533577533578</v>
      </c>
      <c r="N289" s="4">
        <v>252.497393408696</v>
      </c>
      <c r="O289">
        <v>201.27</v>
      </c>
      <c r="P289" s="5">
        <f t="shared" si="131"/>
        <v>51.227393408696</v>
      </c>
      <c r="Q289">
        <v>79.69</v>
      </c>
      <c r="R289" s="3">
        <f t="shared" si="132"/>
        <v>0.642833397022161</v>
      </c>
      <c r="T289" s="4">
        <v>208.31739276087</v>
      </c>
      <c r="U289">
        <v>100.23</v>
      </c>
      <c r="V289" s="5">
        <f t="shared" si="133"/>
        <v>108.08739276087</v>
      </c>
      <c r="W289">
        <v>410.93</v>
      </c>
      <c r="X289" s="3">
        <f t="shared" si="134"/>
        <v>0.263031155576059</v>
      </c>
      <c r="Z289" s="4">
        <v>23.0899999782609</v>
      </c>
      <c r="AA289">
        <v>13.25</v>
      </c>
      <c r="AB289" s="5">
        <f t="shared" si="135"/>
        <v>9.8399999782609</v>
      </c>
      <c r="AC289">
        <v>33.93</v>
      </c>
      <c r="AD289" s="3">
        <f t="shared" si="136"/>
        <v>0.290008841092275</v>
      </c>
      <c r="AF289" s="4">
        <v>4.43</v>
      </c>
      <c r="AG289">
        <v>2.09</v>
      </c>
      <c r="AH289" s="5">
        <f t="shared" si="137"/>
        <v>2.34</v>
      </c>
      <c r="AI289">
        <v>3.85</v>
      </c>
      <c r="AJ289" s="3">
        <f t="shared" si="138"/>
        <v>0.607792207792208</v>
      </c>
      <c r="AL289" s="4">
        <v>7.62164995833333</v>
      </c>
      <c r="AM289">
        <v>6.1</v>
      </c>
      <c r="AN289" s="5">
        <f t="shared" si="139"/>
        <v>1.52164995833333</v>
      </c>
      <c r="AO289">
        <v>1.89</v>
      </c>
      <c r="AP289" s="3">
        <f t="shared" si="140"/>
        <v>0.805105798059963</v>
      </c>
      <c r="AR289" s="4">
        <v>1.50020841666667</v>
      </c>
      <c r="AS289">
        <v>0.02</v>
      </c>
      <c r="AT289" s="5">
        <f t="shared" si="141"/>
        <v>1.48020841666667</v>
      </c>
      <c r="AU289">
        <v>2.84</v>
      </c>
      <c r="AV289" s="3">
        <f t="shared" si="142"/>
        <v>0.521200146713616</v>
      </c>
      <c r="AX289" s="4">
        <v>16.3650783130435</v>
      </c>
      <c r="AY289">
        <v>3.44</v>
      </c>
      <c r="AZ289" s="5">
        <f t="shared" si="143"/>
        <v>12.9250783130435</v>
      </c>
      <c r="BA289">
        <v>29.17</v>
      </c>
      <c r="BB289" s="3">
        <f t="shared" si="144"/>
        <v>0.443094902744035</v>
      </c>
      <c r="BD289" s="4">
        <v>0.703652169565217</v>
      </c>
      <c r="BE289">
        <v>0.17</v>
      </c>
      <c r="BF289" s="5">
        <f t="shared" si="145"/>
        <v>0.533652169565217</v>
      </c>
      <c r="BG289">
        <v>4</v>
      </c>
      <c r="BH289" s="3">
        <f t="shared" si="146"/>
        <v>0.133413042391304</v>
      </c>
      <c r="BJ289" s="9">
        <v>8.96069556086957</v>
      </c>
      <c r="BK289">
        <v>4.8</v>
      </c>
      <c r="BL289" s="5">
        <f t="shared" si="147"/>
        <v>4.16069556086957</v>
      </c>
      <c r="BM289">
        <v>8.9</v>
      </c>
      <c r="BN289" s="3">
        <f t="shared" si="148"/>
        <v>0.467493883243772</v>
      </c>
      <c r="BP289" s="9">
        <v>0.265052173913043</v>
      </c>
      <c r="BQ289">
        <v>0.09</v>
      </c>
      <c r="BR289" s="5">
        <f t="shared" si="149"/>
        <v>0.175052173913043</v>
      </c>
      <c r="BS289">
        <v>0.43</v>
      </c>
      <c r="BT289" s="3">
        <f t="shared" si="150"/>
        <v>0.407098078867542</v>
      </c>
      <c r="BV289" s="4">
        <v>6.89688696956522</v>
      </c>
      <c r="BW289">
        <v>6.18</v>
      </c>
      <c r="BX289" s="5">
        <f t="shared" si="151"/>
        <v>0.716886969565221</v>
      </c>
      <c r="BY289">
        <v>1.68</v>
      </c>
      <c r="BZ289" s="3">
        <f t="shared" si="152"/>
        <v>0.426718434265012</v>
      </c>
      <c r="CB289" s="10">
        <v>67.5</v>
      </c>
      <c r="CC289">
        <v>54.3</v>
      </c>
      <c r="CD289" s="12">
        <f t="shared" si="153"/>
        <v>13.2</v>
      </c>
      <c r="CE289">
        <v>71.3</v>
      </c>
      <c r="CF289" s="3">
        <f t="shared" si="154"/>
        <v>0.185133239831697</v>
      </c>
      <c r="CH289" s="13">
        <v>27.3</v>
      </c>
      <c r="CI289">
        <v>22.6</v>
      </c>
      <c r="CJ289">
        <f t="shared" si="155"/>
        <v>4.7</v>
      </c>
      <c r="CK289">
        <v>25.1</v>
      </c>
      <c r="CL289">
        <f t="shared" si="156"/>
        <v>0.187250996015936</v>
      </c>
      <c r="CN289" s="11">
        <v>3.8</v>
      </c>
      <c r="CO289">
        <v>3</v>
      </c>
      <c r="CP289" s="12">
        <f t="shared" si="157"/>
        <v>0.8</v>
      </c>
      <c r="CQ289">
        <v>3.4</v>
      </c>
      <c r="CR289" s="3">
        <f t="shared" si="158"/>
        <v>0.235294117647059</v>
      </c>
    </row>
    <row r="290" spans="2:96">
      <c r="B290" s="1">
        <v>51643</v>
      </c>
      <c r="C290">
        <v>32416</v>
      </c>
      <c r="D290" s="2">
        <f t="shared" si="159"/>
        <v>19227</v>
      </c>
      <c r="E290">
        <v>31904</v>
      </c>
      <c r="F290" s="3">
        <f t="shared" si="128"/>
        <v>0.602651705115346</v>
      </c>
      <c r="H290" s="1">
        <v>51226</v>
      </c>
      <c r="I290">
        <v>31145</v>
      </c>
      <c r="J290" s="2">
        <f t="shared" si="129"/>
        <v>20081</v>
      </c>
      <c r="K290">
        <v>32760</v>
      </c>
      <c r="L290" s="3">
        <f t="shared" si="130"/>
        <v>0.612973137973138</v>
      </c>
      <c r="N290" s="4">
        <v>253.168700495652</v>
      </c>
      <c r="O290">
        <v>201.27</v>
      </c>
      <c r="P290" s="5">
        <f t="shared" si="131"/>
        <v>51.898700495652</v>
      </c>
      <c r="Q290">
        <v>79.69</v>
      </c>
      <c r="R290" s="3">
        <f t="shared" si="132"/>
        <v>0.651257378537483</v>
      </c>
      <c r="T290" s="4">
        <v>212.778261434783</v>
      </c>
      <c r="U290">
        <v>100.23</v>
      </c>
      <c r="V290" s="5">
        <f t="shared" si="133"/>
        <v>112.548261434783</v>
      </c>
      <c r="W290">
        <v>410.93</v>
      </c>
      <c r="X290" s="3">
        <f t="shared" si="134"/>
        <v>0.273886699522505</v>
      </c>
      <c r="Z290" s="4">
        <v>27.7734780521739</v>
      </c>
      <c r="AA290">
        <v>13.25</v>
      </c>
      <c r="AB290" s="5">
        <f t="shared" si="135"/>
        <v>14.5234780521739</v>
      </c>
      <c r="AC290">
        <v>33.93</v>
      </c>
      <c r="AD290" s="3">
        <f t="shared" si="136"/>
        <v>0.428042382911108</v>
      </c>
      <c r="AF290" s="4">
        <v>4.69</v>
      </c>
      <c r="AG290">
        <v>2.09</v>
      </c>
      <c r="AH290" s="5">
        <f t="shared" si="137"/>
        <v>2.6</v>
      </c>
      <c r="AI290">
        <v>3.85</v>
      </c>
      <c r="AJ290" s="3">
        <f t="shared" si="138"/>
        <v>0.675324675324675</v>
      </c>
      <c r="AL290" s="13">
        <v>7.11</v>
      </c>
      <c r="AM290">
        <v>6.1</v>
      </c>
      <c r="AN290" s="5">
        <f t="shared" si="139"/>
        <v>1.01</v>
      </c>
      <c r="AO290">
        <v>1.89</v>
      </c>
      <c r="AP290" s="3">
        <f t="shared" si="140"/>
        <v>0.534391534391535</v>
      </c>
      <c r="AR290" s="4">
        <v>1.18166668333333</v>
      </c>
      <c r="AS290">
        <v>0.02</v>
      </c>
      <c r="AT290" s="5">
        <f t="shared" si="141"/>
        <v>1.16166668333333</v>
      </c>
      <c r="AU290">
        <v>2.84</v>
      </c>
      <c r="AV290" s="3">
        <f t="shared" si="142"/>
        <v>0.409037564553989</v>
      </c>
      <c r="AX290" s="4">
        <v>16.8877913869565</v>
      </c>
      <c r="AY290">
        <v>3.44</v>
      </c>
      <c r="AZ290" s="5">
        <f t="shared" si="143"/>
        <v>13.4477913869565</v>
      </c>
      <c r="BA290">
        <v>29.17</v>
      </c>
      <c r="BB290" s="3">
        <f t="shared" si="144"/>
        <v>0.461014445901834</v>
      </c>
      <c r="BD290" s="4">
        <v>0.724173904347826</v>
      </c>
      <c r="BE290">
        <v>0.17</v>
      </c>
      <c r="BF290" s="5">
        <f t="shared" si="145"/>
        <v>0.554173904347826</v>
      </c>
      <c r="BG290">
        <v>4</v>
      </c>
      <c r="BH290" s="3">
        <f t="shared" si="146"/>
        <v>0.138543476086956</v>
      </c>
      <c r="BJ290" s="9">
        <v>5.81426086521739</v>
      </c>
      <c r="BK290">
        <v>4.8</v>
      </c>
      <c r="BL290" s="5">
        <f t="shared" si="147"/>
        <v>1.01426086521739</v>
      </c>
      <c r="BM290">
        <v>8.9</v>
      </c>
      <c r="BN290" s="3">
        <f t="shared" si="148"/>
        <v>0.113961894968246</v>
      </c>
      <c r="BP290" s="9">
        <v>0.182652173913044</v>
      </c>
      <c r="BQ290">
        <v>0.09</v>
      </c>
      <c r="BR290" s="5">
        <f t="shared" si="149"/>
        <v>0.092652173913044</v>
      </c>
      <c r="BS290">
        <v>0.43</v>
      </c>
      <c r="BT290" s="3">
        <f t="shared" si="150"/>
        <v>0.2154701718908</v>
      </c>
      <c r="BV290" s="4">
        <v>6.92616518695652</v>
      </c>
      <c r="BW290">
        <v>6.18</v>
      </c>
      <c r="BX290" s="5">
        <f t="shared" si="151"/>
        <v>0.74616518695652</v>
      </c>
      <c r="BY290">
        <v>1.68</v>
      </c>
      <c r="BZ290" s="3">
        <f t="shared" si="152"/>
        <v>0.444145944616976</v>
      </c>
      <c r="CB290" s="10">
        <v>61.2</v>
      </c>
      <c r="CC290">
        <v>54.3</v>
      </c>
      <c r="CD290" s="12">
        <f t="shared" si="153"/>
        <v>6.90000000000001</v>
      </c>
      <c r="CE290">
        <v>71.3</v>
      </c>
      <c r="CF290" s="3">
        <f t="shared" si="154"/>
        <v>0.0967741935483872</v>
      </c>
      <c r="CH290" s="13">
        <v>29.5</v>
      </c>
      <c r="CI290">
        <v>22.6</v>
      </c>
      <c r="CJ290">
        <f t="shared" si="155"/>
        <v>6.9</v>
      </c>
      <c r="CK290">
        <v>25.1</v>
      </c>
      <c r="CL290">
        <f t="shared" si="156"/>
        <v>0.274900398406374</v>
      </c>
      <c r="CN290" s="10">
        <v>3.6</v>
      </c>
      <c r="CO290">
        <v>3</v>
      </c>
      <c r="CP290" s="12">
        <f t="shared" si="157"/>
        <v>0.6</v>
      </c>
      <c r="CQ290">
        <v>3.4</v>
      </c>
      <c r="CR290" s="3">
        <f t="shared" si="158"/>
        <v>0.176470588235294</v>
      </c>
    </row>
    <row r="291" spans="2:96">
      <c r="B291" s="1">
        <v>51324</v>
      </c>
      <c r="C291">
        <v>32416</v>
      </c>
      <c r="D291" s="2">
        <f t="shared" si="159"/>
        <v>18908</v>
      </c>
      <c r="E291">
        <v>31904</v>
      </c>
      <c r="F291" s="3">
        <f t="shared" si="128"/>
        <v>0.59265295887663</v>
      </c>
      <c r="H291" s="1">
        <v>50886</v>
      </c>
      <c r="I291">
        <v>31145</v>
      </c>
      <c r="J291" s="2">
        <f t="shared" si="129"/>
        <v>19741</v>
      </c>
      <c r="K291">
        <v>32760</v>
      </c>
      <c r="L291" s="3">
        <f t="shared" si="130"/>
        <v>0.602594627594628</v>
      </c>
      <c r="N291" s="4">
        <v>253.872729218182</v>
      </c>
      <c r="O291">
        <v>201.27</v>
      </c>
      <c r="P291" s="5">
        <f t="shared" si="131"/>
        <v>52.602729218182</v>
      </c>
      <c r="Q291">
        <v>79.69</v>
      </c>
      <c r="R291" s="3">
        <f t="shared" si="132"/>
        <v>0.660091971617292</v>
      </c>
      <c r="T291" s="4">
        <v>160.504545377272</v>
      </c>
      <c r="U291">
        <v>100.23</v>
      </c>
      <c r="V291" s="5">
        <f t="shared" si="133"/>
        <v>60.274545377272</v>
      </c>
      <c r="W291">
        <v>410.93</v>
      </c>
      <c r="X291" s="3">
        <f t="shared" si="134"/>
        <v>0.146678376797197</v>
      </c>
      <c r="Z291" s="4">
        <v>37.9977274636364</v>
      </c>
      <c r="AA291">
        <v>13.25</v>
      </c>
      <c r="AB291" s="5">
        <f t="shared" si="135"/>
        <v>24.7477274636364</v>
      </c>
      <c r="AC291">
        <v>33.93</v>
      </c>
      <c r="AD291" s="3">
        <f t="shared" si="136"/>
        <v>0.729375993623236</v>
      </c>
      <c r="AF291" s="4">
        <v>4.19</v>
      </c>
      <c r="AG291">
        <v>2.09</v>
      </c>
      <c r="AH291" s="5">
        <f t="shared" si="137"/>
        <v>2.1</v>
      </c>
      <c r="AI291">
        <v>3.85</v>
      </c>
      <c r="AJ291" s="3">
        <f t="shared" si="138"/>
        <v>0.545454545454546</v>
      </c>
      <c r="AL291" s="13">
        <v>7.11</v>
      </c>
      <c r="AM291">
        <v>6.1</v>
      </c>
      <c r="AN291" s="5">
        <f t="shared" si="139"/>
        <v>1.01</v>
      </c>
      <c r="AO291">
        <v>1.89</v>
      </c>
      <c r="AP291" s="3">
        <f t="shared" si="140"/>
        <v>0.534391534391535</v>
      </c>
      <c r="AR291" s="4">
        <v>1.46</v>
      </c>
      <c r="AS291">
        <v>0.02</v>
      </c>
      <c r="AT291" s="5">
        <f t="shared" si="141"/>
        <v>1.44</v>
      </c>
      <c r="AU291">
        <v>2.84</v>
      </c>
      <c r="AV291" s="3">
        <f t="shared" si="142"/>
        <v>0.507042253521127</v>
      </c>
      <c r="AX291" s="4">
        <v>13.8735999681818</v>
      </c>
      <c r="AY291">
        <v>3.44</v>
      </c>
      <c r="AZ291" s="5">
        <f t="shared" si="143"/>
        <v>10.4335999681818</v>
      </c>
      <c r="BA291">
        <v>29.17</v>
      </c>
      <c r="BB291" s="3">
        <f t="shared" si="144"/>
        <v>0.357682549474865</v>
      </c>
      <c r="BD291" s="4">
        <v>0.449636363636364</v>
      </c>
      <c r="BE291">
        <v>0.17</v>
      </c>
      <c r="BF291" s="5">
        <f t="shared" si="145"/>
        <v>0.279636363636364</v>
      </c>
      <c r="BG291">
        <v>4</v>
      </c>
      <c r="BH291" s="3">
        <f t="shared" si="146"/>
        <v>0.069909090909091</v>
      </c>
      <c r="BJ291" s="9">
        <v>12.2947273318182</v>
      </c>
      <c r="BK291">
        <v>4.8</v>
      </c>
      <c r="BL291" s="5">
        <f t="shared" si="147"/>
        <v>7.4947273318182</v>
      </c>
      <c r="BM291">
        <v>8.9</v>
      </c>
      <c r="BN291" s="3">
        <f t="shared" si="148"/>
        <v>0.842104194586315</v>
      </c>
      <c r="BP291" s="9">
        <v>0.259181818181818</v>
      </c>
      <c r="BQ291">
        <v>0.09</v>
      </c>
      <c r="BR291" s="5">
        <f t="shared" si="149"/>
        <v>0.169181818181818</v>
      </c>
      <c r="BS291">
        <v>0.43</v>
      </c>
      <c r="BT291" s="3">
        <f t="shared" si="150"/>
        <v>0.393446088794926</v>
      </c>
      <c r="BV291" s="4">
        <v>6.95125462727273</v>
      </c>
      <c r="BW291">
        <v>6.18</v>
      </c>
      <c r="BX291" s="5">
        <f t="shared" si="151"/>
        <v>0.771254627272731</v>
      </c>
      <c r="BY291">
        <v>1.68</v>
      </c>
      <c r="BZ291" s="3">
        <f t="shared" si="152"/>
        <v>0.459080135281387</v>
      </c>
      <c r="CB291" s="10">
        <v>68.4</v>
      </c>
      <c r="CC291">
        <v>54.3</v>
      </c>
      <c r="CD291" s="12">
        <f t="shared" si="153"/>
        <v>14.1</v>
      </c>
      <c r="CE291">
        <v>71.3</v>
      </c>
      <c r="CF291" s="3">
        <f t="shared" si="154"/>
        <v>0.197755960729313</v>
      </c>
      <c r="CH291" s="13">
        <v>33.6</v>
      </c>
      <c r="CI291">
        <v>22.6</v>
      </c>
      <c r="CJ291">
        <f t="shared" si="155"/>
        <v>11</v>
      </c>
      <c r="CK291">
        <v>25.1</v>
      </c>
      <c r="CL291">
        <f t="shared" si="156"/>
        <v>0.438247011952191</v>
      </c>
      <c r="CN291" s="10">
        <v>3.5</v>
      </c>
      <c r="CO291">
        <v>3</v>
      </c>
      <c r="CP291" s="12">
        <f t="shared" si="157"/>
        <v>0.5</v>
      </c>
      <c r="CQ291">
        <v>3.4</v>
      </c>
      <c r="CR291" s="3">
        <f t="shared" si="158"/>
        <v>0.147058823529412</v>
      </c>
    </row>
    <row r="292" spans="2:96">
      <c r="B292" s="1">
        <v>42873</v>
      </c>
      <c r="C292">
        <v>32416</v>
      </c>
      <c r="D292" s="2">
        <f t="shared" si="159"/>
        <v>10457</v>
      </c>
      <c r="E292">
        <v>31904</v>
      </c>
      <c r="F292" s="3">
        <f t="shared" si="128"/>
        <v>0.327764543630893</v>
      </c>
      <c r="H292" s="1">
        <v>42500</v>
      </c>
      <c r="I292">
        <v>31145</v>
      </c>
      <c r="J292" s="2">
        <f t="shared" si="129"/>
        <v>11355</v>
      </c>
      <c r="K292">
        <v>32760</v>
      </c>
      <c r="L292" s="3">
        <f t="shared" si="130"/>
        <v>0.346611721611722</v>
      </c>
      <c r="N292" s="4">
        <v>237.325221847826</v>
      </c>
      <c r="O292">
        <v>201.27</v>
      </c>
      <c r="P292" s="5">
        <f t="shared" si="131"/>
        <v>36.055221847826</v>
      </c>
      <c r="Q292">
        <v>79.69</v>
      </c>
      <c r="R292" s="3">
        <f t="shared" si="132"/>
        <v>0.452443491627883</v>
      </c>
      <c r="T292" s="4">
        <v>158.743478026087</v>
      </c>
      <c r="U292">
        <v>100.23</v>
      </c>
      <c r="V292" s="5">
        <f t="shared" si="133"/>
        <v>58.513478026087</v>
      </c>
      <c r="W292">
        <v>410.93</v>
      </c>
      <c r="X292" s="3">
        <f t="shared" si="134"/>
        <v>0.14239281149122</v>
      </c>
      <c r="Z292" s="4">
        <v>42.2743477130435</v>
      </c>
      <c r="AA292">
        <v>13.25</v>
      </c>
      <c r="AB292" s="5">
        <f t="shared" si="135"/>
        <v>29.0243477130435</v>
      </c>
      <c r="AC292">
        <v>33.93</v>
      </c>
      <c r="AD292" s="3">
        <f t="shared" si="136"/>
        <v>0.855418441292175</v>
      </c>
      <c r="AF292" s="4">
        <v>5.18</v>
      </c>
      <c r="AG292">
        <v>2.09</v>
      </c>
      <c r="AH292" s="5">
        <f t="shared" si="137"/>
        <v>3.09</v>
      </c>
      <c r="AI292">
        <v>3.85</v>
      </c>
      <c r="AJ292" s="3">
        <f t="shared" si="138"/>
        <v>0.802597402597403</v>
      </c>
      <c r="AL292" s="13">
        <v>7.22</v>
      </c>
      <c r="AM292">
        <v>6.1</v>
      </c>
      <c r="AN292" s="5">
        <f t="shared" si="139"/>
        <v>1.12</v>
      </c>
      <c r="AO292">
        <v>1.89</v>
      </c>
      <c r="AP292" s="3">
        <f t="shared" si="140"/>
        <v>0.592592592592593</v>
      </c>
      <c r="AR292" s="4">
        <v>0.82</v>
      </c>
      <c r="AS292">
        <v>0.02</v>
      </c>
      <c r="AT292" s="5">
        <f t="shared" si="141"/>
        <v>0.8</v>
      </c>
      <c r="AU292">
        <v>2.84</v>
      </c>
      <c r="AV292" s="3">
        <f t="shared" si="142"/>
        <v>0.28169014084507</v>
      </c>
      <c r="AX292" s="4">
        <v>13.4386088826087</v>
      </c>
      <c r="AY292">
        <v>3.44</v>
      </c>
      <c r="AZ292" s="5">
        <f t="shared" si="143"/>
        <v>9.9986088826087</v>
      </c>
      <c r="BA292">
        <v>29.17</v>
      </c>
      <c r="BB292" s="3">
        <f t="shared" si="144"/>
        <v>0.342770273658166</v>
      </c>
      <c r="BD292" s="4">
        <v>0.328086956521739</v>
      </c>
      <c r="BE292">
        <v>0.17</v>
      </c>
      <c r="BF292" s="5">
        <f t="shared" si="145"/>
        <v>0.158086956521739</v>
      </c>
      <c r="BG292">
        <v>4</v>
      </c>
      <c r="BH292" s="3">
        <f t="shared" si="146"/>
        <v>0.0395217391304348</v>
      </c>
      <c r="BJ292" s="9">
        <v>11.5534783652174</v>
      </c>
      <c r="BK292">
        <v>4.8</v>
      </c>
      <c r="BL292" s="5">
        <f t="shared" si="147"/>
        <v>6.7534783652174</v>
      </c>
      <c r="BM292">
        <v>8.9</v>
      </c>
      <c r="BN292" s="3">
        <f t="shared" si="148"/>
        <v>0.758817793844652</v>
      </c>
      <c r="BP292" s="9">
        <v>0.260347826086957</v>
      </c>
      <c r="BQ292">
        <v>0.09</v>
      </c>
      <c r="BR292" s="5">
        <f t="shared" si="149"/>
        <v>0.170347826086957</v>
      </c>
      <c r="BS292">
        <v>0.43</v>
      </c>
      <c r="BT292" s="3">
        <f t="shared" si="150"/>
        <v>0.396157735085947</v>
      </c>
      <c r="BV292" s="4">
        <v>6.95495656086956</v>
      </c>
      <c r="BW292">
        <v>6.18</v>
      </c>
      <c r="BX292" s="5">
        <f t="shared" si="151"/>
        <v>0.77495656086956</v>
      </c>
      <c r="BY292">
        <v>1.68</v>
      </c>
      <c r="BZ292" s="3">
        <f t="shared" si="152"/>
        <v>0.461283667184262</v>
      </c>
      <c r="CB292" s="10">
        <v>65.9</v>
      </c>
      <c r="CC292">
        <v>54.3</v>
      </c>
      <c r="CD292" s="12">
        <f t="shared" si="153"/>
        <v>11.6</v>
      </c>
      <c r="CE292">
        <v>71.3</v>
      </c>
      <c r="CF292" s="3">
        <f t="shared" si="154"/>
        <v>0.162692847124825</v>
      </c>
      <c r="CH292" s="13">
        <v>37.9</v>
      </c>
      <c r="CI292">
        <v>22.6</v>
      </c>
      <c r="CJ292">
        <f t="shared" si="155"/>
        <v>15.3</v>
      </c>
      <c r="CK292">
        <v>25.1</v>
      </c>
      <c r="CL292">
        <f t="shared" si="156"/>
        <v>0.609561752988048</v>
      </c>
      <c r="CN292" s="10">
        <v>3.9</v>
      </c>
      <c r="CO292">
        <v>3</v>
      </c>
      <c r="CP292" s="12">
        <f t="shared" si="157"/>
        <v>0.9</v>
      </c>
      <c r="CQ292">
        <v>3.4</v>
      </c>
      <c r="CR292" s="3">
        <f t="shared" si="158"/>
        <v>0.264705882352941</v>
      </c>
    </row>
    <row r="293" spans="2:96">
      <c r="B293" s="1">
        <v>49561</v>
      </c>
      <c r="C293">
        <v>32416</v>
      </c>
      <c r="D293" s="2">
        <f t="shared" si="159"/>
        <v>17145</v>
      </c>
      <c r="E293">
        <v>31904</v>
      </c>
      <c r="F293" s="3">
        <f t="shared" si="128"/>
        <v>0.537393430290873</v>
      </c>
      <c r="H293" s="1">
        <v>48934</v>
      </c>
      <c r="I293">
        <v>31145</v>
      </c>
      <c r="J293" s="2">
        <f t="shared" si="129"/>
        <v>17789</v>
      </c>
      <c r="K293">
        <v>32760</v>
      </c>
      <c r="L293" s="3">
        <f t="shared" si="130"/>
        <v>0.543009768009768</v>
      </c>
      <c r="N293" s="4">
        <v>252.240001041667</v>
      </c>
      <c r="O293">
        <v>201.27</v>
      </c>
      <c r="P293" s="5">
        <f t="shared" si="131"/>
        <v>50.970001041667</v>
      </c>
      <c r="Q293">
        <v>79.69</v>
      </c>
      <c r="R293" s="3">
        <f t="shared" si="132"/>
        <v>0.639603476492245</v>
      </c>
      <c r="T293" s="4">
        <v>159.145834125</v>
      </c>
      <c r="U293">
        <v>100.23</v>
      </c>
      <c r="V293" s="5">
        <f t="shared" si="133"/>
        <v>58.915834125</v>
      </c>
      <c r="W293">
        <v>410.93</v>
      </c>
      <c r="X293" s="3">
        <f t="shared" si="134"/>
        <v>0.143371946864429</v>
      </c>
      <c r="Z293" s="4">
        <v>44.9837500291667</v>
      </c>
      <c r="AA293">
        <v>13.25</v>
      </c>
      <c r="AB293" s="5">
        <f t="shared" si="135"/>
        <v>31.7337500291667</v>
      </c>
      <c r="AC293">
        <v>33.93</v>
      </c>
      <c r="AD293" s="3">
        <f t="shared" si="136"/>
        <v>0.935271147337657</v>
      </c>
      <c r="AF293" s="4">
        <v>4.18</v>
      </c>
      <c r="AG293">
        <v>2.09</v>
      </c>
      <c r="AH293" s="5">
        <f t="shared" si="137"/>
        <v>2.09</v>
      </c>
      <c r="AI293">
        <v>3.85</v>
      </c>
      <c r="AJ293" s="3">
        <f t="shared" si="138"/>
        <v>0.542857142857143</v>
      </c>
      <c r="AL293" s="13">
        <v>7.14</v>
      </c>
      <c r="AM293">
        <v>6.1</v>
      </c>
      <c r="AN293" s="5">
        <f t="shared" si="139"/>
        <v>1.04</v>
      </c>
      <c r="AO293">
        <v>1.89</v>
      </c>
      <c r="AP293" s="3">
        <f t="shared" si="140"/>
        <v>0.55026455026455</v>
      </c>
      <c r="AR293" s="4">
        <v>1.68</v>
      </c>
      <c r="AS293">
        <v>0.02</v>
      </c>
      <c r="AT293" s="5">
        <f t="shared" si="141"/>
        <v>1.66</v>
      </c>
      <c r="AU293">
        <v>2.84</v>
      </c>
      <c r="AV293" s="3">
        <f t="shared" si="142"/>
        <v>0.584507042253521</v>
      </c>
      <c r="AX293" s="4">
        <v>13.5069998458333</v>
      </c>
      <c r="AY293">
        <v>3.44</v>
      </c>
      <c r="AZ293" s="5">
        <f t="shared" si="143"/>
        <v>10.0669998458333</v>
      </c>
      <c r="BA293">
        <v>29.17</v>
      </c>
      <c r="BB293" s="3">
        <f t="shared" si="144"/>
        <v>0.345114838732715</v>
      </c>
      <c r="BD293" s="4">
        <v>0.461666670833333</v>
      </c>
      <c r="BE293">
        <v>0.17</v>
      </c>
      <c r="BF293" s="5">
        <f t="shared" si="145"/>
        <v>0.291666670833333</v>
      </c>
      <c r="BG293">
        <v>4</v>
      </c>
      <c r="BH293" s="3">
        <f t="shared" si="146"/>
        <v>0.0729166677083332</v>
      </c>
      <c r="BJ293" s="9">
        <v>11.1938333125</v>
      </c>
      <c r="BK293">
        <v>4.8</v>
      </c>
      <c r="BL293" s="5">
        <f t="shared" si="147"/>
        <v>6.3938333125</v>
      </c>
      <c r="BM293">
        <v>8.9</v>
      </c>
      <c r="BN293" s="3">
        <f t="shared" si="148"/>
        <v>0.718408237359551</v>
      </c>
      <c r="BP293" s="9">
        <v>0.262258333333333</v>
      </c>
      <c r="BQ293">
        <v>0.09</v>
      </c>
      <c r="BR293" s="5">
        <f t="shared" si="149"/>
        <v>0.172258333333333</v>
      </c>
      <c r="BS293">
        <v>0.43</v>
      </c>
      <c r="BT293" s="3">
        <f t="shared" si="150"/>
        <v>0.400600775193798</v>
      </c>
      <c r="BV293" s="4">
        <v>7.02012505416667</v>
      </c>
      <c r="BW293">
        <v>6.18</v>
      </c>
      <c r="BX293" s="5">
        <f t="shared" si="151"/>
        <v>0.840125054166671</v>
      </c>
      <c r="BY293">
        <v>1.68</v>
      </c>
      <c r="BZ293" s="3">
        <f t="shared" si="152"/>
        <v>0.500074437003971</v>
      </c>
      <c r="CB293" s="10">
        <v>72.7</v>
      </c>
      <c r="CC293">
        <v>54.3</v>
      </c>
      <c r="CD293" s="12">
        <f t="shared" si="153"/>
        <v>18.4</v>
      </c>
      <c r="CE293">
        <v>71.3</v>
      </c>
      <c r="CF293" s="3">
        <f t="shared" si="154"/>
        <v>0.258064516129032</v>
      </c>
      <c r="CH293" s="13">
        <v>42.5</v>
      </c>
      <c r="CI293">
        <v>22.6</v>
      </c>
      <c r="CJ293">
        <f t="shared" si="155"/>
        <v>19.9</v>
      </c>
      <c r="CK293">
        <v>25.1</v>
      </c>
      <c r="CL293">
        <f t="shared" si="156"/>
        <v>0.792828685258964</v>
      </c>
      <c r="CN293" s="11">
        <v>3.4</v>
      </c>
      <c r="CO293">
        <v>3</v>
      </c>
      <c r="CP293" s="12">
        <f t="shared" si="157"/>
        <v>0.4</v>
      </c>
      <c r="CQ293">
        <v>3.4</v>
      </c>
      <c r="CR293" s="3">
        <f t="shared" si="158"/>
        <v>0.117647058823529</v>
      </c>
    </row>
    <row r="294" spans="2:96">
      <c r="B294" s="1">
        <v>56487</v>
      </c>
      <c r="C294">
        <v>32416</v>
      </c>
      <c r="D294" s="2">
        <f t="shared" si="159"/>
        <v>24071</v>
      </c>
      <c r="E294">
        <v>31904</v>
      </c>
      <c r="F294" s="3">
        <f t="shared" si="128"/>
        <v>0.754482196589769</v>
      </c>
      <c r="H294" s="1">
        <v>56102</v>
      </c>
      <c r="I294">
        <v>31145</v>
      </c>
      <c r="J294" s="2">
        <f t="shared" si="129"/>
        <v>24957</v>
      </c>
      <c r="K294">
        <v>32760</v>
      </c>
      <c r="L294" s="3">
        <f t="shared" si="130"/>
        <v>0.761813186813187</v>
      </c>
      <c r="N294" s="4">
        <v>253.240004216667</v>
      </c>
      <c r="O294">
        <v>201.27</v>
      </c>
      <c r="P294" s="5">
        <f t="shared" si="131"/>
        <v>51.970004216667</v>
      </c>
      <c r="Q294">
        <v>79.69</v>
      </c>
      <c r="R294" s="3">
        <f t="shared" si="132"/>
        <v>0.652152142259593</v>
      </c>
      <c r="T294" s="4">
        <v>166.820833054166</v>
      </c>
      <c r="U294">
        <v>100.23</v>
      </c>
      <c r="V294" s="5">
        <f t="shared" si="133"/>
        <v>66.590833054166</v>
      </c>
      <c r="W294">
        <v>410.93</v>
      </c>
      <c r="X294" s="3">
        <f t="shared" si="134"/>
        <v>0.162049091217886</v>
      </c>
      <c r="Z294" s="4">
        <v>36.9129166583333</v>
      </c>
      <c r="AA294">
        <v>13.25</v>
      </c>
      <c r="AB294" s="5">
        <f t="shared" si="135"/>
        <v>23.6629166583333</v>
      </c>
      <c r="AC294">
        <v>33.93</v>
      </c>
      <c r="AD294" s="3">
        <f t="shared" si="136"/>
        <v>0.697403968710088</v>
      </c>
      <c r="AF294" s="4">
        <v>4.33</v>
      </c>
      <c r="AG294">
        <v>2.09</v>
      </c>
      <c r="AH294" s="5">
        <f t="shared" si="137"/>
        <v>2.24</v>
      </c>
      <c r="AI294">
        <v>3.85</v>
      </c>
      <c r="AJ294" s="3">
        <f t="shared" si="138"/>
        <v>0.581818181818182</v>
      </c>
      <c r="AL294" s="13">
        <v>7.17</v>
      </c>
      <c r="AM294">
        <v>6.1</v>
      </c>
      <c r="AN294" s="5">
        <f t="shared" si="139"/>
        <v>1.07</v>
      </c>
      <c r="AO294">
        <v>1.89</v>
      </c>
      <c r="AP294" s="3">
        <f t="shared" si="140"/>
        <v>0.566137566137566</v>
      </c>
      <c r="AR294" s="4">
        <v>1.34</v>
      </c>
      <c r="AS294">
        <v>0.02</v>
      </c>
      <c r="AT294" s="5">
        <f t="shared" si="141"/>
        <v>1.32</v>
      </c>
      <c r="AU294">
        <v>2.84</v>
      </c>
      <c r="AV294" s="3">
        <f t="shared" si="142"/>
        <v>0.464788732394366</v>
      </c>
      <c r="AX294" s="4">
        <v>11.9617332166667</v>
      </c>
      <c r="AY294">
        <v>3.44</v>
      </c>
      <c r="AZ294" s="5">
        <f t="shared" si="143"/>
        <v>8.5217332166667</v>
      </c>
      <c r="BA294">
        <v>29.17</v>
      </c>
      <c r="BB294" s="3">
        <f t="shared" si="144"/>
        <v>0.29214032282025</v>
      </c>
      <c r="BD294" s="4">
        <v>0.454916675</v>
      </c>
      <c r="BE294">
        <v>0.17</v>
      </c>
      <c r="BF294" s="5">
        <f t="shared" si="145"/>
        <v>0.284916675</v>
      </c>
      <c r="BG294">
        <v>4</v>
      </c>
      <c r="BH294" s="3">
        <f t="shared" si="146"/>
        <v>0.07122916875</v>
      </c>
      <c r="BJ294" s="9">
        <v>12.1163332416667</v>
      </c>
      <c r="BK294">
        <v>4.8</v>
      </c>
      <c r="BL294" s="5">
        <f t="shared" si="147"/>
        <v>7.3163332416667</v>
      </c>
      <c r="BM294">
        <v>8.9</v>
      </c>
      <c r="BN294" s="3">
        <f t="shared" si="148"/>
        <v>0.822059914794011</v>
      </c>
      <c r="BP294" s="9">
        <v>0.266575</v>
      </c>
      <c r="BQ294">
        <v>0.09</v>
      </c>
      <c r="BR294" s="5">
        <f t="shared" si="149"/>
        <v>0.176575</v>
      </c>
      <c r="BS294">
        <v>0.43</v>
      </c>
      <c r="BT294" s="3">
        <f t="shared" si="150"/>
        <v>0.410639534883721</v>
      </c>
      <c r="BV294" s="4">
        <v>7.0289333125</v>
      </c>
      <c r="BW294">
        <v>6.18</v>
      </c>
      <c r="BX294" s="5">
        <f t="shared" si="151"/>
        <v>0.848933312500001</v>
      </c>
      <c r="BY294">
        <v>1.68</v>
      </c>
      <c r="BZ294" s="3">
        <f t="shared" si="152"/>
        <v>0.505317447916667</v>
      </c>
      <c r="CB294" s="10">
        <v>75.6</v>
      </c>
      <c r="CC294">
        <v>54.3</v>
      </c>
      <c r="CD294" s="12">
        <f t="shared" si="153"/>
        <v>21.3</v>
      </c>
      <c r="CE294">
        <v>71.3</v>
      </c>
      <c r="CF294" s="3">
        <f t="shared" si="154"/>
        <v>0.298737727910238</v>
      </c>
      <c r="CH294" s="13">
        <v>38.4</v>
      </c>
      <c r="CI294">
        <v>22.6</v>
      </c>
      <c r="CJ294">
        <f t="shared" si="155"/>
        <v>15.8</v>
      </c>
      <c r="CK294">
        <v>25.1</v>
      </c>
      <c r="CL294">
        <f t="shared" si="156"/>
        <v>0.629482071713147</v>
      </c>
      <c r="CN294" s="10">
        <v>3.7</v>
      </c>
      <c r="CO294">
        <v>3</v>
      </c>
      <c r="CP294" s="12">
        <f t="shared" si="157"/>
        <v>0.7</v>
      </c>
      <c r="CQ294">
        <v>3.4</v>
      </c>
      <c r="CR294" s="3">
        <f t="shared" si="158"/>
        <v>0.205882352941177</v>
      </c>
    </row>
    <row r="295" spans="2:96">
      <c r="B295" s="1">
        <v>47852</v>
      </c>
      <c r="C295">
        <v>32416</v>
      </c>
      <c r="D295" s="2">
        <f t="shared" si="159"/>
        <v>15436</v>
      </c>
      <c r="E295">
        <v>31904</v>
      </c>
      <c r="F295" s="3">
        <f t="shared" si="128"/>
        <v>0.483826479438315</v>
      </c>
      <c r="H295" s="1">
        <v>47237</v>
      </c>
      <c r="I295">
        <v>31145</v>
      </c>
      <c r="J295" s="2">
        <f t="shared" si="129"/>
        <v>16092</v>
      </c>
      <c r="K295">
        <v>32760</v>
      </c>
      <c r="L295" s="3">
        <f t="shared" si="130"/>
        <v>0.491208791208791</v>
      </c>
      <c r="N295" s="4">
        <v>252.7233352625</v>
      </c>
      <c r="O295">
        <v>201.27</v>
      </c>
      <c r="P295" s="5">
        <f t="shared" si="131"/>
        <v>51.4533352625</v>
      </c>
      <c r="Q295">
        <v>79.69</v>
      </c>
      <c r="R295" s="3">
        <f t="shared" si="132"/>
        <v>0.645668656826452</v>
      </c>
      <c r="T295" s="4">
        <v>181.654167333333</v>
      </c>
      <c r="U295">
        <v>100.23</v>
      </c>
      <c r="V295" s="5">
        <f t="shared" si="133"/>
        <v>81.424167333333</v>
      </c>
      <c r="W295">
        <v>410.93</v>
      </c>
      <c r="X295" s="3">
        <f t="shared" si="134"/>
        <v>0.198146076785177</v>
      </c>
      <c r="Z295" s="4">
        <v>40.3708332333333</v>
      </c>
      <c r="AA295">
        <v>13.25</v>
      </c>
      <c r="AB295" s="5">
        <f t="shared" si="135"/>
        <v>27.1208332333333</v>
      </c>
      <c r="AC295">
        <v>33.93</v>
      </c>
      <c r="AD295" s="3">
        <f t="shared" si="136"/>
        <v>0.799317218783769</v>
      </c>
      <c r="AF295" s="4">
        <v>3.35</v>
      </c>
      <c r="AG295">
        <v>2.09</v>
      </c>
      <c r="AH295" s="5">
        <f t="shared" si="137"/>
        <v>1.26</v>
      </c>
      <c r="AI295">
        <v>3.85</v>
      </c>
      <c r="AJ295" s="3">
        <f t="shared" si="138"/>
        <v>0.327272727272727</v>
      </c>
      <c r="AL295" s="13">
        <v>7.39</v>
      </c>
      <c r="AM295">
        <v>6.1</v>
      </c>
      <c r="AN295" s="5">
        <f t="shared" si="139"/>
        <v>1.29</v>
      </c>
      <c r="AO295">
        <v>1.89</v>
      </c>
      <c r="AP295" s="3">
        <f t="shared" si="140"/>
        <v>0.682539682539683</v>
      </c>
      <c r="AR295" s="4">
        <v>2.09</v>
      </c>
      <c r="AS295">
        <v>0.02</v>
      </c>
      <c r="AT295" s="5">
        <f t="shared" si="141"/>
        <v>2.07</v>
      </c>
      <c r="AU295">
        <v>2.84</v>
      </c>
      <c r="AV295" s="3">
        <f t="shared" si="142"/>
        <v>0.72887323943662</v>
      </c>
      <c r="AX295" s="4">
        <v>12.1974665708333</v>
      </c>
      <c r="AY295">
        <v>3.44</v>
      </c>
      <c r="AZ295" s="5">
        <f t="shared" si="143"/>
        <v>8.7574665708333</v>
      </c>
      <c r="BA295">
        <v>29.17</v>
      </c>
      <c r="BB295" s="3">
        <f t="shared" si="144"/>
        <v>0.300221685664494</v>
      </c>
      <c r="BD295" s="4">
        <v>0.930166658333333</v>
      </c>
      <c r="BE295">
        <v>0.17</v>
      </c>
      <c r="BF295" s="5">
        <f t="shared" si="145"/>
        <v>0.760166658333333</v>
      </c>
      <c r="BG295">
        <v>4</v>
      </c>
      <c r="BH295" s="3">
        <f t="shared" si="146"/>
        <v>0.190041664583333</v>
      </c>
      <c r="BJ295" s="9">
        <v>11.8166666833333</v>
      </c>
      <c r="BK295">
        <v>4.8</v>
      </c>
      <c r="BL295" s="5">
        <f t="shared" si="147"/>
        <v>7.0166666833333</v>
      </c>
      <c r="BM295">
        <v>8.9</v>
      </c>
      <c r="BN295" s="3">
        <f t="shared" si="148"/>
        <v>0.78838951498127</v>
      </c>
      <c r="BP295" s="9">
        <v>0.2803</v>
      </c>
      <c r="BQ295">
        <v>0.09</v>
      </c>
      <c r="BR295" s="5">
        <f t="shared" si="149"/>
        <v>0.1903</v>
      </c>
      <c r="BS295">
        <v>0.43</v>
      </c>
      <c r="BT295" s="3">
        <f t="shared" si="150"/>
        <v>0.442558139534884</v>
      </c>
      <c r="BV295" s="4">
        <v>6.9538583375</v>
      </c>
      <c r="BW295">
        <v>6.18</v>
      </c>
      <c r="BX295" s="5">
        <f t="shared" si="151"/>
        <v>0.7738583375</v>
      </c>
      <c r="BY295">
        <v>1.68</v>
      </c>
      <c r="BZ295" s="3">
        <f t="shared" si="152"/>
        <v>0.460629962797619</v>
      </c>
      <c r="CB295" s="10">
        <v>79.3</v>
      </c>
      <c r="CC295">
        <v>54.3</v>
      </c>
      <c r="CD295" s="12">
        <f t="shared" si="153"/>
        <v>25</v>
      </c>
      <c r="CE295">
        <v>71.3</v>
      </c>
      <c r="CF295" s="3">
        <f t="shared" si="154"/>
        <v>0.350631136044881</v>
      </c>
      <c r="CH295" s="13">
        <v>41.3</v>
      </c>
      <c r="CI295">
        <v>22.6</v>
      </c>
      <c r="CJ295">
        <f t="shared" si="155"/>
        <v>18.7</v>
      </c>
      <c r="CK295">
        <v>25.1</v>
      </c>
      <c r="CL295">
        <f t="shared" si="156"/>
        <v>0.745019920318725</v>
      </c>
      <c r="CN295" s="10">
        <v>3.2</v>
      </c>
      <c r="CO295">
        <v>3</v>
      </c>
      <c r="CP295" s="12">
        <f t="shared" si="157"/>
        <v>0.2</v>
      </c>
      <c r="CQ295">
        <v>3.4</v>
      </c>
      <c r="CR295" s="3">
        <f t="shared" si="158"/>
        <v>0.0588235294117648</v>
      </c>
    </row>
    <row r="296" spans="2:96">
      <c r="B296" s="1">
        <v>50934</v>
      </c>
      <c r="C296">
        <v>32416</v>
      </c>
      <c r="D296" s="2">
        <f t="shared" si="159"/>
        <v>18518</v>
      </c>
      <c r="E296">
        <v>31904</v>
      </c>
      <c r="F296" s="3">
        <f t="shared" si="128"/>
        <v>0.580428786359077</v>
      </c>
      <c r="H296" s="1">
        <v>50573</v>
      </c>
      <c r="I296">
        <v>31145</v>
      </c>
      <c r="J296" s="2">
        <f t="shared" si="129"/>
        <v>19428</v>
      </c>
      <c r="K296">
        <v>32760</v>
      </c>
      <c r="L296" s="3">
        <f t="shared" si="130"/>
        <v>0.593040293040293</v>
      </c>
      <c r="N296" s="4">
        <v>250.376663841667</v>
      </c>
      <c r="O296">
        <v>201.27</v>
      </c>
      <c r="P296" s="5">
        <f t="shared" si="131"/>
        <v>49.106663841667</v>
      </c>
      <c r="Q296">
        <v>79.69</v>
      </c>
      <c r="R296" s="3">
        <f t="shared" si="132"/>
        <v>0.616221154996449</v>
      </c>
      <c r="T296" s="4">
        <v>163.637499495833</v>
      </c>
      <c r="U296">
        <v>100.23</v>
      </c>
      <c r="V296" s="5">
        <f t="shared" si="133"/>
        <v>63.407499495833</v>
      </c>
      <c r="W296">
        <v>410.93</v>
      </c>
      <c r="X296" s="3">
        <f t="shared" si="134"/>
        <v>0.154302434711102</v>
      </c>
      <c r="Z296" s="4">
        <v>42.8466661791667</v>
      </c>
      <c r="AA296">
        <v>13.25</v>
      </c>
      <c r="AB296" s="5">
        <f t="shared" si="135"/>
        <v>29.5966661791667</v>
      </c>
      <c r="AC296">
        <v>33.93</v>
      </c>
      <c r="AD296" s="3">
        <f t="shared" si="136"/>
        <v>0.872286064814816</v>
      </c>
      <c r="AF296" s="4">
        <v>4.14</v>
      </c>
      <c r="AG296">
        <v>2.09</v>
      </c>
      <c r="AH296" s="5">
        <f t="shared" si="137"/>
        <v>2.05</v>
      </c>
      <c r="AI296">
        <v>3.85</v>
      </c>
      <c r="AJ296" s="3">
        <f t="shared" si="138"/>
        <v>0.532467532467532</v>
      </c>
      <c r="AL296" s="13">
        <v>7.59</v>
      </c>
      <c r="AM296">
        <v>6.1</v>
      </c>
      <c r="AN296" s="5">
        <f t="shared" si="139"/>
        <v>1.49</v>
      </c>
      <c r="AO296">
        <v>1.89</v>
      </c>
      <c r="AP296" s="3">
        <f t="shared" si="140"/>
        <v>0.788359788359788</v>
      </c>
      <c r="AR296" s="4">
        <v>1.04</v>
      </c>
      <c r="AS296">
        <v>0.02</v>
      </c>
      <c r="AT296" s="5">
        <f t="shared" si="141"/>
        <v>1.02</v>
      </c>
      <c r="AU296">
        <v>2.84</v>
      </c>
      <c r="AV296" s="3">
        <f t="shared" si="142"/>
        <v>0.359154929577465</v>
      </c>
      <c r="AX296" s="4">
        <v>13.4255333375</v>
      </c>
      <c r="AY296">
        <v>3.44</v>
      </c>
      <c r="AZ296" s="5">
        <f t="shared" si="143"/>
        <v>9.9855333375</v>
      </c>
      <c r="BA296">
        <v>29.17</v>
      </c>
      <c r="BB296" s="3">
        <f t="shared" si="144"/>
        <v>0.342322020483373</v>
      </c>
      <c r="BD296" s="4">
        <v>1.041333325</v>
      </c>
      <c r="BE296">
        <v>0.17</v>
      </c>
      <c r="BF296" s="5">
        <f t="shared" si="145"/>
        <v>0.871333325</v>
      </c>
      <c r="BG296">
        <v>4</v>
      </c>
      <c r="BH296" s="3">
        <f t="shared" si="146"/>
        <v>0.21783333125</v>
      </c>
      <c r="BJ296" s="9">
        <v>10.1665000458333</v>
      </c>
      <c r="BK296">
        <v>4.8</v>
      </c>
      <c r="BL296" s="5">
        <f t="shared" si="147"/>
        <v>5.3665000458333</v>
      </c>
      <c r="BM296">
        <v>8.9</v>
      </c>
      <c r="BN296" s="3">
        <f t="shared" si="148"/>
        <v>0.602977533239697</v>
      </c>
      <c r="BP296" s="9">
        <v>0.277975</v>
      </c>
      <c r="BQ296">
        <v>0.09</v>
      </c>
      <c r="BR296" s="5">
        <f t="shared" si="149"/>
        <v>0.187975</v>
      </c>
      <c r="BS296">
        <v>0.43</v>
      </c>
      <c r="BT296" s="3">
        <f t="shared" si="150"/>
        <v>0.437151162790698</v>
      </c>
      <c r="BV296" s="4">
        <v>6.9409084125</v>
      </c>
      <c r="BW296">
        <v>6.18</v>
      </c>
      <c r="BX296" s="5">
        <f t="shared" si="151"/>
        <v>0.7609084125</v>
      </c>
      <c r="BY296">
        <v>1.68</v>
      </c>
      <c r="BZ296" s="3">
        <f t="shared" si="152"/>
        <v>0.452921674107143</v>
      </c>
      <c r="CB296" s="10">
        <v>80.2</v>
      </c>
      <c r="CC296">
        <v>54.3</v>
      </c>
      <c r="CD296" s="12">
        <f t="shared" si="153"/>
        <v>25.9</v>
      </c>
      <c r="CE296">
        <v>71.3</v>
      </c>
      <c r="CF296" s="3">
        <f t="shared" si="154"/>
        <v>0.363253856942497</v>
      </c>
      <c r="CH296" s="13">
        <v>42.2</v>
      </c>
      <c r="CI296">
        <v>22.6</v>
      </c>
      <c r="CJ296">
        <f t="shared" si="155"/>
        <v>19.6</v>
      </c>
      <c r="CK296">
        <v>25.1</v>
      </c>
      <c r="CL296">
        <f t="shared" si="156"/>
        <v>0.780876494023904</v>
      </c>
      <c r="CN296" s="10">
        <v>3.6</v>
      </c>
      <c r="CO296">
        <v>3</v>
      </c>
      <c r="CP296" s="12">
        <f t="shared" si="157"/>
        <v>0.6</v>
      </c>
      <c r="CQ296">
        <v>3.4</v>
      </c>
      <c r="CR296" s="3">
        <f t="shared" si="158"/>
        <v>0.176470588235294</v>
      </c>
    </row>
    <row r="297" spans="2:96">
      <c r="B297" s="1">
        <v>53146</v>
      </c>
      <c r="C297">
        <v>32416</v>
      </c>
      <c r="D297" s="2">
        <f t="shared" si="159"/>
        <v>20730</v>
      </c>
      <c r="E297">
        <v>31904</v>
      </c>
      <c r="F297" s="3">
        <f t="shared" si="128"/>
        <v>0.649761785356068</v>
      </c>
      <c r="H297" s="1">
        <v>52342</v>
      </c>
      <c r="I297">
        <v>31145</v>
      </c>
      <c r="J297" s="2">
        <f t="shared" si="129"/>
        <v>21197</v>
      </c>
      <c r="K297">
        <v>32760</v>
      </c>
      <c r="L297" s="3">
        <f t="shared" si="130"/>
        <v>0.647039072039072</v>
      </c>
      <c r="N297" s="4">
        <v>249.523337041667</v>
      </c>
      <c r="O297">
        <v>201.27</v>
      </c>
      <c r="P297" s="5">
        <f t="shared" si="131"/>
        <v>48.253337041667</v>
      </c>
      <c r="Q297">
        <v>79.69</v>
      </c>
      <c r="R297" s="3">
        <f t="shared" si="132"/>
        <v>0.605513076191078</v>
      </c>
      <c r="T297" s="4">
        <v>159.637499979166</v>
      </c>
      <c r="U297">
        <v>100.23</v>
      </c>
      <c r="V297" s="5">
        <f t="shared" si="133"/>
        <v>59.407499979166</v>
      </c>
      <c r="W297">
        <v>410.93</v>
      </c>
      <c r="X297" s="3">
        <f t="shared" si="134"/>
        <v>0.144568417928032</v>
      </c>
      <c r="Z297" s="4">
        <v>43.8925000833333</v>
      </c>
      <c r="AA297">
        <v>13.25</v>
      </c>
      <c r="AB297" s="5">
        <f t="shared" si="135"/>
        <v>30.6425000833333</v>
      </c>
      <c r="AC297">
        <v>33.93</v>
      </c>
      <c r="AD297" s="3">
        <f t="shared" si="136"/>
        <v>0.903109345220551</v>
      </c>
      <c r="AF297" s="4">
        <v>3.98</v>
      </c>
      <c r="AG297">
        <v>2.09</v>
      </c>
      <c r="AH297" s="5">
        <f t="shared" si="137"/>
        <v>1.89</v>
      </c>
      <c r="AI297">
        <v>3.85</v>
      </c>
      <c r="AJ297" s="3">
        <f t="shared" si="138"/>
        <v>0.490909090909091</v>
      </c>
      <c r="AL297" s="13">
        <v>7.59</v>
      </c>
      <c r="AM297">
        <v>6.1</v>
      </c>
      <c r="AN297" s="5">
        <f t="shared" si="139"/>
        <v>1.49</v>
      </c>
      <c r="AO297">
        <v>1.89</v>
      </c>
      <c r="AP297" s="3">
        <f t="shared" si="140"/>
        <v>0.788359788359788</v>
      </c>
      <c r="AR297" s="4">
        <v>1.72</v>
      </c>
      <c r="AS297">
        <v>0.02</v>
      </c>
      <c r="AT297" s="5">
        <f t="shared" si="141"/>
        <v>1.7</v>
      </c>
      <c r="AU297">
        <v>2.84</v>
      </c>
      <c r="AV297" s="3">
        <f t="shared" si="142"/>
        <v>0.598591549295775</v>
      </c>
      <c r="AX297" s="4">
        <v>11.9140666333333</v>
      </c>
      <c r="AY297">
        <v>3.44</v>
      </c>
      <c r="AZ297" s="5">
        <f t="shared" si="143"/>
        <v>8.4740666333333</v>
      </c>
      <c r="BA297">
        <v>29.17</v>
      </c>
      <c r="BB297" s="3">
        <f t="shared" si="144"/>
        <v>0.290506226716946</v>
      </c>
      <c r="BD297" s="4">
        <v>0.633000008333333</v>
      </c>
      <c r="BE297">
        <v>0.17</v>
      </c>
      <c r="BF297" s="5">
        <f t="shared" si="145"/>
        <v>0.463000008333333</v>
      </c>
      <c r="BG297">
        <v>4</v>
      </c>
      <c r="BH297" s="3">
        <f t="shared" si="146"/>
        <v>0.115750002083333</v>
      </c>
      <c r="BJ297" s="9">
        <v>12.4421666458333</v>
      </c>
      <c r="BK297">
        <v>4.8</v>
      </c>
      <c r="BL297" s="5">
        <f t="shared" si="147"/>
        <v>7.6421666458333</v>
      </c>
      <c r="BM297">
        <v>8.9</v>
      </c>
      <c r="BN297" s="3">
        <f t="shared" si="148"/>
        <v>0.858670409644191</v>
      </c>
      <c r="BP297" s="9">
        <v>0.294783333333333</v>
      </c>
      <c r="BQ297">
        <v>0.09</v>
      </c>
      <c r="BR297" s="5">
        <f t="shared" si="149"/>
        <v>0.204783333333333</v>
      </c>
      <c r="BS297">
        <v>0.43</v>
      </c>
      <c r="BT297" s="3">
        <f t="shared" si="150"/>
        <v>0.476240310077519</v>
      </c>
      <c r="BV297" s="4">
        <v>6.9211916875</v>
      </c>
      <c r="BW297">
        <v>6.18</v>
      </c>
      <c r="BX297" s="5">
        <f t="shared" si="151"/>
        <v>0.741191687500001</v>
      </c>
      <c r="BY297">
        <v>1.68</v>
      </c>
      <c r="BZ297" s="3">
        <f t="shared" si="152"/>
        <v>0.44118552827381</v>
      </c>
      <c r="CB297" s="10">
        <v>83.1</v>
      </c>
      <c r="CC297">
        <v>54.3</v>
      </c>
      <c r="CD297" s="12">
        <f t="shared" si="153"/>
        <v>28.8</v>
      </c>
      <c r="CE297">
        <v>71.3</v>
      </c>
      <c r="CF297" s="3">
        <f t="shared" si="154"/>
        <v>0.403927068723703</v>
      </c>
      <c r="CH297" s="13">
        <v>43.7</v>
      </c>
      <c r="CI297">
        <v>22.6</v>
      </c>
      <c r="CJ297">
        <f t="shared" si="155"/>
        <v>21.1</v>
      </c>
      <c r="CK297">
        <v>25.1</v>
      </c>
      <c r="CL297">
        <f t="shared" si="156"/>
        <v>0.840637450199203</v>
      </c>
      <c r="CN297" s="10">
        <v>3.8</v>
      </c>
      <c r="CO297">
        <v>3</v>
      </c>
      <c r="CP297" s="12">
        <f t="shared" si="157"/>
        <v>0.8</v>
      </c>
      <c r="CQ297">
        <v>3.4</v>
      </c>
      <c r="CR297" s="3">
        <f t="shared" si="158"/>
        <v>0.235294117647059</v>
      </c>
    </row>
    <row r="298" spans="2:96">
      <c r="B298" s="1">
        <v>50615</v>
      </c>
      <c r="C298">
        <v>32416</v>
      </c>
      <c r="D298" s="2">
        <f t="shared" si="159"/>
        <v>18199</v>
      </c>
      <c r="E298">
        <v>31904</v>
      </c>
      <c r="F298" s="3">
        <f t="shared" si="128"/>
        <v>0.570430040120361</v>
      </c>
      <c r="H298" s="1">
        <v>50333</v>
      </c>
      <c r="I298">
        <v>31145</v>
      </c>
      <c r="J298" s="2">
        <f t="shared" si="129"/>
        <v>19188</v>
      </c>
      <c r="K298">
        <v>32760</v>
      </c>
      <c r="L298" s="3">
        <f t="shared" si="130"/>
        <v>0.585714285714286</v>
      </c>
      <c r="N298" s="4">
        <v>231.453337345833</v>
      </c>
      <c r="O298">
        <v>201.27</v>
      </c>
      <c r="P298" s="5">
        <f t="shared" si="131"/>
        <v>30.183337345833</v>
      </c>
      <c r="Q298">
        <v>79.69</v>
      </c>
      <c r="R298" s="3">
        <f t="shared" si="132"/>
        <v>0.37875940953486</v>
      </c>
      <c r="T298" s="4">
        <v>157.8916665625</v>
      </c>
      <c r="U298">
        <v>100.23</v>
      </c>
      <c r="V298" s="5">
        <f t="shared" si="133"/>
        <v>57.6616665625</v>
      </c>
      <c r="W298">
        <v>410.93</v>
      </c>
      <c r="X298" s="3">
        <f t="shared" si="134"/>
        <v>0.140319924470104</v>
      </c>
      <c r="Z298" s="4">
        <v>41.8275001958333</v>
      </c>
      <c r="AA298">
        <v>13.25</v>
      </c>
      <c r="AB298" s="5">
        <f t="shared" si="135"/>
        <v>28.5775001958333</v>
      </c>
      <c r="AC298">
        <v>33.93</v>
      </c>
      <c r="AD298" s="3">
        <f t="shared" si="136"/>
        <v>0.842248753192847</v>
      </c>
      <c r="AF298" s="4">
        <v>4.85</v>
      </c>
      <c r="AG298">
        <v>2.09</v>
      </c>
      <c r="AH298" s="5">
        <f t="shared" si="137"/>
        <v>2.76</v>
      </c>
      <c r="AI298">
        <v>3.85</v>
      </c>
      <c r="AJ298" s="3">
        <f t="shared" si="138"/>
        <v>0.716883116883117</v>
      </c>
      <c r="AL298" s="13">
        <v>7.23</v>
      </c>
      <c r="AM298">
        <v>6.1</v>
      </c>
      <c r="AN298" s="5">
        <f t="shared" si="139"/>
        <v>1.13</v>
      </c>
      <c r="AO298">
        <v>1.89</v>
      </c>
      <c r="AP298" s="3">
        <f t="shared" si="140"/>
        <v>0.597883597883598</v>
      </c>
      <c r="AR298" s="4">
        <v>1.3</v>
      </c>
      <c r="AS298">
        <v>0.02</v>
      </c>
      <c r="AT298" s="5">
        <f t="shared" si="141"/>
        <v>1.28</v>
      </c>
      <c r="AU298">
        <v>2.84</v>
      </c>
      <c r="AV298" s="3">
        <f t="shared" si="142"/>
        <v>0.450704225352113</v>
      </c>
      <c r="AX298" s="4">
        <v>11.3247334625</v>
      </c>
      <c r="AY298">
        <v>3.44</v>
      </c>
      <c r="AZ298" s="5">
        <f t="shared" si="143"/>
        <v>7.8847334625</v>
      </c>
      <c r="BA298">
        <v>29.17</v>
      </c>
      <c r="BB298" s="3">
        <f t="shared" si="144"/>
        <v>0.270302826962633</v>
      </c>
      <c r="BD298" s="4">
        <v>0.562</v>
      </c>
      <c r="BE298">
        <v>0.17</v>
      </c>
      <c r="BF298" s="5">
        <f t="shared" si="145"/>
        <v>0.392</v>
      </c>
      <c r="BG298">
        <v>4</v>
      </c>
      <c r="BH298" s="3">
        <f t="shared" si="146"/>
        <v>0.098</v>
      </c>
      <c r="BJ298" s="9">
        <v>11.5857499875</v>
      </c>
      <c r="BK298">
        <v>4.8</v>
      </c>
      <c r="BL298" s="5">
        <f t="shared" si="147"/>
        <v>6.7857499875</v>
      </c>
      <c r="BM298">
        <v>8.9</v>
      </c>
      <c r="BN298" s="3">
        <f t="shared" si="148"/>
        <v>0.762443818820225</v>
      </c>
      <c r="BP298" s="9">
        <v>0.298741666666667</v>
      </c>
      <c r="BQ298">
        <v>0.09</v>
      </c>
      <c r="BR298" s="5">
        <f t="shared" si="149"/>
        <v>0.208741666666667</v>
      </c>
      <c r="BS298">
        <v>0.43</v>
      </c>
      <c r="BT298" s="3">
        <f t="shared" si="150"/>
        <v>0.485445736434109</v>
      </c>
      <c r="BV298" s="4">
        <v>6.87814160833333</v>
      </c>
      <c r="BW298">
        <v>6.18</v>
      </c>
      <c r="BX298" s="5">
        <f t="shared" si="151"/>
        <v>0.69814160833333</v>
      </c>
      <c r="BY298">
        <v>1.68</v>
      </c>
      <c r="BZ298" s="3">
        <f t="shared" si="152"/>
        <v>0.415560481150792</v>
      </c>
      <c r="CB298" s="10">
        <v>79.4</v>
      </c>
      <c r="CC298">
        <v>54.3</v>
      </c>
      <c r="CD298" s="12">
        <f t="shared" si="153"/>
        <v>25.1</v>
      </c>
      <c r="CE298">
        <v>71.3</v>
      </c>
      <c r="CF298" s="3">
        <f t="shared" si="154"/>
        <v>0.35203366058906</v>
      </c>
      <c r="CH298" s="13">
        <v>44.9</v>
      </c>
      <c r="CI298">
        <v>22.6</v>
      </c>
      <c r="CJ298">
        <f t="shared" si="155"/>
        <v>22.3</v>
      </c>
      <c r="CK298">
        <v>25.1</v>
      </c>
      <c r="CL298">
        <f t="shared" si="156"/>
        <v>0.888446215139442</v>
      </c>
      <c r="CN298" s="10">
        <v>3.9</v>
      </c>
      <c r="CO298">
        <v>3</v>
      </c>
      <c r="CP298" s="12">
        <f t="shared" si="157"/>
        <v>0.9</v>
      </c>
      <c r="CQ298">
        <v>3.4</v>
      </c>
      <c r="CR298" s="3">
        <f t="shared" si="158"/>
        <v>0.264705882352941</v>
      </c>
    </row>
    <row r="299" spans="2:96">
      <c r="B299" s="1">
        <v>46547</v>
      </c>
      <c r="C299">
        <v>32416</v>
      </c>
      <c r="D299" s="2">
        <f t="shared" si="159"/>
        <v>14131</v>
      </c>
      <c r="E299">
        <v>31904</v>
      </c>
      <c r="F299" s="3">
        <f t="shared" si="128"/>
        <v>0.442922517552658</v>
      </c>
      <c r="H299" s="1">
        <v>46234</v>
      </c>
      <c r="I299">
        <v>31145</v>
      </c>
      <c r="J299" s="2">
        <f t="shared" si="129"/>
        <v>15089</v>
      </c>
      <c r="K299">
        <v>32760</v>
      </c>
      <c r="L299" s="3">
        <f t="shared" si="130"/>
        <v>0.460592185592186</v>
      </c>
      <c r="N299" s="4">
        <v>251.676670070833</v>
      </c>
      <c r="O299">
        <v>201.27</v>
      </c>
      <c r="P299" s="5">
        <f t="shared" si="131"/>
        <v>50.406670070833</v>
      </c>
      <c r="Q299">
        <v>79.69</v>
      </c>
      <c r="R299" s="3">
        <f t="shared" si="132"/>
        <v>0.632534446867022</v>
      </c>
      <c r="T299" s="4">
        <v>159.133333520833</v>
      </c>
      <c r="U299">
        <v>100.23</v>
      </c>
      <c r="V299" s="5">
        <f t="shared" si="133"/>
        <v>58.903333520833</v>
      </c>
      <c r="W299">
        <v>410.93</v>
      </c>
      <c r="X299" s="3">
        <f t="shared" si="134"/>
        <v>0.143341526588064</v>
      </c>
      <c r="Z299" s="4">
        <v>42.9795832625</v>
      </c>
      <c r="AA299">
        <v>13.25</v>
      </c>
      <c r="AB299" s="5">
        <f t="shared" si="135"/>
        <v>29.7295832625</v>
      </c>
      <c r="AC299">
        <v>33.93</v>
      </c>
      <c r="AD299" s="3">
        <f t="shared" si="136"/>
        <v>0.876203456012378</v>
      </c>
      <c r="AF299" s="4">
        <v>4.18</v>
      </c>
      <c r="AG299">
        <v>2.09</v>
      </c>
      <c r="AH299" s="5">
        <f t="shared" si="137"/>
        <v>2.09</v>
      </c>
      <c r="AI299">
        <v>3.85</v>
      </c>
      <c r="AJ299" s="3">
        <f t="shared" si="138"/>
        <v>0.542857142857143</v>
      </c>
      <c r="AL299" s="13">
        <v>7.31</v>
      </c>
      <c r="AM299">
        <v>6.1</v>
      </c>
      <c r="AN299" s="5">
        <f t="shared" si="139"/>
        <v>1.21</v>
      </c>
      <c r="AO299">
        <v>1.89</v>
      </c>
      <c r="AP299" s="3">
        <f t="shared" si="140"/>
        <v>0.64021164021164</v>
      </c>
      <c r="AR299" s="4">
        <v>2.09</v>
      </c>
      <c r="AS299">
        <v>0.02</v>
      </c>
      <c r="AT299" s="5">
        <f t="shared" si="141"/>
        <v>2.07</v>
      </c>
      <c r="AU299">
        <v>2.84</v>
      </c>
      <c r="AV299" s="3">
        <f t="shared" si="142"/>
        <v>0.72887323943662</v>
      </c>
      <c r="AX299" s="4">
        <v>12.3473999208333</v>
      </c>
      <c r="AY299">
        <v>3.44</v>
      </c>
      <c r="AZ299" s="5">
        <f t="shared" si="143"/>
        <v>8.9073999208333</v>
      </c>
      <c r="BA299">
        <v>29.17</v>
      </c>
      <c r="BB299" s="3">
        <f t="shared" si="144"/>
        <v>0.305361670237686</v>
      </c>
      <c r="BD299" s="4">
        <v>0.553916670833334</v>
      </c>
      <c r="BE299">
        <v>0.17</v>
      </c>
      <c r="BF299" s="5">
        <f t="shared" si="145"/>
        <v>0.383916670833334</v>
      </c>
      <c r="BG299">
        <v>4</v>
      </c>
      <c r="BH299" s="3">
        <f t="shared" si="146"/>
        <v>0.0959791677083335</v>
      </c>
      <c r="BJ299" s="9">
        <v>11.4550832875</v>
      </c>
      <c r="BK299">
        <v>4.8</v>
      </c>
      <c r="BL299" s="5">
        <f t="shared" si="147"/>
        <v>6.6550832875</v>
      </c>
      <c r="BM299">
        <v>8.9</v>
      </c>
      <c r="BN299" s="3">
        <f t="shared" si="148"/>
        <v>0.747762167134832</v>
      </c>
      <c r="BP299" s="9">
        <v>0.291066666666667</v>
      </c>
      <c r="BQ299">
        <v>0.09</v>
      </c>
      <c r="BR299" s="5">
        <f t="shared" si="149"/>
        <v>0.201066666666667</v>
      </c>
      <c r="BS299">
        <v>0.43</v>
      </c>
      <c r="BT299" s="3">
        <f t="shared" si="150"/>
        <v>0.467596899224807</v>
      </c>
      <c r="BV299" s="4">
        <v>6.88391665416667</v>
      </c>
      <c r="BW299">
        <v>6.18</v>
      </c>
      <c r="BX299" s="5">
        <f t="shared" si="151"/>
        <v>0.703916654166671</v>
      </c>
      <c r="BY299">
        <v>1.68</v>
      </c>
      <c r="BZ299" s="3">
        <f t="shared" si="152"/>
        <v>0.418998008432542</v>
      </c>
      <c r="CB299" s="10">
        <v>77.2</v>
      </c>
      <c r="CC299">
        <v>54.3</v>
      </c>
      <c r="CD299" s="12">
        <f t="shared" si="153"/>
        <v>22.9</v>
      </c>
      <c r="CE299">
        <v>71.3</v>
      </c>
      <c r="CF299" s="3">
        <f t="shared" si="154"/>
        <v>0.321178120617111</v>
      </c>
      <c r="CH299" s="13">
        <v>42.4</v>
      </c>
      <c r="CI299">
        <v>22.6</v>
      </c>
      <c r="CJ299">
        <f t="shared" si="155"/>
        <v>19.8</v>
      </c>
      <c r="CK299">
        <v>25.1</v>
      </c>
      <c r="CL299">
        <f t="shared" si="156"/>
        <v>0.788844621513944</v>
      </c>
      <c r="CN299" s="10">
        <v>4.2</v>
      </c>
      <c r="CO299">
        <v>3</v>
      </c>
      <c r="CP299" s="12">
        <f t="shared" si="157"/>
        <v>1.2</v>
      </c>
      <c r="CQ299">
        <v>3.4</v>
      </c>
      <c r="CR299" s="3">
        <f t="shared" si="158"/>
        <v>0.352941176470588</v>
      </c>
    </row>
    <row r="300" spans="2:96">
      <c r="B300" s="1">
        <v>44352</v>
      </c>
      <c r="C300">
        <v>32416</v>
      </c>
      <c r="D300" s="2">
        <f t="shared" si="159"/>
        <v>11936</v>
      </c>
      <c r="E300">
        <v>31904</v>
      </c>
      <c r="F300" s="3">
        <f t="shared" si="128"/>
        <v>0.374122367101304</v>
      </c>
      <c r="H300" s="1">
        <v>43932</v>
      </c>
      <c r="I300">
        <v>31145</v>
      </c>
      <c r="J300" s="2">
        <f t="shared" si="129"/>
        <v>12787</v>
      </c>
      <c r="K300">
        <v>32760</v>
      </c>
      <c r="L300" s="3">
        <f t="shared" si="130"/>
        <v>0.390323565323565</v>
      </c>
      <c r="N300" s="4">
        <v>250.653337466667</v>
      </c>
      <c r="O300">
        <v>201.27</v>
      </c>
      <c r="P300" s="5">
        <f t="shared" si="131"/>
        <v>49.383337466667</v>
      </c>
      <c r="Q300">
        <v>79.69</v>
      </c>
      <c r="R300" s="3">
        <f t="shared" si="132"/>
        <v>0.619693028820015</v>
      </c>
      <c r="T300" s="4">
        <v>158.520833333333</v>
      </c>
      <c r="U300">
        <v>100.23</v>
      </c>
      <c r="V300" s="5">
        <f t="shared" si="133"/>
        <v>58.290833333333</v>
      </c>
      <c r="W300">
        <v>410.93</v>
      </c>
      <c r="X300" s="3">
        <f t="shared" si="134"/>
        <v>0.141851004631769</v>
      </c>
      <c r="Z300" s="4">
        <v>43.7116661125</v>
      </c>
      <c r="AA300">
        <v>13.25</v>
      </c>
      <c r="AB300" s="5">
        <f t="shared" si="135"/>
        <v>30.4616661125</v>
      </c>
      <c r="AC300">
        <v>33.93</v>
      </c>
      <c r="AD300" s="3">
        <f t="shared" si="136"/>
        <v>0.897779726274683</v>
      </c>
      <c r="AF300" s="4">
        <v>3.33</v>
      </c>
      <c r="AG300">
        <v>2.09</v>
      </c>
      <c r="AH300" s="5">
        <f t="shared" si="137"/>
        <v>1.24</v>
      </c>
      <c r="AI300">
        <v>3.85</v>
      </c>
      <c r="AJ300" s="3">
        <f t="shared" si="138"/>
        <v>0.322077922077922</v>
      </c>
      <c r="AL300" s="13">
        <v>7.11</v>
      </c>
      <c r="AM300">
        <v>6.1</v>
      </c>
      <c r="AN300" s="5">
        <f t="shared" si="139"/>
        <v>1.01</v>
      </c>
      <c r="AO300">
        <v>1.89</v>
      </c>
      <c r="AP300" s="3">
        <f t="shared" si="140"/>
        <v>0.534391534391535</v>
      </c>
      <c r="AR300" s="4">
        <v>1.75</v>
      </c>
      <c r="AS300">
        <v>0.02</v>
      </c>
      <c r="AT300" s="5">
        <f t="shared" si="141"/>
        <v>1.73</v>
      </c>
      <c r="AU300">
        <v>2.84</v>
      </c>
      <c r="AV300" s="3">
        <f t="shared" si="142"/>
        <v>0.609154929577465</v>
      </c>
      <c r="AX300" s="4">
        <v>12.8292668291667</v>
      </c>
      <c r="AY300">
        <v>3.44</v>
      </c>
      <c r="AZ300" s="5">
        <f t="shared" si="143"/>
        <v>9.3892668291667</v>
      </c>
      <c r="BA300">
        <v>29.17</v>
      </c>
      <c r="BB300" s="3">
        <f t="shared" si="144"/>
        <v>0.321880933464748</v>
      </c>
      <c r="BD300" s="4">
        <v>0.433916666666667</v>
      </c>
      <c r="BE300">
        <v>0.17</v>
      </c>
      <c r="BF300" s="5">
        <f t="shared" si="145"/>
        <v>0.263916666666667</v>
      </c>
      <c r="BG300">
        <v>4</v>
      </c>
      <c r="BH300" s="3">
        <f t="shared" si="146"/>
        <v>0.0659791666666668</v>
      </c>
      <c r="BJ300" s="4">
        <v>11.1747500458333</v>
      </c>
      <c r="BK300">
        <v>4.8</v>
      </c>
      <c r="BL300" s="5">
        <f t="shared" si="147"/>
        <v>6.3747500458333</v>
      </c>
      <c r="BM300">
        <v>8.9</v>
      </c>
      <c r="BN300" s="3">
        <f t="shared" si="148"/>
        <v>0.716264050093629</v>
      </c>
      <c r="BP300" s="4">
        <v>0.293358333333333</v>
      </c>
      <c r="BQ300">
        <v>0.09</v>
      </c>
      <c r="BR300" s="5">
        <f t="shared" si="149"/>
        <v>0.203358333333333</v>
      </c>
      <c r="BS300">
        <v>0.43</v>
      </c>
      <c r="BT300" s="3">
        <f t="shared" si="150"/>
        <v>0.472926356589147</v>
      </c>
      <c r="BV300" s="4">
        <v>6.8098917</v>
      </c>
      <c r="BW300">
        <v>6.18</v>
      </c>
      <c r="BX300" s="5">
        <f t="shared" si="151"/>
        <v>0.6298917</v>
      </c>
      <c r="BY300">
        <v>1.68</v>
      </c>
      <c r="BZ300" s="3">
        <f t="shared" si="152"/>
        <v>0.374935535714286</v>
      </c>
      <c r="CB300" s="10">
        <v>76.6</v>
      </c>
      <c r="CC300">
        <v>54.3</v>
      </c>
      <c r="CD300" s="12">
        <f t="shared" si="153"/>
        <v>22.3</v>
      </c>
      <c r="CE300">
        <v>71.3</v>
      </c>
      <c r="CF300" s="3">
        <f t="shared" si="154"/>
        <v>0.312762973352034</v>
      </c>
      <c r="CH300" s="13">
        <v>44.5</v>
      </c>
      <c r="CI300">
        <v>22.6</v>
      </c>
      <c r="CJ300">
        <f t="shared" si="155"/>
        <v>21.9</v>
      </c>
      <c r="CK300">
        <v>25.1</v>
      </c>
      <c r="CL300">
        <f t="shared" si="156"/>
        <v>0.872509960159362</v>
      </c>
      <c r="CN300" s="10">
        <v>3.1</v>
      </c>
      <c r="CO300">
        <v>3</v>
      </c>
      <c r="CP300" s="12">
        <f t="shared" si="157"/>
        <v>0.1</v>
      </c>
      <c r="CQ300">
        <v>3.4</v>
      </c>
      <c r="CR300" s="3">
        <f t="shared" si="158"/>
        <v>0.0294117647058824</v>
      </c>
    </row>
    <row r="301" spans="2:96">
      <c r="B301" s="1">
        <v>45871</v>
      </c>
      <c r="C301">
        <v>32416</v>
      </c>
      <c r="D301" s="2">
        <f t="shared" si="159"/>
        <v>13455</v>
      </c>
      <c r="E301">
        <v>31904</v>
      </c>
      <c r="F301" s="3">
        <f t="shared" si="128"/>
        <v>0.421733951855567</v>
      </c>
      <c r="H301" s="1">
        <v>45493</v>
      </c>
      <c r="I301">
        <v>31145</v>
      </c>
      <c r="J301" s="2">
        <f t="shared" si="129"/>
        <v>14348</v>
      </c>
      <c r="K301">
        <v>32760</v>
      </c>
      <c r="L301" s="3">
        <f t="shared" si="130"/>
        <v>0.437973137973138</v>
      </c>
      <c r="N301" s="4">
        <v>252.120003379167</v>
      </c>
      <c r="O301">
        <v>201.27</v>
      </c>
      <c r="P301" s="5">
        <f t="shared" si="131"/>
        <v>50.850003379167</v>
      </c>
      <c r="Q301">
        <v>79.69</v>
      </c>
      <c r="R301" s="3">
        <f t="shared" si="132"/>
        <v>0.638097670713603</v>
      </c>
      <c r="T301" s="4">
        <v>168.079167041666</v>
      </c>
      <c r="U301">
        <v>100.23</v>
      </c>
      <c r="V301" s="5">
        <f t="shared" si="133"/>
        <v>67.849167041666</v>
      </c>
      <c r="W301">
        <v>410.93</v>
      </c>
      <c r="X301" s="3">
        <f t="shared" si="134"/>
        <v>0.165111252626155</v>
      </c>
      <c r="Z301" s="4">
        <v>29.6516666416667</v>
      </c>
      <c r="AA301">
        <v>13.25</v>
      </c>
      <c r="AB301" s="5">
        <f t="shared" si="135"/>
        <v>16.4016666416667</v>
      </c>
      <c r="AC301">
        <v>33.93</v>
      </c>
      <c r="AD301" s="3">
        <f t="shared" si="136"/>
        <v>0.483397189556932</v>
      </c>
      <c r="AF301" s="4">
        <v>3.35</v>
      </c>
      <c r="AG301">
        <v>2.09</v>
      </c>
      <c r="AH301" s="5">
        <f t="shared" si="137"/>
        <v>1.26</v>
      </c>
      <c r="AI301">
        <v>3.85</v>
      </c>
      <c r="AJ301" s="3">
        <f t="shared" si="138"/>
        <v>0.327272727272727</v>
      </c>
      <c r="AL301" s="13">
        <v>7.14</v>
      </c>
      <c r="AM301">
        <v>6.1</v>
      </c>
      <c r="AN301" s="5">
        <f t="shared" si="139"/>
        <v>1.04</v>
      </c>
      <c r="AO301">
        <v>1.89</v>
      </c>
      <c r="AP301" s="3">
        <f t="shared" si="140"/>
        <v>0.55026455026455</v>
      </c>
      <c r="AR301" s="4">
        <v>1.97</v>
      </c>
      <c r="AS301">
        <v>0.02</v>
      </c>
      <c r="AT301" s="5">
        <f t="shared" si="141"/>
        <v>1.95</v>
      </c>
      <c r="AU301">
        <v>2.84</v>
      </c>
      <c r="AV301" s="3">
        <f t="shared" si="142"/>
        <v>0.686619718309859</v>
      </c>
      <c r="AX301" s="4">
        <v>13.0112666291667</v>
      </c>
      <c r="AY301">
        <v>3.44</v>
      </c>
      <c r="AZ301" s="5">
        <f t="shared" si="143"/>
        <v>9.5712666291667</v>
      </c>
      <c r="BA301">
        <v>29.17</v>
      </c>
      <c r="BB301" s="3">
        <f t="shared" si="144"/>
        <v>0.328120213547024</v>
      </c>
      <c r="BD301" s="4">
        <v>0.633750004166667</v>
      </c>
      <c r="BE301">
        <v>0.17</v>
      </c>
      <c r="BF301" s="5">
        <f t="shared" si="145"/>
        <v>0.463750004166667</v>
      </c>
      <c r="BG301">
        <v>4</v>
      </c>
      <c r="BH301" s="3">
        <f t="shared" si="146"/>
        <v>0.115937501041667</v>
      </c>
      <c r="BJ301" s="4">
        <v>11.1629167833333</v>
      </c>
      <c r="BK301">
        <v>4.8</v>
      </c>
      <c r="BL301" s="5">
        <f t="shared" si="147"/>
        <v>6.3629167833333</v>
      </c>
      <c r="BM301">
        <v>8.9</v>
      </c>
      <c r="BN301" s="3">
        <f t="shared" si="148"/>
        <v>0.714934470037449</v>
      </c>
      <c r="BP301" s="4">
        <v>0.299483333333333</v>
      </c>
      <c r="BQ301">
        <v>0.09</v>
      </c>
      <c r="BR301" s="5">
        <f t="shared" si="149"/>
        <v>0.209483333333333</v>
      </c>
      <c r="BS301">
        <v>0.43</v>
      </c>
      <c r="BT301" s="3">
        <f t="shared" si="150"/>
        <v>0.487170542635658</v>
      </c>
      <c r="BV301" s="4">
        <v>6.8094250125</v>
      </c>
      <c r="BW301">
        <v>6.18</v>
      </c>
      <c r="BX301" s="5">
        <f t="shared" si="151"/>
        <v>0.6294250125</v>
      </c>
      <c r="BY301">
        <v>1.68</v>
      </c>
      <c r="BZ301" s="3">
        <f t="shared" si="152"/>
        <v>0.374657745535715</v>
      </c>
      <c r="CB301" s="10">
        <v>83.1</v>
      </c>
      <c r="CC301">
        <v>54.3</v>
      </c>
      <c r="CD301" s="12">
        <f t="shared" si="153"/>
        <v>28.8</v>
      </c>
      <c r="CE301">
        <v>71.3</v>
      </c>
      <c r="CF301" s="3">
        <f t="shared" si="154"/>
        <v>0.403927068723703</v>
      </c>
      <c r="CH301" s="13">
        <v>40.6</v>
      </c>
      <c r="CI301">
        <v>22.6</v>
      </c>
      <c r="CJ301">
        <f t="shared" si="155"/>
        <v>18</v>
      </c>
      <c r="CK301">
        <v>25.1</v>
      </c>
      <c r="CL301">
        <f t="shared" si="156"/>
        <v>0.717131474103586</v>
      </c>
      <c r="CN301" s="11">
        <v>3.3</v>
      </c>
      <c r="CO301">
        <v>3</v>
      </c>
      <c r="CP301" s="12">
        <f t="shared" si="157"/>
        <v>0.3</v>
      </c>
      <c r="CQ301">
        <v>3.4</v>
      </c>
      <c r="CR301" s="3">
        <f t="shared" si="158"/>
        <v>0.088235294117647</v>
      </c>
    </row>
    <row r="302" spans="2:96">
      <c r="B302" s="1">
        <v>51364</v>
      </c>
      <c r="C302">
        <v>32416</v>
      </c>
      <c r="D302" s="2">
        <f t="shared" si="159"/>
        <v>18948</v>
      </c>
      <c r="E302">
        <v>31904</v>
      </c>
      <c r="F302" s="3">
        <f t="shared" si="128"/>
        <v>0.593906720160481</v>
      </c>
      <c r="H302" s="1">
        <v>51000</v>
      </c>
      <c r="I302">
        <v>31145</v>
      </c>
      <c r="J302" s="2">
        <f t="shared" si="129"/>
        <v>19855</v>
      </c>
      <c r="K302">
        <v>32760</v>
      </c>
      <c r="L302" s="3">
        <f t="shared" si="130"/>
        <v>0.606074481074481</v>
      </c>
      <c r="N302" s="4">
        <v>252.290004104167</v>
      </c>
      <c r="O302">
        <v>201.27</v>
      </c>
      <c r="P302" s="5">
        <f t="shared" si="131"/>
        <v>51.020004104167</v>
      </c>
      <c r="Q302">
        <v>79.69</v>
      </c>
      <c r="R302" s="3">
        <f t="shared" si="132"/>
        <v>0.640230946218685</v>
      </c>
      <c r="T302" s="4">
        <v>165.925000191666</v>
      </c>
      <c r="U302">
        <v>100.23</v>
      </c>
      <c r="V302" s="5">
        <f t="shared" si="133"/>
        <v>65.695000191666</v>
      </c>
      <c r="W302">
        <v>410.93</v>
      </c>
      <c r="X302" s="3">
        <f t="shared" si="134"/>
        <v>0.159869077924868</v>
      </c>
      <c r="Z302" s="4">
        <v>24.8904166166667</v>
      </c>
      <c r="AA302">
        <v>13.25</v>
      </c>
      <c r="AB302" s="5">
        <f t="shared" si="135"/>
        <v>11.6404166166667</v>
      </c>
      <c r="AC302">
        <v>33.93</v>
      </c>
      <c r="AD302" s="3">
        <f t="shared" si="136"/>
        <v>0.343071518322036</v>
      </c>
      <c r="AF302" s="4">
        <v>4.72</v>
      </c>
      <c r="AG302">
        <v>2.09</v>
      </c>
      <c r="AH302" s="5">
        <f t="shared" si="137"/>
        <v>2.63</v>
      </c>
      <c r="AI302">
        <v>3.85</v>
      </c>
      <c r="AJ302" s="3">
        <f t="shared" si="138"/>
        <v>0.683116883116883</v>
      </c>
      <c r="AL302" s="13">
        <v>7.22</v>
      </c>
      <c r="AM302">
        <v>6.1</v>
      </c>
      <c r="AN302" s="5">
        <f t="shared" si="139"/>
        <v>1.12</v>
      </c>
      <c r="AO302">
        <v>1.89</v>
      </c>
      <c r="AP302" s="3">
        <f t="shared" si="140"/>
        <v>0.592592592592593</v>
      </c>
      <c r="AR302" s="4">
        <v>1.73</v>
      </c>
      <c r="AS302">
        <v>0.02</v>
      </c>
      <c r="AT302" s="5">
        <f t="shared" si="141"/>
        <v>1.71</v>
      </c>
      <c r="AU302">
        <v>2.84</v>
      </c>
      <c r="AV302" s="3">
        <f t="shared" si="142"/>
        <v>0.602112676056338</v>
      </c>
      <c r="AX302" s="4">
        <v>10.9711331916667</v>
      </c>
      <c r="AY302">
        <v>3.44</v>
      </c>
      <c r="AZ302" s="5">
        <f t="shared" si="143"/>
        <v>7.5311331916667</v>
      </c>
      <c r="BA302">
        <v>29.17</v>
      </c>
      <c r="BB302" s="3">
        <f t="shared" si="144"/>
        <v>0.258180774482917</v>
      </c>
      <c r="BD302" s="4">
        <v>0.5805</v>
      </c>
      <c r="BE302">
        <v>0.17</v>
      </c>
      <c r="BF302" s="5">
        <f t="shared" si="145"/>
        <v>0.4105</v>
      </c>
      <c r="BG302">
        <v>4</v>
      </c>
      <c r="BH302" s="3">
        <f t="shared" si="146"/>
        <v>0.102625</v>
      </c>
      <c r="BJ302" s="4">
        <v>10.37325</v>
      </c>
      <c r="BK302">
        <v>4.8</v>
      </c>
      <c r="BL302" s="5">
        <f t="shared" si="147"/>
        <v>5.57325</v>
      </c>
      <c r="BM302">
        <v>8.9</v>
      </c>
      <c r="BN302" s="3">
        <f t="shared" si="148"/>
        <v>0.626207865168539</v>
      </c>
      <c r="BP302" s="4">
        <v>0.296033333333333</v>
      </c>
      <c r="BQ302">
        <v>0.09</v>
      </c>
      <c r="BR302" s="5">
        <f t="shared" si="149"/>
        <v>0.206033333333333</v>
      </c>
      <c r="BS302">
        <v>0.43</v>
      </c>
      <c r="BT302" s="3">
        <f t="shared" si="150"/>
        <v>0.479147286821705</v>
      </c>
      <c r="BV302" s="4">
        <v>6.82733327083334</v>
      </c>
      <c r="BW302">
        <v>6.18</v>
      </c>
      <c r="BX302" s="5">
        <f t="shared" si="151"/>
        <v>0.64733327083334</v>
      </c>
      <c r="BY302">
        <v>1.68</v>
      </c>
      <c r="BZ302" s="3">
        <f t="shared" si="152"/>
        <v>0.385317423115084</v>
      </c>
      <c r="CB302" s="10">
        <v>80.4</v>
      </c>
      <c r="CC302">
        <v>54.3</v>
      </c>
      <c r="CD302" s="12">
        <f t="shared" si="153"/>
        <v>26.1</v>
      </c>
      <c r="CE302">
        <v>71.3</v>
      </c>
      <c r="CF302" s="3">
        <f t="shared" si="154"/>
        <v>0.366058906030856</v>
      </c>
      <c r="CH302" s="13">
        <v>42.4</v>
      </c>
      <c r="CI302">
        <v>22.6</v>
      </c>
      <c r="CJ302">
        <f t="shared" si="155"/>
        <v>19.8</v>
      </c>
      <c r="CK302">
        <v>25.1</v>
      </c>
      <c r="CL302">
        <f t="shared" si="156"/>
        <v>0.788844621513944</v>
      </c>
      <c r="CN302" s="10">
        <v>3</v>
      </c>
      <c r="CO302">
        <v>3</v>
      </c>
      <c r="CP302" s="12">
        <f t="shared" si="157"/>
        <v>0</v>
      </c>
      <c r="CQ302">
        <v>3.4</v>
      </c>
      <c r="CR302" s="3">
        <f t="shared" si="158"/>
        <v>0</v>
      </c>
    </row>
    <row r="303" spans="2:96">
      <c r="B303" s="1">
        <v>52684</v>
      </c>
      <c r="C303">
        <v>32416</v>
      </c>
      <c r="D303" s="2">
        <f t="shared" si="159"/>
        <v>20268</v>
      </c>
      <c r="E303">
        <v>31904</v>
      </c>
      <c r="F303" s="3">
        <f t="shared" si="128"/>
        <v>0.635280842527583</v>
      </c>
      <c r="H303" s="1">
        <v>52434</v>
      </c>
      <c r="I303">
        <v>31145</v>
      </c>
      <c r="J303" s="2">
        <f t="shared" si="129"/>
        <v>21289</v>
      </c>
      <c r="K303">
        <v>32760</v>
      </c>
      <c r="L303" s="3">
        <f t="shared" si="130"/>
        <v>0.649847374847375</v>
      </c>
      <c r="N303" s="4">
        <v>251.246669754167</v>
      </c>
      <c r="O303">
        <v>201.27</v>
      </c>
      <c r="P303" s="5">
        <f t="shared" si="131"/>
        <v>49.976669754167</v>
      </c>
      <c r="Q303">
        <v>79.69</v>
      </c>
      <c r="R303" s="3">
        <f t="shared" si="132"/>
        <v>0.62713853374535</v>
      </c>
      <c r="T303" s="4">
        <v>154.449999641666</v>
      </c>
      <c r="U303">
        <v>100.23</v>
      </c>
      <c r="V303" s="5">
        <f t="shared" si="133"/>
        <v>54.219999641666</v>
      </c>
      <c r="W303">
        <v>410.93</v>
      </c>
      <c r="X303" s="3">
        <f t="shared" si="134"/>
        <v>0.131944612565804</v>
      </c>
      <c r="Z303" s="4">
        <v>43.0170828541667</v>
      </c>
      <c r="AA303">
        <v>13.25</v>
      </c>
      <c r="AB303" s="5">
        <f t="shared" si="135"/>
        <v>29.7670828541667</v>
      </c>
      <c r="AC303">
        <v>33.93</v>
      </c>
      <c r="AD303" s="3">
        <f t="shared" si="136"/>
        <v>0.877308660600256</v>
      </c>
      <c r="AF303" s="4">
        <v>4.74</v>
      </c>
      <c r="AG303">
        <v>2.09</v>
      </c>
      <c r="AH303" s="5">
        <f t="shared" si="137"/>
        <v>2.65</v>
      </c>
      <c r="AI303">
        <v>3.85</v>
      </c>
      <c r="AJ303" s="3">
        <f t="shared" si="138"/>
        <v>0.688311688311688</v>
      </c>
      <c r="AL303" s="13">
        <v>7.38</v>
      </c>
      <c r="AM303">
        <v>6.1</v>
      </c>
      <c r="AN303" s="5">
        <f t="shared" si="139"/>
        <v>1.28</v>
      </c>
      <c r="AO303">
        <v>1.89</v>
      </c>
      <c r="AP303" s="3">
        <f t="shared" si="140"/>
        <v>0.677248677248677</v>
      </c>
      <c r="AR303" s="4">
        <v>1.55</v>
      </c>
      <c r="AS303">
        <v>0.02</v>
      </c>
      <c r="AT303" s="5">
        <f t="shared" si="141"/>
        <v>1.53</v>
      </c>
      <c r="AU303">
        <v>2.84</v>
      </c>
      <c r="AV303" s="3">
        <f t="shared" si="142"/>
        <v>0.538732394366197</v>
      </c>
      <c r="AX303" s="4">
        <v>10.8064667</v>
      </c>
      <c r="AY303">
        <v>3.44</v>
      </c>
      <c r="AZ303" s="5">
        <f t="shared" si="143"/>
        <v>7.3664667</v>
      </c>
      <c r="BA303">
        <v>29.17</v>
      </c>
      <c r="BB303" s="3">
        <f t="shared" si="144"/>
        <v>0.252535711347275</v>
      </c>
      <c r="BD303" s="4">
        <v>0.5999166625</v>
      </c>
      <c r="BE303">
        <v>0.17</v>
      </c>
      <c r="BF303" s="5">
        <f t="shared" si="145"/>
        <v>0.4299166625</v>
      </c>
      <c r="BG303">
        <v>4</v>
      </c>
      <c r="BH303" s="3">
        <f t="shared" si="146"/>
        <v>0.107479165625</v>
      </c>
      <c r="BJ303" s="4">
        <v>11.0835832708333</v>
      </c>
      <c r="BK303">
        <v>4.8</v>
      </c>
      <c r="BL303" s="5">
        <f t="shared" si="147"/>
        <v>6.2835832708333</v>
      </c>
      <c r="BM303">
        <v>8.9</v>
      </c>
      <c r="BN303" s="3">
        <f t="shared" si="148"/>
        <v>0.706020592228461</v>
      </c>
      <c r="BP303" s="4">
        <v>0.299</v>
      </c>
      <c r="BQ303">
        <v>0.09</v>
      </c>
      <c r="BR303" s="5">
        <f t="shared" si="149"/>
        <v>0.209</v>
      </c>
      <c r="BS303">
        <v>0.43</v>
      </c>
      <c r="BT303" s="3">
        <f t="shared" si="150"/>
        <v>0.486046511627907</v>
      </c>
      <c r="BV303" s="4">
        <v>6.86501659166667</v>
      </c>
      <c r="BW303">
        <v>6.18</v>
      </c>
      <c r="BX303" s="5">
        <f t="shared" si="151"/>
        <v>0.68501659166667</v>
      </c>
      <c r="BY303">
        <v>1.68</v>
      </c>
      <c r="BZ303" s="3">
        <f t="shared" si="152"/>
        <v>0.407747971230161</v>
      </c>
      <c r="CB303" s="10">
        <v>76.8</v>
      </c>
      <c r="CC303">
        <v>54.3</v>
      </c>
      <c r="CD303" s="12">
        <f t="shared" si="153"/>
        <v>22.5</v>
      </c>
      <c r="CE303">
        <v>71.3</v>
      </c>
      <c r="CF303" s="3">
        <f t="shared" si="154"/>
        <v>0.315568022440393</v>
      </c>
      <c r="CH303" s="13">
        <v>39.8</v>
      </c>
      <c r="CI303">
        <v>22.6</v>
      </c>
      <c r="CJ303">
        <f t="shared" si="155"/>
        <v>17.2</v>
      </c>
      <c r="CK303">
        <v>25.1</v>
      </c>
      <c r="CL303">
        <f t="shared" si="156"/>
        <v>0.685258964143426</v>
      </c>
      <c r="CN303" s="10">
        <v>3.7</v>
      </c>
      <c r="CO303">
        <v>3</v>
      </c>
      <c r="CP303" s="12">
        <f t="shared" si="157"/>
        <v>0.7</v>
      </c>
      <c r="CQ303">
        <v>3.4</v>
      </c>
      <c r="CR303" s="3">
        <f t="shared" si="158"/>
        <v>0.205882352941177</v>
      </c>
    </row>
    <row r="304" spans="2:96">
      <c r="B304" s="1">
        <v>46783</v>
      </c>
      <c r="C304">
        <v>32416</v>
      </c>
      <c r="D304" s="2">
        <f t="shared" si="159"/>
        <v>14367</v>
      </c>
      <c r="E304">
        <v>31904</v>
      </c>
      <c r="F304" s="3">
        <f t="shared" si="128"/>
        <v>0.450319709127382</v>
      </c>
      <c r="H304" s="1">
        <v>46521</v>
      </c>
      <c r="I304">
        <v>31145</v>
      </c>
      <c r="J304" s="2">
        <f t="shared" si="129"/>
        <v>15376</v>
      </c>
      <c r="K304">
        <v>32760</v>
      </c>
      <c r="L304" s="3">
        <f t="shared" si="130"/>
        <v>0.469352869352869</v>
      </c>
      <c r="N304" s="4">
        <v>249.850000375</v>
      </c>
      <c r="O304">
        <v>201.27</v>
      </c>
      <c r="P304" s="5">
        <f t="shared" si="131"/>
        <v>48.580000375</v>
      </c>
      <c r="Q304">
        <v>79.69</v>
      </c>
      <c r="R304" s="3">
        <f t="shared" si="132"/>
        <v>0.609612252164638</v>
      </c>
      <c r="T304" s="4">
        <v>166.8208338375</v>
      </c>
      <c r="U304">
        <v>100.23</v>
      </c>
      <c r="V304" s="5">
        <f t="shared" si="133"/>
        <v>66.5908338375</v>
      </c>
      <c r="W304">
        <v>410.93</v>
      </c>
      <c r="X304" s="3">
        <f t="shared" si="134"/>
        <v>0.162049093124133</v>
      </c>
      <c r="Z304" s="4">
        <v>45.9304164291667</v>
      </c>
      <c r="AA304">
        <v>13.25</v>
      </c>
      <c r="AB304" s="5">
        <f t="shared" si="135"/>
        <v>32.6804164291667</v>
      </c>
      <c r="AC304">
        <v>33.93</v>
      </c>
      <c r="AD304" s="3">
        <f t="shared" si="136"/>
        <v>0.963171719103056</v>
      </c>
      <c r="AF304" s="4">
        <v>4.72</v>
      </c>
      <c r="AG304">
        <v>2.09</v>
      </c>
      <c r="AH304" s="5">
        <f t="shared" si="137"/>
        <v>2.63</v>
      </c>
      <c r="AI304">
        <v>3.85</v>
      </c>
      <c r="AJ304" s="3">
        <f t="shared" si="138"/>
        <v>0.683116883116883</v>
      </c>
      <c r="AL304" s="13">
        <v>7.31</v>
      </c>
      <c r="AM304">
        <v>6.1</v>
      </c>
      <c r="AN304" s="5">
        <f t="shared" si="139"/>
        <v>1.21</v>
      </c>
      <c r="AO304">
        <v>1.89</v>
      </c>
      <c r="AP304" s="3">
        <f t="shared" si="140"/>
        <v>0.64021164021164</v>
      </c>
      <c r="AR304" s="4">
        <v>1.05</v>
      </c>
      <c r="AS304">
        <v>0.02</v>
      </c>
      <c r="AT304" s="5">
        <f t="shared" si="141"/>
        <v>1.03</v>
      </c>
      <c r="AU304">
        <v>2.84</v>
      </c>
      <c r="AV304" s="3">
        <f t="shared" si="142"/>
        <v>0.362676056338028</v>
      </c>
      <c r="AX304" s="4">
        <v>11.8828667041667</v>
      </c>
      <c r="AY304">
        <v>3.44</v>
      </c>
      <c r="AZ304" s="5">
        <f t="shared" si="143"/>
        <v>8.4428667041667</v>
      </c>
      <c r="BA304">
        <v>29.17</v>
      </c>
      <c r="BB304" s="3">
        <f t="shared" si="144"/>
        <v>0.289436637098618</v>
      </c>
      <c r="BD304" s="4">
        <v>1.23366666666667</v>
      </c>
      <c r="BE304">
        <v>0.17</v>
      </c>
      <c r="BF304" s="5">
        <f t="shared" si="145"/>
        <v>1.06366666666667</v>
      </c>
      <c r="BG304">
        <v>4</v>
      </c>
      <c r="BH304" s="3">
        <f t="shared" si="146"/>
        <v>0.265916666666668</v>
      </c>
      <c r="BJ304" s="4">
        <v>11.68791675</v>
      </c>
      <c r="BK304">
        <v>4.8</v>
      </c>
      <c r="BL304" s="5">
        <f t="shared" si="147"/>
        <v>6.88791675</v>
      </c>
      <c r="BM304">
        <v>8.9</v>
      </c>
      <c r="BN304" s="3">
        <f t="shared" si="148"/>
        <v>0.773923230337079</v>
      </c>
      <c r="BP304" s="4">
        <v>0.314925</v>
      </c>
      <c r="BQ304">
        <v>0.09</v>
      </c>
      <c r="BR304" s="5">
        <f t="shared" si="149"/>
        <v>0.224925</v>
      </c>
      <c r="BS304">
        <v>0.43</v>
      </c>
      <c r="BT304" s="3">
        <f t="shared" si="150"/>
        <v>0.523081395348837</v>
      </c>
      <c r="BV304" s="4">
        <v>6.8985</v>
      </c>
      <c r="BW304">
        <v>6.18</v>
      </c>
      <c r="BX304" s="5">
        <f t="shared" si="151"/>
        <v>0.718500000000001</v>
      </c>
      <c r="BY304">
        <v>1.68</v>
      </c>
      <c r="BZ304" s="3">
        <f t="shared" si="152"/>
        <v>0.427678571428572</v>
      </c>
      <c r="CB304" s="11">
        <v>78.2</v>
      </c>
      <c r="CC304">
        <v>54.3</v>
      </c>
      <c r="CD304" s="12">
        <f t="shared" si="153"/>
        <v>23.9</v>
      </c>
      <c r="CE304">
        <v>71.3</v>
      </c>
      <c r="CF304" s="3">
        <f t="shared" si="154"/>
        <v>0.335203366058906</v>
      </c>
      <c r="CH304" s="13">
        <v>44.7</v>
      </c>
      <c r="CI304">
        <v>22.6</v>
      </c>
      <c r="CJ304">
        <f t="shared" si="155"/>
        <v>22.1</v>
      </c>
      <c r="CK304">
        <v>25.1</v>
      </c>
      <c r="CL304">
        <f t="shared" si="156"/>
        <v>0.880478087649402</v>
      </c>
      <c r="CN304" s="13">
        <v>3.8</v>
      </c>
      <c r="CO304">
        <v>3</v>
      </c>
      <c r="CP304" s="12">
        <f t="shared" si="157"/>
        <v>0.8</v>
      </c>
      <c r="CQ304">
        <v>3.4</v>
      </c>
      <c r="CR304" s="3">
        <f t="shared" si="158"/>
        <v>0.235294117647059</v>
      </c>
    </row>
    <row r="305" spans="2:96">
      <c r="B305" s="1">
        <v>58647</v>
      </c>
      <c r="C305">
        <v>32416</v>
      </c>
      <c r="D305" s="2">
        <f t="shared" si="159"/>
        <v>26231</v>
      </c>
      <c r="E305">
        <v>31904</v>
      </c>
      <c r="F305" s="3">
        <f t="shared" si="128"/>
        <v>0.822185305917753</v>
      </c>
      <c r="H305" s="1">
        <v>58479</v>
      </c>
      <c r="I305">
        <v>31145</v>
      </c>
      <c r="J305" s="2">
        <f t="shared" si="129"/>
        <v>27334</v>
      </c>
      <c r="K305">
        <v>32760</v>
      </c>
      <c r="L305" s="3">
        <f t="shared" si="130"/>
        <v>0.834371184371184</v>
      </c>
      <c r="N305" s="4">
        <v>251.7418199</v>
      </c>
      <c r="O305">
        <v>201.27</v>
      </c>
      <c r="P305" s="5">
        <f t="shared" si="131"/>
        <v>50.4718199</v>
      </c>
      <c r="Q305">
        <v>79.69</v>
      </c>
      <c r="R305" s="3">
        <f t="shared" si="132"/>
        <v>0.633351987702346</v>
      </c>
      <c r="T305" s="4">
        <v>253.28181735</v>
      </c>
      <c r="U305">
        <v>100.23</v>
      </c>
      <c r="V305" s="5">
        <f t="shared" si="133"/>
        <v>153.05181735</v>
      </c>
      <c r="W305">
        <v>410.93</v>
      </c>
      <c r="X305" s="3">
        <f t="shared" si="134"/>
        <v>0.37245228469569</v>
      </c>
      <c r="Z305" s="4">
        <v>47.1659086409091</v>
      </c>
      <c r="AA305">
        <v>13.25</v>
      </c>
      <c r="AB305" s="5">
        <f t="shared" si="135"/>
        <v>33.9159086409091</v>
      </c>
      <c r="AC305">
        <v>33.93</v>
      </c>
      <c r="AD305" s="3">
        <f t="shared" si="136"/>
        <v>0.999584693218659</v>
      </c>
      <c r="AF305" s="18">
        <v>4.56</v>
      </c>
      <c r="AG305">
        <v>2.09</v>
      </c>
      <c r="AH305" s="5">
        <f t="shared" si="137"/>
        <v>2.47</v>
      </c>
      <c r="AI305">
        <v>3.85</v>
      </c>
      <c r="AJ305" s="3">
        <f t="shared" si="138"/>
        <v>0.641558441558441</v>
      </c>
      <c r="AL305" s="4">
        <v>7.26</v>
      </c>
      <c r="AM305">
        <v>6.1</v>
      </c>
      <c r="AN305" s="5">
        <f t="shared" si="139"/>
        <v>1.16</v>
      </c>
      <c r="AO305">
        <v>1.89</v>
      </c>
      <c r="AP305" s="3">
        <f t="shared" si="140"/>
        <v>0.613756613756614</v>
      </c>
      <c r="AR305" s="4">
        <v>1.0925</v>
      </c>
      <c r="AS305">
        <v>0.02</v>
      </c>
      <c r="AT305" s="5">
        <f t="shared" si="141"/>
        <v>1.0725</v>
      </c>
      <c r="AU305">
        <v>2.84</v>
      </c>
      <c r="AV305" s="3">
        <f t="shared" si="142"/>
        <v>0.377640845070423</v>
      </c>
      <c r="AX305" s="4">
        <v>11.9826908545455</v>
      </c>
      <c r="AY305">
        <v>3.44</v>
      </c>
      <c r="AZ305" s="5">
        <f t="shared" si="143"/>
        <v>8.5426908545455</v>
      </c>
      <c r="BA305">
        <v>29.17</v>
      </c>
      <c r="BB305" s="3">
        <f t="shared" si="144"/>
        <v>0.292858788294326</v>
      </c>
      <c r="BD305" s="4">
        <v>1.68081818636364</v>
      </c>
      <c r="BE305">
        <v>0.17</v>
      </c>
      <c r="BF305" s="5">
        <f t="shared" si="145"/>
        <v>1.51081818636364</v>
      </c>
      <c r="BG305">
        <v>4</v>
      </c>
      <c r="BH305" s="3">
        <f t="shared" si="146"/>
        <v>0.37770454659091</v>
      </c>
      <c r="BJ305" s="4">
        <v>12.6330909363636</v>
      </c>
      <c r="BK305">
        <v>4.8</v>
      </c>
      <c r="BL305" s="5">
        <f t="shared" si="147"/>
        <v>7.8330909363636</v>
      </c>
      <c r="BM305">
        <v>8.9</v>
      </c>
      <c r="BN305" s="3">
        <f t="shared" si="148"/>
        <v>0.880122577119505</v>
      </c>
      <c r="BP305" s="4">
        <v>0.308472727272727</v>
      </c>
      <c r="BQ305">
        <v>0.09</v>
      </c>
      <c r="BR305" s="5">
        <f t="shared" si="149"/>
        <v>0.218472727272727</v>
      </c>
      <c r="BS305">
        <v>0.43</v>
      </c>
      <c r="BT305" s="3">
        <f t="shared" si="150"/>
        <v>0.508076109936574</v>
      </c>
      <c r="BV305" s="4">
        <v>6.91962738636363</v>
      </c>
      <c r="BW305">
        <v>6.18</v>
      </c>
      <c r="BX305" s="5">
        <f t="shared" si="151"/>
        <v>0.73962738636363</v>
      </c>
      <c r="BY305">
        <v>1.68</v>
      </c>
      <c r="BZ305" s="3">
        <f t="shared" si="152"/>
        <v>0.440254396645018</v>
      </c>
      <c r="CB305" s="11">
        <v>80.5</v>
      </c>
      <c r="CC305">
        <v>54.3</v>
      </c>
      <c r="CD305" s="12">
        <f t="shared" si="153"/>
        <v>26.2</v>
      </c>
      <c r="CE305">
        <v>71.3</v>
      </c>
      <c r="CF305" s="3">
        <f t="shared" si="154"/>
        <v>0.367461430575035</v>
      </c>
      <c r="CH305" s="13">
        <v>45.9</v>
      </c>
      <c r="CI305">
        <v>22.6</v>
      </c>
      <c r="CJ305">
        <f t="shared" si="155"/>
        <v>23.3</v>
      </c>
      <c r="CK305">
        <v>25.1</v>
      </c>
      <c r="CL305">
        <f t="shared" si="156"/>
        <v>0.928286852589641</v>
      </c>
      <c r="CN305" s="13">
        <v>4.1</v>
      </c>
      <c r="CO305">
        <v>3</v>
      </c>
      <c r="CP305" s="12">
        <f t="shared" si="157"/>
        <v>1.1</v>
      </c>
      <c r="CQ305">
        <v>3.4</v>
      </c>
      <c r="CR305" s="3">
        <f t="shared" si="158"/>
        <v>0.323529411764706</v>
      </c>
    </row>
    <row r="306" spans="2:96">
      <c r="B306" s="1">
        <v>52614</v>
      </c>
      <c r="C306">
        <v>32416</v>
      </c>
      <c r="D306" s="2">
        <f t="shared" si="159"/>
        <v>20198</v>
      </c>
      <c r="E306">
        <v>31904</v>
      </c>
      <c r="F306" s="3">
        <f t="shared" si="128"/>
        <v>0.633086760280843</v>
      </c>
      <c r="H306" s="1">
        <v>52031</v>
      </c>
      <c r="I306">
        <v>31145</v>
      </c>
      <c r="J306" s="2">
        <f t="shared" si="129"/>
        <v>20886</v>
      </c>
      <c r="K306">
        <v>32760</v>
      </c>
      <c r="L306" s="3">
        <f t="shared" si="130"/>
        <v>0.637545787545788</v>
      </c>
      <c r="N306" s="4">
        <v>201.999999245</v>
      </c>
      <c r="O306">
        <v>201.27</v>
      </c>
      <c r="P306" s="5">
        <f t="shared" si="131"/>
        <v>0.729999244999988</v>
      </c>
      <c r="Q306">
        <v>79.69</v>
      </c>
      <c r="R306" s="3">
        <f t="shared" si="132"/>
        <v>0.00916048745137392</v>
      </c>
      <c r="T306" s="4">
        <v>197.33999939</v>
      </c>
      <c r="U306">
        <v>100.23</v>
      </c>
      <c r="V306" s="5">
        <f t="shared" si="133"/>
        <v>97.10999939</v>
      </c>
      <c r="W306">
        <v>410.93</v>
      </c>
      <c r="X306" s="3">
        <f t="shared" si="134"/>
        <v>0.236317619521573</v>
      </c>
      <c r="Z306" s="4">
        <v>43.49550038</v>
      </c>
      <c r="AA306">
        <v>13.25</v>
      </c>
      <c r="AB306" s="5">
        <f t="shared" si="135"/>
        <v>30.24550038</v>
      </c>
      <c r="AC306">
        <v>33.93</v>
      </c>
      <c r="AD306" s="3">
        <f t="shared" si="136"/>
        <v>0.891408793987622</v>
      </c>
      <c r="AF306" s="4">
        <v>4.49</v>
      </c>
      <c r="AG306">
        <v>2.09</v>
      </c>
      <c r="AH306" s="5">
        <f t="shared" si="137"/>
        <v>2.4</v>
      </c>
      <c r="AI306">
        <v>3.85</v>
      </c>
      <c r="AJ306" s="3">
        <f t="shared" si="138"/>
        <v>0.623376623376623</v>
      </c>
      <c r="AL306" s="4">
        <v>7.98</v>
      </c>
      <c r="AM306">
        <v>6.1</v>
      </c>
      <c r="AN306" s="5">
        <f t="shared" si="139"/>
        <v>1.88</v>
      </c>
      <c r="AO306">
        <v>1.89</v>
      </c>
      <c r="AP306" s="3">
        <f t="shared" si="140"/>
        <v>0.994708994708995</v>
      </c>
      <c r="AR306" s="4">
        <v>0.97925</v>
      </c>
      <c r="AS306">
        <v>0.02</v>
      </c>
      <c r="AT306" s="5">
        <f t="shared" si="141"/>
        <v>0.95925</v>
      </c>
      <c r="AU306">
        <v>2.84</v>
      </c>
      <c r="AV306" s="3">
        <f t="shared" si="142"/>
        <v>0.337764084507042</v>
      </c>
      <c r="AX306" s="4">
        <v>11.461840055</v>
      </c>
      <c r="AY306">
        <v>3.44</v>
      </c>
      <c r="AZ306" s="5">
        <f t="shared" si="143"/>
        <v>8.021840055</v>
      </c>
      <c r="BA306">
        <v>29.17</v>
      </c>
      <c r="BB306" s="3">
        <f t="shared" si="144"/>
        <v>0.275003087247172</v>
      </c>
      <c r="BD306" s="4">
        <v>0.80750001</v>
      </c>
      <c r="BE306">
        <v>0.17</v>
      </c>
      <c r="BF306" s="5">
        <f t="shared" si="145"/>
        <v>0.63750001</v>
      </c>
      <c r="BG306">
        <v>4</v>
      </c>
      <c r="BH306" s="3">
        <f t="shared" si="146"/>
        <v>0.1593750025</v>
      </c>
      <c r="BJ306" s="9">
        <v>12.869299935</v>
      </c>
      <c r="BK306">
        <v>4.8</v>
      </c>
      <c r="BL306" s="5">
        <f t="shared" si="147"/>
        <v>8.069299935</v>
      </c>
      <c r="BM306">
        <v>8.9</v>
      </c>
      <c r="BN306" s="3">
        <f t="shared" si="148"/>
        <v>0.906662914044944</v>
      </c>
      <c r="BP306" s="9">
        <v>0.29084</v>
      </c>
      <c r="BQ306">
        <v>0.09</v>
      </c>
      <c r="BR306" s="5">
        <f t="shared" si="149"/>
        <v>0.20084</v>
      </c>
      <c r="BS306">
        <v>0.43</v>
      </c>
      <c r="BT306" s="3">
        <f t="shared" si="150"/>
        <v>0.46706976744186</v>
      </c>
      <c r="BV306" s="4">
        <v>6.85930002</v>
      </c>
      <c r="BW306">
        <v>6.18</v>
      </c>
      <c r="BX306" s="5">
        <f t="shared" si="151"/>
        <v>0.67930002</v>
      </c>
      <c r="BY306">
        <v>1.68</v>
      </c>
      <c r="BZ306" s="3">
        <f t="shared" si="152"/>
        <v>0.40434525</v>
      </c>
      <c r="CB306" s="10">
        <v>81.6</v>
      </c>
      <c r="CC306">
        <v>54.3</v>
      </c>
      <c r="CD306" s="12">
        <f t="shared" si="153"/>
        <v>27.3</v>
      </c>
      <c r="CE306">
        <v>71.3</v>
      </c>
      <c r="CF306" s="3">
        <f t="shared" si="154"/>
        <v>0.38288920056101</v>
      </c>
      <c r="CH306" s="13">
        <v>46.8</v>
      </c>
      <c r="CI306">
        <v>22.6</v>
      </c>
      <c r="CJ306">
        <f t="shared" si="155"/>
        <v>24.2</v>
      </c>
      <c r="CK306">
        <v>25.1</v>
      </c>
      <c r="CL306">
        <f t="shared" si="156"/>
        <v>0.964143426294821</v>
      </c>
      <c r="CN306" s="11">
        <v>3.3</v>
      </c>
      <c r="CO306">
        <v>3</v>
      </c>
      <c r="CP306" s="12">
        <f t="shared" si="157"/>
        <v>0.3</v>
      </c>
      <c r="CQ306">
        <v>3.4</v>
      </c>
      <c r="CR306" s="3">
        <f t="shared" si="158"/>
        <v>0.088235294117647</v>
      </c>
    </row>
    <row r="307" spans="2:96">
      <c r="B307" s="1">
        <v>56984</v>
      </c>
      <c r="C307">
        <v>32416</v>
      </c>
      <c r="D307" s="2">
        <f t="shared" si="159"/>
        <v>24568</v>
      </c>
      <c r="E307">
        <v>31904</v>
      </c>
      <c r="F307" s="3">
        <f t="shared" si="128"/>
        <v>0.770060180541625</v>
      </c>
      <c r="H307" s="1">
        <v>56680</v>
      </c>
      <c r="I307">
        <v>31145</v>
      </c>
      <c r="J307" s="2">
        <f t="shared" si="129"/>
        <v>25535</v>
      </c>
      <c r="K307">
        <v>32760</v>
      </c>
      <c r="L307" s="3">
        <f t="shared" si="130"/>
        <v>0.779456654456654</v>
      </c>
      <c r="N307" s="4">
        <v>201.755997465</v>
      </c>
      <c r="O307">
        <v>201.27</v>
      </c>
      <c r="P307" s="5">
        <f t="shared" si="131"/>
        <v>0.485997464999997</v>
      </c>
      <c r="Q307">
        <v>79.69</v>
      </c>
      <c r="R307" s="3">
        <f t="shared" si="132"/>
        <v>0.00609860038900737</v>
      </c>
      <c r="T307" s="4">
        <v>125.899996</v>
      </c>
      <c r="U307">
        <v>100.23</v>
      </c>
      <c r="V307" s="5">
        <f t="shared" si="133"/>
        <v>25.669996</v>
      </c>
      <c r="W307">
        <v>410.93</v>
      </c>
      <c r="X307" s="3">
        <f t="shared" si="134"/>
        <v>0.0624680505195532</v>
      </c>
      <c r="Z307" s="4">
        <v>28.00350027</v>
      </c>
      <c r="AA307">
        <v>13.25</v>
      </c>
      <c r="AB307" s="5">
        <f t="shared" si="135"/>
        <v>14.75350027</v>
      </c>
      <c r="AC307">
        <v>33.93</v>
      </c>
      <c r="AD307" s="3">
        <f t="shared" si="136"/>
        <v>0.434821699675803</v>
      </c>
      <c r="AF307" s="4">
        <v>4.52</v>
      </c>
      <c r="AG307">
        <v>2.09</v>
      </c>
      <c r="AH307" s="5">
        <f t="shared" si="137"/>
        <v>2.43</v>
      </c>
      <c r="AI307">
        <v>3.85</v>
      </c>
      <c r="AJ307" s="3">
        <f t="shared" si="138"/>
        <v>0.631168831168831</v>
      </c>
      <c r="AL307" s="4">
        <v>7.73</v>
      </c>
      <c r="AM307">
        <v>6.1</v>
      </c>
      <c r="AN307" s="5">
        <f t="shared" si="139"/>
        <v>1.63</v>
      </c>
      <c r="AO307">
        <v>1.89</v>
      </c>
      <c r="AP307" s="3">
        <f t="shared" si="140"/>
        <v>0.862433862433863</v>
      </c>
      <c r="AR307" s="4">
        <v>1.0835</v>
      </c>
      <c r="AS307">
        <v>0.02</v>
      </c>
      <c r="AT307" s="5">
        <f t="shared" si="141"/>
        <v>1.0635</v>
      </c>
      <c r="AU307">
        <v>2.84</v>
      </c>
      <c r="AV307" s="3">
        <f t="shared" si="142"/>
        <v>0.374471830985915</v>
      </c>
      <c r="AX307" s="4">
        <v>9.50144009</v>
      </c>
      <c r="AY307">
        <v>3.44</v>
      </c>
      <c r="AZ307" s="5">
        <f t="shared" si="143"/>
        <v>6.06144009</v>
      </c>
      <c r="BA307">
        <v>29.17</v>
      </c>
      <c r="BB307" s="3">
        <f t="shared" si="144"/>
        <v>0.207797054850874</v>
      </c>
      <c r="BD307" s="4">
        <v>0.2319</v>
      </c>
      <c r="BE307">
        <v>0.17</v>
      </c>
      <c r="BF307" s="5">
        <f t="shared" si="145"/>
        <v>0.0619</v>
      </c>
      <c r="BG307">
        <v>4</v>
      </c>
      <c r="BH307" s="3">
        <f t="shared" si="146"/>
        <v>0.015475</v>
      </c>
      <c r="BJ307" s="9">
        <v>8.60740005</v>
      </c>
      <c r="BK307">
        <v>4.8</v>
      </c>
      <c r="BL307" s="5">
        <f t="shared" si="147"/>
        <v>3.80740005</v>
      </c>
      <c r="BM307">
        <v>8.9</v>
      </c>
      <c r="BN307" s="3">
        <f t="shared" si="148"/>
        <v>0.427797758426966</v>
      </c>
      <c r="BP307" s="9">
        <v>0.28854</v>
      </c>
      <c r="BQ307">
        <v>0.09</v>
      </c>
      <c r="BR307" s="5">
        <f t="shared" si="149"/>
        <v>0.19854</v>
      </c>
      <c r="BS307">
        <v>0.43</v>
      </c>
      <c r="BT307" s="3">
        <f t="shared" si="150"/>
        <v>0.461720930232558</v>
      </c>
      <c r="BV307" s="4">
        <v>6.98095999</v>
      </c>
      <c r="BW307">
        <v>6.18</v>
      </c>
      <c r="BX307" s="5">
        <f t="shared" si="151"/>
        <v>0.80095999</v>
      </c>
      <c r="BY307">
        <v>1.68</v>
      </c>
      <c r="BZ307" s="3">
        <f t="shared" si="152"/>
        <v>0.476761898809524</v>
      </c>
      <c r="CB307" s="10">
        <v>75.7</v>
      </c>
      <c r="CC307">
        <v>54.3</v>
      </c>
      <c r="CD307" s="12">
        <f t="shared" si="153"/>
        <v>21.4</v>
      </c>
      <c r="CE307">
        <v>71.3</v>
      </c>
      <c r="CF307" s="3">
        <f t="shared" si="154"/>
        <v>0.300140252454418</v>
      </c>
      <c r="CH307" s="13">
        <v>43.2</v>
      </c>
      <c r="CI307">
        <v>22.6</v>
      </c>
      <c r="CJ307">
        <f t="shared" si="155"/>
        <v>20.6</v>
      </c>
      <c r="CK307">
        <v>25.1</v>
      </c>
      <c r="CL307">
        <f t="shared" si="156"/>
        <v>0.820717131474104</v>
      </c>
      <c r="CN307" s="10">
        <v>3.4</v>
      </c>
      <c r="CO307">
        <v>3</v>
      </c>
      <c r="CP307" s="12">
        <f t="shared" si="157"/>
        <v>0.4</v>
      </c>
      <c r="CQ307">
        <v>3.4</v>
      </c>
      <c r="CR307" s="3">
        <f t="shared" si="158"/>
        <v>0.117647058823529</v>
      </c>
    </row>
    <row r="308" spans="2:96">
      <c r="B308" s="1">
        <v>58462</v>
      </c>
      <c r="C308">
        <v>32416</v>
      </c>
      <c r="D308" s="2">
        <f t="shared" si="159"/>
        <v>26046</v>
      </c>
      <c r="E308">
        <v>31904</v>
      </c>
      <c r="F308" s="3">
        <f t="shared" si="128"/>
        <v>0.81638665997994</v>
      </c>
      <c r="H308" s="1">
        <v>58007</v>
      </c>
      <c r="I308">
        <v>31145</v>
      </c>
      <c r="J308" s="2">
        <f t="shared" si="129"/>
        <v>26862</v>
      </c>
      <c r="K308">
        <v>32760</v>
      </c>
      <c r="L308" s="3">
        <f t="shared" si="130"/>
        <v>0.81996336996337</v>
      </c>
      <c r="N308" s="4">
        <v>240.426666985714</v>
      </c>
      <c r="O308">
        <v>201.27</v>
      </c>
      <c r="P308" s="5">
        <f t="shared" si="131"/>
        <v>39.156666985714</v>
      </c>
      <c r="Q308">
        <v>79.69</v>
      </c>
      <c r="R308" s="3">
        <f t="shared" si="132"/>
        <v>0.49136236649158</v>
      </c>
      <c r="T308" s="4">
        <v>152.933333619047</v>
      </c>
      <c r="U308">
        <v>100.23</v>
      </c>
      <c r="V308" s="5">
        <f t="shared" si="133"/>
        <v>52.703333619047</v>
      </c>
      <c r="W308">
        <v>410.93</v>
      </c>
      <c r="X308" s="3">
        <f t="shared" si="134"/>
        <v>0.12825379899021</v>
      </c>
      <c r="Z308" s="4">
        <v>28.1657145333333</v>
      </c>
      <c r="AA308">
        <v>13.25</v>
      </c>
      <c r="AB308" s="5">
        <f t="shared" si="135"/>
        <v>14.9157145333333</v>
      </c>
      <c r="AC308">
        <v>33.93</v>
      </c>
      <c r="AD308" s="3">
        <f t="shared" si="136"/>
        <v>0.439602550348756</v>
      </c>
      <c r="AF308" s="4">
        <v>3.51</v>
      </c>
      <c r="AG308">
        <v>2.09</v>
      </c>
      <c r="AH308" s="5">
        <f t="shared" si="137"/>
        <v>1.42</v>
      </c>
      <c r="AI308">
        <v>3.85</v>
      </c>
      <c r="AJ308" s="3">
        <f t="shared" si="138"/>
        <v>0.368831168831169</v>
      </c>
      <c r="AL308" s="4">
        <v>7.79</v>
      </c>
      <c r="AM308">
        <v>6.1</v>
      </c>
      <c r="AN308" s="5">
        <f t="shared" si="139"/>
        <v>1.69</v>
      </c>
      <c r="AO308">
        <v>1.89</v>
      </c>
      <c r="AP308" s="3">
        <f t="shared" si="140"/>
        <v>0.894179894179894</v>
      </c>
      <c r="AR308" s="4">
        <v>1.08666666666666</v>
      </c>
      <c r="AS308">
        <v>0.02</v>
      </c>
      <c r="AT308" s="5">
        <f t="shared" si="141"/>
        <v>1.06666666666666</v>
      </c>
      <c r="AU308">
        <v>2.84</v>
      </c>
      <c r="AV308" s="3">
        <f t="shared" si="142"/>
        <v>0.375586854460092</v>
      </c>
      <c r="AX308" s="4">
        <v>9.62049516666667</v>
      </c>
      <c r="AY308">
        <v>3.44</v>
      </c>
      <c r="AZ308" s="5">
        <f t="shared" si="143"/>
        <v>6.18049516666667</v>
      </c>
      <c r="BA308">
        <v>29.17</v>
      </c>
      <c r="BB308" s="3">
        <f t="shared" si="144"/>
        <v>0.211878476745515</v>
      </c>
      <c r="BD308" s="4">
        <v>0.355428571428571</v>
      </c>
      <c r="BE308">
        <v>0.17</v>
      </c>
      <c r="BF308" s="5">
        <f t="shared" si="145"/>
        <v>0.185428571428571</v>
      </c>
      <c r="BG308">
        <v>4</v>
      </c>
      <c r="BH308" s="3">
        <f t="shared" si="146"/>
        <v>0.0463571428571427</v>
      </c>
      <c r="BJ308" s="9">
        <v>8.99285713333333</v>
      </c>
      <c r="BK308">
        <v>4.8</v>
      </c>
      <c r="BL308" s="5">
        <f t="shared" si="147"/>
        <v>4.19285713333333</v>
      </c>
      <c r="BM308">
        <v>8.9</v>
      </c>
      <c r="BN308" s="3">
        <f t="shared" si="148"/>
        <v>0.471107543071161</v>
      </c>
      <c r="BP308" s="9">
        <v>0.298657142857143</v>
      </c>
      <c r="BQ308">
        <v>0.09</v>
      </c>
      <c r="BR308" s="5">
        <f t="shared" si="149"/>
        <v>0.208657142857143</v>
      </c>
      <c r="BS308">
        <v>0.43</v>
      </c>
      <c r="BT308" s="3">
        <f t="shared" si="150"/>
        <v>0.485249169435216</v>
      </c>
      <c r="BV308" s="4">
        <v>6.98746658571429</v>
      </c>
      <c r="BW308">
        <v>6.18</v>
      </c>
      <c r="BX308" s="5">
        <f t="shared" si="151"/>
        <v>0.80746658571429</v>
      </c>
      <c r="BY308">
        <v>1.68</v>
      </c>
      <c r="BZ308" s="3">
        <f t="shared" si="152"/>
        <v>0.480634872448982</v>
      </c>
      <c r="CB308" s="10">
        <v>79.2</v>
      </c>
      <c r="CC308">
        <v>54.3</v>
      </c>
      <c r="CD308" s="12">
        <f t="shared" si="153"/>
        <v>24.9</v>
      </c>
      <c r="CE308">
        <v>71.3</v>
      </c>
      <c r="CF308" s="3">
        <f t="shared" si="154"/>
        <v>0.349228611500701</v>
      </c>
      <c r="CH308" s="13">
        <v>44.9</v>
      </c>
      <c r="CI308">
        <v>22.6</v>
      </c>
      <c r="CJ308">
        <f t="shared" si="155"/>
        <v>22.3</v>
      </c>
      <c r="CK308">
        <v>25.1</v>
      </c>
      <c r="CL308">
        <f t="shared" si="156"/>
        <v>0.888446215139442</v>
      </c>
      <c r="CN308" s="10">
        <v>3.8</v>
      </c>
      <c r="CO308">
        <v>3</v>
      </c>
      <c r="CP308" s="12">
        <f t="shared" si="157"/>
        <v>0.8</v>
      </c>
      <c r="CQ308">
        <v>3.4</v>
      </c>
      <c r="CR308" s="3">
        <f t="shared" si="158"/>
        <v>0.235294117647059</v>
      </c>
    </row>
    <row r="309" spans="2:96">
      <c r="B309" s="1">
        <v>52364</v>
      </c>
      <c r="C309">
        <v>32416</v>
      </c>
      <c r="D309" s="2">
        <f t="shared" si="159"/>
        <v>19948</v>
      </c>
      <c r="E309">
        <v>31904</v>
      </c>
      <c r="F309" s="3">
        <f t="shared" si="128"/>
        <v>0.62525075225677</v>
      </c>
      <c r="H309" s="1">
        <v>52537</v>
      </c>
      <c r="I309">
        <v>31145</v>
      </c>
      <c r="J309" s="2">
        <f t="shared" si="129"/>
        <v>21392</v>
      </c>
      <c r="K309">
        <v>32760</v>
      </c>
      <c r="L309" s="3">
        <f t="shared" si="130"/>
        <v>0.652991452991453</v>
      </c>
      <c r="N309" s="4">
        <v>211.353047913044</v>
      </c>
      <c r="O309">
        <v>201.27</v>
      </c>
      <c r="P309" s="5">
        <f t="shared" si="131"/>
        <v>10.083047913044</v>
      </c>
      <c r="Q309">
        <v>79.69</v>
      </c>
      <c r="R309" s="3">
        <f t="shared" si="132"/>
        <v>0.126528396449291</v>
      </c>
      <c r="T309" s="4">
        <v>174.573912908695</v>
      </c>
      <c r="U309">
        <v>100.23</v>
      </c>
      <c r="V309" s="5">
        <f t="shared" si="133"/>
        <v>74.343912908695</v>
      </c>
      <c r="W309">
        <v>410.93</v>
      </c>
      <c r="X309" s="3">
        <f t="shared" si="134"/>
        <v>0.180916245853783</v>
      </c>
      <c r="Z309" s="4">
        <v>35.5595653347826</v>
      </c>
      <c r="AA309">
        <v>13.25</v>
      </c>
      <c r="AB309" s="5">
        <f t="shared" si="135"/>
        <v>22.3095653347826</v>
      </c>
      <c r="AC309">
        <v>33.93</v>
      </c>
      <c r="AD309" s="3">
        <f t="shared" si="136"/>
        <v>0.657517398608388</v>
      </c>
      <c r="AF309" s="4">
        <v>3.96</v>
      </c>
      <c r="AG309">
        <v>2.09</v>
      </c>
      <c r="AH309" s="5">
        <f t="shared" si="137"/>
        <v>1.87</v>
      </c>
      <c r="AI309">
        <v>3.85</v>
      </c>
      <c r="AJ309" s="3">
        <f t="shared" si="138"/>
        <v>0.485714285714286</v>
      </c>
      <c r="AL309" s="4">
        <v>7.81</v>
      </c>
      <c r="AM309">
        <v>6.1</v>
      </c>
      <c r="AN309" s="5">
        <f t="shared" si="139"/>
        <v>1.71</v>
      </c>
      <c r="AO309">
        <v>1.89</v>
      </c>
      <c r="AP309" s="3">
        <f t="shared" si="140"/>
        <v>0.904761904761905</v>
      </c>
      <c r="AR309" s="4">
        <v>1.08847826086956</v>
      </c>
      <c r="AS309">
        <v>0.02</v>
      </c>
      <c r="AT309" s="5">
        <f t="shared" si="141"/>
        <v>1.06847826086956</v>
      </c>
      <c r="AU309">
        <v>2.84</v>
      </c>
      <c r="AV309" s="3">
        <f t="shared" si="142"/>
        <v>0.376224739742803</v>
      </c>
      <c r="AX309" s="4">
        <v>10.6152347869565</v>
      </c>
      <c r="AY309">
        <v>3.44</v>
      </c>
      <c r="AZ309" s="5">
        <f t="shared" si="143"/>
        <v>7.1752347869565</v>
      </c>
      <c r="BA309">
        <v>29.17</v>
      </c>
      <c r="BB309" s="3">
        <f t="shared" si="144"/>
        <v>0.245979937845612</v>
      </c>
      <c r="BD309" s="4">
        <v>0.384521743478261</v>
      </c>
      <c r="BE309">
        <v>0.17</v>
      </c>
      <c r="BF309" s="5">
        <f t="shared" si="145"/>
        <v>0.214521743478261</v>
      </c>
      <c r="BG309">
        <v>4</v>
      </c>
      <c r="BH309" s="3">
        <f t="shared" si="146"/>
        <v>0.0536304358695653</v>
      </c>
      <c r="BJ309" s="9">
        <v>9.79895666521739</v>
      </c>
      <c r="BK309">
        <v>4.8</v>
      </c>
      <c r="BL309" s="5">
        <f t="shared" si="147"/>
        <v>4.99895666521739</v>
      </c>
      <c r="BM309">
        <v>8.9</v>
      </c>
      <c r="BN309" s="3">
        <f t="shared" si="148"/>
        <v>0.561680524181729</v>
      </c>
      <c r="BP309" s="9">
        <v>0.305260869565217</v>
      </c>
      <c r="BQ309">
        <v>0.09</v>
      </c>
      <c r="BR309" s="5">
        <f t="shared" si="149"/>
        <v>0.215260869565217</v>
      </c>
      <c r="BS309">
        <v>0.43</v>
      </c>
      <c r="BT309" s="3">
        <f t="shared" si="150"/>
        <v>0.500606673407481</v>
      </c>
      <c r="BV309" s="4">
        <v>6.9749217173913</v>
      </c>
      <c r="BW309">
        <v>6.18</v>
      </c>
      <c r="BX309" s="5">
        <f t="shared" si="151"/>
        <v>0.794921717391301</v>
      </c>
      <c r="BY309">
        <v>1.68</v>
      </c>
      <c r="BZ309" s="3">
        <f t="shared" si="152"/>
        <v>0.473167688923393</v>
      </c>
      <c r="CB309" s="10">
        <v>78.4</v>
      </c>
      <c r="CC309">
        <v>54.3</v>
      </c>
      <c r="CD309" s="12">
        <f t="shared" si="153"/>
        <v>24.1</v>
      </c>
      <c r="CE309">
        <v>71.3</v>
      </c>
      <c r="CF309" s="3">
        <f t="shared" si="154"/>
        <v>0.338008415147265</v>
      </c>
      <c r="CH309" s="13">
        <v>40.3</v>
      </c>
      <c r="CI309">
        <v>22.6</v>
      </c>
      <c r="CJ309">
        <f t="shared" si="155"/>
        <v>17.7</v>
      </c>
      <c r="CK309">
        <v>25.1</v>
      </c>
      <c r="CL309">
        <f t="shared" si="156"/>
        <v>0.705179282868526</v>
      </c>
      <c r="CN309" s="10">
        <v>3.1</v>
      </c>
      <c r="CO309">
        <v>3</v>
      </c>
      <c r="CP309" s="12">
        <f t="shared" si="157"/>
        <v>0.1</v>
      </c>
      <c r="CQ309">
        <v>3.4</v>
      </c>
      <c r="CR309" s="3">
        <f t="shared" si="158"/>
        <v>0.0294117647058824</v>
      </c>
    </row>
    <row r="310" spans="2:96">
      <c r="B310" s="1">
        <v>44154</v>
      </c>
      <c r="C310">
        <v>32416</v>
      </c>
      <c r="D310" s="2">
        <f t="shared" si="159"/>
        <v>11738</v>
      </c>
      <c r="E310">
        <v>31904</v>
      </c>
      <c r="F310" s="3">
        <f t="shared" si="128"/>
        <v>0.367916248746239</v>
      </c>
      <c r="H310" s="1">
        <v>45898</v>
      </c>
      <c r="I310">
        <v>31145</v>
      </c>
      <c r="J310" s="2">
        <f t="shared" si="129"/>
        <v>14753</v>
      </c>
      <c r="K310">
        <v>32760</v>
      </c>
      <c r="L310" s="3">
        <f t="shared" si="130"/>
        <v>0.450335775335775</v>
      </c>
      <c r="N310" s="4">
        <v>222.213335666667</v>
      </c>
      <c r="O310">
        <v>201.27</v>
      </c>
      <c r="P310" s="5">
        <f t="shared" si="131"/>
        <v>20.943335666667</v>
      </c>
      <c r="Q310">
        <v>79.69</v>
      </c>
      <c r="R310" s="3">
        <f t="shared" si="132"/>
        <v>0.262810084912373</v>
      </c>
      <c r="T310" s="4">
        <v>155.583333166666</v>
      </c>
      <c r="U310">
        <v>100.23</v>
      </c>
      <c r="V310" s="5">
        <f t="shared" si="133"/>
        <v>55.353333166666</v>
      </c>
      <c r="W310">
        <v>410.93</v>
      </c>
      <c r="X310" s="3">
        <f t="shared" si="134"/>
        <v>0.134702584787351</v>
      </c>
      <c r="Z310" s="4">
        <v>39.0733329416667</v>
      </c>
      <c r="AA310">
        <v>13.25</v>
      </c>
      <c r="AB310" s="5">
        <f t="shared" si="135"/>
        <v>25.8233329416667</v>
      </c>
      <c r="AC310">
        <v>33.93</v>
      </c>
      <c r="AD310" s="3">
        <f t="shared" si="136"/>
        <v>0.761076715050595</v>
      </c>
      <c r="AF310" s="4">
        <v>4.81</v>
      </c>
      <c r="AG310">
        <v>2.09</v>
      </c>
      <c r="AH310" s="5">
        <f t="shared" si="137"/>
        <v>2.72</v>
      </c>
      <c r="AI310">
        <v>3.85</v>
      </c>
      <c r="AJ310" s="3">
        <f t="shared" si="138"/>
        <v>0.706493506493506</v>
      </c>
      <c r="AL310" s="4">
        <v>7.76</v>
      </c>
      <c r="AM310">
        <v>6.1</v>
      </c>
      <c r="AN310" s="5">
        <f t="shared" si="139"/>
        <v>1.66</v>
      </c>
      <c r="AO310">
        <v>1.89</v>
      </c>
      <c r="AP310" s="3">
        <f t="shared" si="140"/>
        <v>0.878306878306878</v>
      </c>
      <c r="AR310" s="4">
        <v>1.09833333333333</v>
      </c>
      <c r="AS310">
        <v>0.02</v>
      </c>
      <c r="AT310" s="5">
        <f t="shared" si="141"/>
        <v>1.07833333333333</v>
      </c>
      <c r="AU310">
        <v>2.84</v>
      </c>
      <c r="AV310" s="3">
        <f t="shared" si="142"/>
        <v>0.37969483568075</v>
      </c>
      <c r="AX310" s="4">
        <v>10.8082000041667</v>
      </c>
      <c r="AY310">
        <v>3.44</v>
      </c>
      <c r="AZ310" s="5">
        <f t="shared" si="143"/>
        <v>7.3682000041667</v>
      </c>
      <c r="BA310">
        <v>29.17</v>
      </c>
      <c r="BB310" s="3">
        <f t="shared" si="144"/>
        <v>0.252595132127758</v>
      </c>
      <c r="BD310" s="4">
        <v>0.216583333333333</v>
      </c>
      <c r="BE310">
        <v>0.17</v>
      </c>
      <c r="BF310" s="5">
        <f t="shared" si="145"/>
        <v>0.046583333333333</v>
      </c>
      <c r="BG310">
        <v>4</v>
      </c>
      <c r="BH310" s="3">
        <f t="shared" si="146"/>
        <v>0.0116458333333332</v>
      </c>
      <c r="BJ310" s="9">
        <v>10.2136666375</v>
      </c>
      <c r="BK310">
        <v>4.8</v>
      </c>
      <c r="BL310" s="5">
        <f t="shared" si="147"/>
        <v>5.4136666375</v>
      </c>
      <c r="BM310">
        <v>8.9</v>
      </c>
      <c r="BN310" s="3">
        <f t="shared" si="148"/>
        <v>0.608277150280899</v>
      </c>
      <c r="BP310" s="9">
        <v>0.302391666666667</v>
      </c>
      <c r="BQ310">
        <v>0.09</v>
      </c>
      <c r="BR310" s="5">
        <f t="shared" si="149"/>
        <v>0.212391666666667</v>
      </c>
      <c r="BS310">
        <v>0.43</v>
      </c>
      <c r="BT310" s="3">
        <f t="shared" si="150"/>
        <v>0.493934108527133</v>
      </c>
      <c r="BV310" s="4">
        <v>6.95695001666667</v>
      </c>
      <c r="BW310">
        <v>6.18</v>
      </c>
      <c r="BX310" s="5">
        <f t="shared" si="151"/>
        <v>0.77695001666667</v>
      </c>
      <c r="BY310">
        <v>1.68</v>
      </c>
      <c r="BZ310" s="3">
        <f t="shared" si="152"/>
        <v>0.462470248015875</v>
      </c>
      <c r="CB310" s="10">
        <v>76.9</v>
      </c>
      <c r="CC310">
        <v>54.3</v>
      </c>
      <c r="CD310" s="12">
        <f t="shared" si="153"/>
        <v>22.6</v>
      </c>
      <c r="CE310">
        <v>71.3</v>
      </c>
      <c r="CF310" s="3">
        <f t="shared" si="154"/>
        <v>0.316970546984572</v>
      </c>
      <c r="CH310" s="13">
        <v>41.6</v>
      </c>
      <c r="CI310">
        <v>22.6</v>
      </c>
      <c r="CJ310">
        <f t="shared" si="155"/>
        <v>19</v>
      </c>
      <c r="CK310">
        <v>25.1</v>
      </c>
      <c r="CL310">
        <f t="shared" si="156"/>
        <v>0.756972111553785</v>
      </c>
      <c r="CN310" s="10">
        <v>4</v>
      </c>
      <c r="CO310">
        <v>3</v>
      </c>
      <c r="CP310" s="12">
        <f t="shared" si="157"/>
        <v>1</v>
      </c>
      <c r="CQ310">
        <v>3.4</v>
      </c>
      <c r="CR310" s="3">
        <f t="shared" si="158"/>
        <v>0.294117647058824</v>
      </c>
    </row>
    <row r="311" spans="2:96">
      <c r="B311" s="1">
        <v>45694</v>
      </c>
      <c r="C311">
        <v>32416</v>
      </c>
      <c r="D311" s="2">
        <f t="shared" si="159"/>
        <v>13278</v>
      </c>
      <c r="E311">
        <v>31904</v>
      </c>
      <c r="F311" s="3">
        <f t="shared" si="128"/>
        <v>0.416186058174524</v>
      </c>
      <c r="H311" s="1">
        <v>45465</v>
      </c>
      <c r="I311">
        <v>31145</v>
      </c>
      <c r="J311" s="2">
        <f t="shared" si="129"/>
        <v>14320</v>
      </c>
      <c r="K311">
        <v>32760</v>
      </c>
      <c r="L311" s="3">
        <f t="shared" si="130"/>
        <v>0.437118437118437</v>
      </c>
      <c r="N311" s="4">
        <v>221.213333758333</v>
      </c>
      <c r="O311">
        <v>201.27</v>
      </c>
      <c r="P311" s="5">
        <f t="shared" si="131"/>
        <v>19.943333758333</v>
      </c>
      <c r="Q311">
        <v>79.69</v>
      </c>
      <c r="R311" s="3">
        <f t="shared" si="132"/>
        <v>0.250261435039942</v>
      </c>
      <c r="T311" s="4">
        <v>155.874999683333</v>
      </c>
      <c r="U311">
        <v>100.23</v>
      </c>
      <c r="V311" s="5">
        <f t="shared" si="133"/>
        <v>55.644999683333</v>
      </c>
      <c r="W311">
        <v>410.93</v>
      </c>
      <c r="X311" s="3">
        <f t="shared" si="134"/>
        <v>0.135412356565189</v>
      </c>
      <c r="Z311" s="4">
        <v>42.21333345</v>
      </c>
      <c r="AA311">
        <v>13.25</v>
      </c>
      <c r="AB311" s="5">
        <f t="shared" si="135"/>
        <v>28.96333345</v>
      </c>
      <c r="AC311">
        <v>33.93</v>
      </c>
      <c r="AD311" s="3">
        <f t="shared" si="136"/>
        <v>0.853620201886236</v>
      </c>
      <c r="AF311" s="4">
        <v>3.93</v>
      </c>
      <c r="AG311">
        <v>2.09</v>
      </c>
      <c r="AH311" s="5">
        <f t="shared" si="137"/>
        <v>1.84</v>
      </c>
      <c r="AI311">
        <v>3.85</v>
      </c>
      <c r="AJ311" s="3">
        <f t="shared" si="138"/>
        <v>0.477922077922078</v>
      </c>
      <c r="AL311" s="4">
        <v>7.85</v>
      </c>
      <c r="AM311">
        <v>6.1</v>
      </c>
      <c r="AN311" s="5">
        <f t="shared" si="139"/>
        <v>1.75</v>
      </c>
      <c r="AO311">
        <v>1.89</v>
      </c>
      <c r="AP311" s="3">
        <f t="shared" si="140"/>
        <v>0.925925925925926</v>
      </c>
      <c r="AR311" s="4">
        <v>0.785</v>
      </c>
      <c r="AS311">
        <v>0.02</v>
      </c>
      <c r="AT311" s="5">
        <f t="shared" si="141"/>
        <v>0.765</v>
      </c>
      <c r="AU311">
        <v>2.84</v>
      </c>
      <c r="AV311" s="3">
        <f t="shared" si="142"/>
        <v>0.269366197183099</v>
      </c>
      <c r="AX311" s="4">
        <v>10.3167999125</v>
      </c>
      <c r="AY311">
        <v>3.44</v>
      </c>
      <c r="AZ311" s="5">
        <f t="shared" si="143"/>
        <v>6.8767999125</v>
      </c>
      <c r="BA311">
        <v>29.17</v>
      </c>
      <c r="BB311" s="3">
        <f t="shared" si="144"/>
        <v>0.235749054250943</v>
      </c>
      <c r="BD311" s="4">
        <v>0.351166666666667</v>
      </c>
      <c r="BE311">
        <v>0.17</v>
      </c>
      <c r="BF311" s="5">
        <f t="shared" si="145"/>
        <v>0.181166666666667</v>
      </c>
      <c r="BG311">
        <v>4</v>
      </c>
      <c r="BH311" s="3">
        <f t="shared" si="146"/>
        <v>0.0452916666666668</v>
      </c>
      <c r="BJ311" s="9">
        <v>10.96200005</v>
      </c>
      <c r="BK311">
        <v>4.8</v>
      </c>
      <c r="BL311" s="5">
        <f t="shared" si="147"/>
        <v>6.16200005</v>
      </c>
      <c r="BM311">
        <v>8.9</v>
      </c>
      <c r="BN311" s="3">
        <f t="shared" si="148"/>
        <v>0.692359556179775</v>
      </c>
      <c r="BP311" s="9">
        <v>0.298408333333333</v>
      </c>
      <c r="BQ311">
        <v>0.09</v>
      </c>
      <c r="BR311" s="5">
        <f t="shared" si="149"/>
        <v>0.208408333333333</v>
      </c>
      <c r="BS311">
        <v>0.43</v>
      </c>
      <c r="BT311" s="3">
        <f t="shared" si="150"/>
        <v>0.484670542635658</v>
      </c>
      <c r="BV311" s="4">
        <v>6.9299417</v>
      </c>
      <c r="BW311">
        <v>6.18</v>
      </c>
      <c r="BX311" s="5">
        <f t="shared" si="151"/>
        <v>0.7499417</v>
      </c>
      <c r="BY311">
        <v>1.68</v>
      </c>
      <c r="BZ311" s="3">
        <f t="shared" si="152"/>
        <v>0.446393869047619</v>
      </c>
      <c r="CB311" s="10">
        <v>75.3</v>
      </c>
      <c r="CC311">
        <v>54.3</v>
      </c>
      <c r="CD311" s="12">
        <f t="shared" si="153"/>
        <v>21</v>
      </c>
      <c r="CE311">
        <v>71.3</v>
      </c>
      <c r="CF311" s="3">
        <f t="shared" si="154"/>
        <v>0.2945301542777</v>
      </c>
      <c r="CH311" s="13">
        <v>45.6</v>
      </c>
      <c r="CI311">
        <v>22.6</v>
      </c>
      <c r="CJ311">
        <f t="shared" si="155"/>
        <v>23</v>
      </c>
      <c r="CK311">
        <v>25.1</v>
      </c>
      <c r="CL311">
        <f t="shared" si="156"/>
        <v>0.916334661354582</v>
      </c>
      <c r="CN311" s="10">
        <v>3.8</v>
      </c>
      <c r="CO311">
        <v>3</v>
      </c>
      <c r="CP311" s="12">
        <f t="shared" si="157"/>
        <v>0.8</v>
      </c>
      <c r="CQ311">
        <v>3.4</v>
      </c>
      <c r="CR311" s="3">
        <f t="shared" si="158"/>
        <v>0.235294117647059</v>
      </c>
    </row>
    <row r="312" spans="2:96">
      <c r="B312" s="1">
        <v>44213</v>
      </c>
      <c r="C312">
        <v>32416</v>
      </c>
      <c r="D312" s="2">
        <f t="shared" si="159"/>
        <v>11797</v>
      </c>
      <c r="E312">
        <v>31904</v>
      </c>
      <c r="F312" s="3">
        <f t="shared" si="128"/>
        <v>0.36976554663992</v>
      </c>
      <c r="H312" s="1">
        <v>43992</v>
      </c>
      <c r="I312">
        <v>31145</v>
      </c>
      <c r="J312" s="2">
        <f t="shared" si="129"/>
        <v>12847</v>
      </c>
      <c r="K312">
        <v>32760</v>
      </c>
      <c r="L312" s="3">
        <f t="shared" si="130"/>
        <v>0.392155067155067</v>
      </c>
      <c r="N312" s="4">
        <v>210.880001704167</v>
      </c>
      <c r="O312">
        <v>201.27</v>
      </c>
      <c r="P312" s="5">
        <f t="shared" si="131"/>
        <v>9.61000170416699</v>
      </c>
      <c r="Q312">
        <v>79.69</v>
      </c>
      <c r="R312" s="3">
        <f t="shared" si="132"/>
        <v>0.120592316528636</v>
      </c>
      <c r="T312" s="4">
        <v>152.120833395833</v>
      </c>
      <c r="U312">
        <v>100.23</v>
      </c>
      <c r="V312" s="5">
        <f t="shared" si="133"/>
        <v>51.890833395833</v>
      </c>
      <c r="W312">
        <v>410.93</v>
      </c>
      <c r="X312" s="3">
        <f t="shared" si="134"/>
        <v>0.126276576049042</v>
      </c>
      <c r="Z312" s="4">
        <v>40.2112498333333</v>
      </c>
      <c r="AA312">
        <v>13.25</v>
      </c>
      <c r="AB312" s="5">
        <f t="shared" si="135"/>
        <v>26.9612498333333</v>
      </c>
      <c r="AC312">
        <v>33.93</v>
      </c>
      <c r="AD312" s="3">
        <f t="shared" si="136"/>
        <v>0.794613906081146</v>
      </c>
      <c r="AF312" s="4">
        <v>4.23</v>
      </c>
      <c r="AG312">
        <v>2.09</v>
      </c>
      <c r="AH312" s="5">
        <f t="shared" si="137"/>
        <v>2.14</v>
      </c>
      <c r="AI312">
        <v>3.85</v>
      </c>
      <c r="AJ312" s="3">
        <f t="shared" si="138"/>
        <v>0.555844155844156</v>
      </c>
      <c r="AL312" s="4">
        <v>7.65</v>
      </c>
      <c r="AM312">
        <v>6.1</v>
      </c>
      <c r="AN312" s="5">
        <f t="shared" si="139"/>
        <v>1.55</v>
      </c>
      <c r="AO312">
        <v>1.89</v>
      </c>
      <c r="AP312" s="3">
        <f t="shared" si="140"/>
        <v>0.820105820105821</v>
      </c>
      <c r="AR312" s="4">
        <v>0.8625</v>
      </c>
      <c r="AS312">
        <v>0.02</v>
      </c>
      <c r="AT312" s="5">
        <f t="shared" si="141"/>
        <v>0.8425</v>
      </c>
      <c r="AU312">
        <v>2.84</v>
      </c>
      <c r="AV312" s="3">
        <f t="shared" si="142"/>
        <v>0.296654929577465</v>
      </c>
      <c r="AX312" s="4">
        <v>10.4580666291667</v>
      </c>
      <c r="AY312">
        <v>3.44</v>
      </c>
      <c r="AZ312" s="5">
        <f t="shared" si="143"/>
        <v>7.0180666291667</v>
      </c>
      <c r="BA312">
        <v>29.17</v>
      </c>
      <c r="BB312" s="3">
        <f t="shared" si="144"/>
        <v>0.240591931065022</v>
      </c>
      <c r="BD312" s="4">
        <v>0.21725</v>
      </c>
      <c r="BE312">
        <v>0.17</v>
      </c>
      <c r="BF312" s="5">
        <f t="shared" si="145"/>
        <v>0.04725</v>
      </c>
      <c r="BG312">
        <v>4</v>
      </c>
      <c r="BH312" s="3">
        <f t="shared" si="146"/>
        <v>0.0118125</v>
      </c>
      <c r="BJ312" s="9">
        <v>11.407000025</v>
      </c>
      <c r="BK312">
        <v>4.8</v>
      </c>
      <c r="BL312" s="5">
        <f t="shared" si="147"/>
        <v>6.607000025</v>
      </c>
      <c r="BM312">
        <v>8.9</v>
      </c>
      <c r="BN312" s="3">
        <f t="shared" si="148"/>
        <v>0.742359553370787</v>
      </c>
      <c r="BP312" s="9">
        <v>0.30135</v>
      </c>
      <c r="BQ312">
        <v>0.09</v>
      </c>
      <c r="BR312" s="5">
        <f t="shared" si="149"/>
        <v>0.21135</v>
      </c>
      <c r="BS312">
        <v>0.43</v>
      </c>
      <c r="BT312" s="3">
        <f t="shared" si="150"/>
        <v>0.491511627906977</v>
      </c>
      <c r="BV312" s="4">
        <v>6.92422502083333</v>
      </c>
      <c r="BW312">
        <v>6.18</v>
      </c>
      <c r="BX312" s="5">
        <f t="shared" si="151"/>
        <v>0.74422502083333</v>
      </c>
      <c r="BY312">
        <v>1.68</v>
      </c>
      <c r="BZ312" s="3">
        <f t="shared" si="152"/>
        <v>0.442991083829363</v>
      </c>
      <c r="CB312" s="10">
        <v>75.5</v>
      </c>
      <c r="CC312">
        <v>54.3</v>
      </c>
      <c r="CD312" s="12">
        <f t="shared" si="153"/>
        <v>21.2</v>
      </c>
      <c r="CE312">
        <v>71.3</v>
      </c>
      <c r="CF312" s="3">
        <f t="shared" si="154"/>
        <v>0.297335203366059</v>
      </c>
      <c r="CH312" s="13">
        <v>44.8</v>
      </c>
      <c r="CI312">
        <v>22.6</v>
      </c>
      <c r="CJ312">
        <f t="shared" si="155"/>
        <v>22.2</v>
      </c>
      <c r="CK312">
        <v>25.1</v>
      </c>
      <c r="CL312">
        <f t="shared" si="156"/>
        <v>0.884462151394422</v>
      </c>
      <c r="CN312" s="10">
        <v>3.9</v>
      </c>
      <c r="CO312">
        <v>3</v>
      </c>
      <c r="CP312" s="12">
        <f t="shared" si="157"/>
        <v>0.9</v>
      </c>
      <c r="CQ312">
        <v>3.4</v>
      </c>
      <c r="CR312" s="3">
        <f t="shared" si="158"/>
        <v>0.264705882352941</v>
      </c>
    </row>
    <row r="313" spans="2:96">
      <c r="B313" s="1">
        <v>46912</v>
      </c>
      <c r="C313">
        <v>32416</v>
      </c>
      <c r="D313" s="2">
        <f t="shared" si="159"/>
        <v>14496</v>
      </c>
      <c r="E313">
        <v>31904</v>
      </c>
      <c r="F313" s="3">
        <f t="shared" si="128"/>
        <v>0.454363089267803</v>
      </c>
      <c r="H313" s="1">
        <v>46691</v>
      </c>
      <c r="I313">
        <v>31145</v>
      </c>
      <c r="J313" s="2">
        <f t="shared" si="129"/>
        <v>15546</v>
      </c>
      <c r="K313">
        <v>32760</v>
      </c>
      <c r="L313" s="3">
        <f t="shared" si="130"/>
        <v>0.474542124542125</v>
      </c>
      <c r="N313" s="4">
        <v>241.066665654167</v>
      </c>
      <c r="O313">
        <v>201.27</v>
      </c>
      <c r="P313" s="5">
        <f t="shared" si="131"/>
        <v>39.796665654167</v>
      </c>
      <c r="Q313">
        <v>79.69</v>
      </c>
      <c r="R313" s="3">
        <f t="shared" si="132"/>
        <v>0.49939347037479</v>
      </c>
      <c r="T313" s="4">
        <v>158.399999620833</v>
      </c>
      <c r="U313">
        <v>100.23</v>
      </c>
      <c r="V313" s="5">
        <f t="shared" si="133"/>
        <v>58.169999620833</v>
      </c>
      <c r="W313">
        <v>410.93</v>
      </c>
      <c r="X313" s="3">
        <f t="shared" si="134"/>
        <v>0.14155695524988</v>
      </c>
      <c r="Z313" s="4">
        <v>39.733750025</v>
      </c>
      <c r="AA313">
        <v>13.25</v>
      </c>
      <c r="AB313" s="5">
        <f t="shared" si="135"/>
        <v>26.483750025</v>
      </c>
      <c r="AC313">
        <v>33.93</v>
      </c>
      <c r="AD313" s="3">
        <f t="shared" si="136"/>
        <v>0.780540820070734</v>
      </c>
      <c r="AF313" s="4">
        <v>4.43</v>
      </c>
      <c r="AG313">
        <v>2.09</v>
      </c>
      <c r="AH313" s="5">
        <f t="shared" si="137"/>
        <v>2.34</v>
      </c>
      <c r="AI313">
        <v>3.85</v>
      </c>
      <c r="AJ313" s="3">
        <f t="shared" si="138"/>
        <v>0.607792207792208</v>
      </c>
      <c r="AL313" s="4">
        <v>7.85</v>
      </c>
      <c r="AM313">
        <v>6.1</v>
      </c>
      <c r="AN313" s="5">
        <f t="shared" si="139"/>
        <v>1.75</v>
      </c>
      <c r="AO313">
        <v>1.89</v>
      </c>
      <c r="AP313" s="3">
        <f t="shared" si="140"/>
        <v>0.925925925925926</v>
      </c>
      <c r="AR313" s="4">
        <v>1.07791666666666</v>
      </c>
      <c r="AS313">
        <v>0.02</v>
      </c>
      <c r="AT313" s="5">
        <f t="shared" si="141"/>
        <v>1.05791666666666</v>
      </c>
      <c r="AU313">
        <v>2.84</v>
      </c>
      <c r="AV313" s="3">
        <f t="shared" si="142"/>
        <v>0.372505868544599</v>
      </c>
      <c r="AX313" s="4">
        <v>10.8931334375</v>
      </c>
      <c r="AY313">
        <v>3.44</v>
      </c>
      <c r="AZ313" s="5">
        <f t="shared" si="143"/>
        <v>7.4531334375</v>
      </c>
      <c r="BA313">
        <v>29.17</v>
      </c>
      <c r="BB313" s="3">
        <f t="shared" si="144"/>
        <v>0.255506802793966</v>
      </c>
      <c r="BD313" s="4">
        <v>0.19375</v>
      </c>
      <c r="BE313">
        <v>0.17</v>
      </c>
      <c r="BF313" s="5">
        <f t="shared" si="145"/>
        <v>0.02375</v>
      </c>
      <c r="BG313">
        <v>4</v>
      </c>
      <c r="BH313" s="3">
        <f t="shared" si="146"/>
        <v>0.0059375</v>
      </c>
      <c r="BJ313" s="9">
        <v>11.8355834208333</v>
      </c>
      <c r="BK313">
        <v>4.8</v>
      </c>
      <c r="BL313" s="5">
        <f t="shared" si="147"/>
        <v>7.0355834208333</v>
      </c>
      <c r="BM313">
        <v>8.9</v>
      </c>
      <c r="BN313" s="3">
        <f t="shared" si="148"/>
        <v>0.790514991104865</v>
      </c>
      <c r="BP313" s="9">
        <v>0.299841666666667</v>
      </c>
      <c r="BQ313">
        <v>0.09</v>
      </c>
      <c r="BR313" s="5">
        <f t="shared" si="149"/>
        <v>0.209841666666667</v>
      </c>
      <c r="BS313">
        <v>0.43</v>
      </c>
      <c r="BT313" s="3">
        <f t="shared" si="150"/>
        <v>0.488003875968993</v>
      </c>
      <c r="BV313" s="4">
        <v>6.94615835</v>
      </c>
      <c r="BW313">
        <v>6.18</v>
      </c>
      <c r="BX313" s="5">
        <f t="shared" si="151"/>
        <v>0.76615835</v>
      </c>
      <c r="BY313">
        <v>1.68</v>
      </c>
      <c r="BZ313" s="3">
        <f t="shared" si="152"/>
        <v>0.456046636904762</v>
      </c>
      <c r="CB313" s="10">
        <v>78.6</v>
      </c>
      <c r="CC313">
        <v>54.3</v>
      </c>
      <c r="CD313" s="12">
        <f t="shared" si="153"/>
        <v>24.3</v>
      </c>
      <c r="CE313">
        <v>71.3</v>
      </c>
      <c r="CF313" s="3">
        <f t="shared" si="154"/>
        <v>0.340813464235624</v>
      </c>
      <c r="CH313" s="13">
        <v>45.9</v>
      </c>
      <c r="CI313">
        <v>22.6</v>
      </c>
      <c r="CJ313">
        <f t="shared" si="155"/>
        <v>23.3</v>
      </c>
      <c r="CK313">
        <v>25.1</v>
      </c>
      <c r="CL313">
        <f t="shared" si="156"/>
        <v>0.928286852589641</v>
      </c>
      <c r="CN313" s="11">
        <v>3.5</v>
      </c>
      <c r="CO313">
        <v>3</v>
      </c>
      <c r="CP313" s="12">
        <f t="shared" si="157"/>
        <v>0.5</v>
      </c>
      <c r="CQ313">
        <v>3.4</v>
      </c>
      <c r="CR313" s="3">
        <f t="shared" si="158"/>
        <v>0.147058823529412</v>
      </c>
    </row>
    <row r="314" spans="2:96">
      <c r="B314" s="1">
        <v>45567</v>
      </c>
      <c r="C314">
        <v>32416</v>
      </c>
      <c r="D314" s="2">
        <f t="shared" si="159"/>
        <v>13151</v>
      </c>
      <c r="E314">
        <v>31904</v>
      </c>
      <c r="F314" s="3">
        <f t="shared" si="128"/>
        <v>0.412205366098295</v>
      </c>
      <c r="H314" s="1">
        <v>44245</v>
      </c>
      <c r="I314">
        <v>31145</v>
      </c>
      <c r="J314" s="2">
        <f t="shared" si="129"/>
        <v>13100</v>
      </c>
      <c r="K314">
        <v>32760</v>
      </c>
      <c r="L314" s="3">
        <f t="shared" si="130"/>
        <v>0.3998778998779</v>
      </c>
      <c r="N314" s="4">
        <v>220.666670475</v>
      </c>
      <c r="O314">
        <v>201.27</v>
      </c>
      <c r="P314" s="5">
        <f t="shared" si="131"/>
        <v>19.396670475</v>
      </c>
      <c r="Q314">
        <v>79.69</v>
      </c>
      <c r="R314" s="3">
        <f t="shared" si="132"/>
        <v>0.243401561990212</v>
      </c>
      <c r="T314" s="4">
        <v>155.062500154166</v>
      </c>
      <c r="U314">
        <v>100.23</v>
      </c>
      <c r="V314" s="5">
        <f t="shared" si="133"/>
        <v>54.832500154166</v>
      </c>
      <c r="W314">
        <v>410.93</v>
      </c>
      <c r="X314" s="3">
        <f t="shared" si="134"/>
        <v>0.133435135312988</v>
      </c>
      <c r="Z314" s="4">
        <v>40.8575000666667</v>
      </c>
      <c r="AA314">
        <v>13.25</v>
      </c>
      <c r="AB314" s="5">
        <f t="shared" si="135"/>
        <v>27.6075000666667</v>
      </c>
      <c r="AC314">
        <v>33.93</v>
      </c>
      <c r="AD314" s="3">
        <f t="shared" si="136"/>
        <v>0.813660479418411</v>
      </c>
      <c r="AF314" s="4">
        <v>4.63</v>
      </c>
      <c r="AG314">
        <v>2.09</v>
      </c>
      <c r="AH314" s="5">
        <f t="shared" si="137"/>
        <v>2.54</v>
      </c>
      <c r="AI314">
        <v>3.85</v>
      </c>
      <c r="AJ314" s="3">
        <f t="shared" si="138"/>
        <v>0.65974025974026</v>
      </c>
      <c r="AL314" s="4">
        <v>7.92</v>
      </c>
      <c r="AM314">
        <v>6.1</v>
      </c>
      <c r="AN314" s="5">
        <f t="shared" si="139"/>
        <v>1.82</v>
      </c>
      <c r="AO314">
        <v>1.89</v>
      </c>
      <c r="AP314" s="3">
        <f t="shared" si="140"/>
        <v>0.962962962962963</v>
      </c>
      <c r="AR314" s="4">
        <v>1.08458333333333</v>
      </c>
      <c r="AS314">
        <v>0.02</v>
      </c>
      <c r="AT314" s="5">
        <f t="shared" si="141"/>
        <v>1.06458333333333</v>
      </c>
      <c r="AU314">
        <v>2.84</v>
      </c>
      <c r="AV314" s="3">
        <f t="shared" si="142"/>
        <v>0.374853286384975</v>
      </c>
      <c r="AX314" s="4">
        <v>11.5024001625</v>
      </c>
      <c r="AY314">
        <v>3.44</v>
      </c>
      <c r="AZ314" s="5">
        <f t="shared" si="143"/>
        <v>8.0624001625</v>
      </c>
      <c r="BA314">
        <v>29.17</v>
      </c>
      <c r="BB314" s="3">
        <f t="shared" si="144"/>
        <v>0.276393560593075</v>
      </c>
      <c r="BD314" s="4">
        <v>0.34625</v>
      </c>
      <c r="BE314">
        <v>0.17</v>
      </c>
      <c r="BF314" s="5">
        <f t="shared" si="145"/>
        <v>0.17625</v>
      </c>
      <c r="BG314">
        <v>4</v>
      </c>
      <c r="BH314" s="3">
        <f t="shared" si="146"/>
        <v>0.0440625</v>
      </c>
      <c r="BJ314" s="9">
        <v>12.5275833625</v>
      </c>
      <c r="BK314">
        <v>4.8</v>
      </c>
      <c r="BL314" s="5">
        <f t="shared" si="147"/>
        <v>7.7275833625</v>
      </c>
      <c r="BM314">
        <v>8.9</v>
      </c>
      <c r="BN314" s="3">
        <f t="shared" si="148"/>
        <v>0.868267793539326</v>
      </c>
      <c r="BP314" s="9">
        <v>0.306341666666667</v>
      </c>
      <c r="BQ314">
        <v>0.09</v>
      </c>
      <c r="BR314" s="5">
        <f t="shared" si="149"/>
        <v>0.216341666666667</v>
      </c>
      <c r="BS314">
        <v>0.43</v>
      </c>
      <c r="BT314" s="3">
        <f t="shared" si="150"/>
        <v>0.503120155038761</v>
      </c>
      <c r="BV314" s="4">
        <v>6.93869170833333</v>
      </c>
      <c r="BW314">
        <v>6.18</v>
      </c>
      <c r="BX314" s="5">
        <f t="shared" si="151"/>
        <v>0.75869170833333</v>
      </c>
      <c r="BY314">
        <v>1.68</v>
      </c>
      <c r="BZ314" s="3">
        <f t="shared" si="152"/>
        <v>0.451602207341268</v>
      </c>
      <c r="CB314" s="10">
        <v>79.2</v>
      </c>
      <c r="CC314">
        <v>54.3</v>
      </c>
      <c r="CD314" s="12">
        <f t="shared" si="153"/>
        <v>24.9</v>
      </c>
      <c r="CE314">
        <v>71.3</v>
      </c>
      <c r="CF314" s="3">
        <f t="shared" si="154"/>
        <v>0.349228611500701</v>
      </c>
      <c r="CH314" s="13">
        <v>47.3</v>
      </c>
      <c r="CI314">
        <v>22.6</v>
      </c>
      <c r="CJ314">
        <f t="shared" si="155"/>
        <v>24.7</v>
      </c>
      <c r="CK314">
        <v>25.1</v>
      </c>
      <c r="CL314">
        <f t="shared" si="156"/>
        <v>0.98406374501992</v>
      </c>
      <c r="CN314" s="10">
        <v>3.6</v>
      </c>
      <c r="CO314">
        <v>3</v>
      </c>
      <c r="CP314" s="12">
        <f t="shared" si="157"/>
        <v>0.6</v>
      </c>
      <c r="CQ314">
        <v>3.4</v>
      </c>
      <c r="CR314" s="3">
        <f t="shared" si="158"/>
        <v>0.176470588235294</v>
      </c>
    </row>
    <row r="315" spans="2:96">
      <c r="B315" s="1">
        <v>46513</v>
      </c>
      <c r="C315">
        <v>32416</v>
      </c>
      <c r="D315" s="2">
        <f t="shared" si="159"/>
        <v>14097</v>
      </c>
      <c r="E315">
        <v>31904</v>
      </c>
      <c r="F315" s="3">
        <f t="shared" si="128"/>
        <v>0.441856820461384</v>
      </c>
      <c r="H315" s="1">
        <v>46182</v>
      </c>
      <c r="I315">
        <v>31145</v>
      </c>
      <c r="J315" s="2">
        <f t="shared" si="129"/>
        <v>15037</v>
      </c>
      <c r="K315">
        <v>32760</v>
      </c>
      <c r="L315" s="3">
        <f t="shared" si="130"/>
        <v>0.459004884004884</v>
      </c>
      <c r="N315" s="4">
        <v>211.726669308333</v>
      </c>
      <c r="O315">
        <v>201.27</v>
      </c>
      <c r="P315" s="5">
        <f t="shared" si="131"/>
        <v>10.456669308333</v>
      </c>
      <c r="Q315">
        <v>79.69</v>
      </c>
      <c r="R315" s="3">
        <f t="shared" si="132"/>
        <v>0.131216831576521</v>
      </c>
      <c r="T315" s="4">
        <v>157.108333433333</v>
      </c>
      <c r="U315">
        <v>100.23</v>
      </c>
      <c r="V315" s="5">
        <f t="shared" si="133"/>
        <v>56.878333433333</v>
      </c>
      <c r="W315">
        <v>410.93</v>
      </c>
      <c r="X315" s="3">
        <f t="shared" si="134"/>
        <v>0.138413679783255</v>
      </c>
      <c r="Z315" s="4">
        <v>42.5975009583333</v>
      </c>
      <c r="AA315">
        <v>13.25</v>
      </c>
      <c r="AB315" s="5">
        <f t="shared" si="135"/>
        <v>29.3475009583333</v>
      </c>
      <c r="AC315">
        <v>33.93</v>
      </c>
      <c r="AD315" s="3">
        <f t="shared" si="136"/>
        <v>0.864942556980056</v>
      </c>
      <c r="AF315" s="4">
        <v>4.17</v>
      </c>
      <c r="AG315">
        <v>2.09</v>
      </c>
      <c r="AH315" s="5">
        <f t="shared" si="137"/>
        <v>2.08</v>
      </c>
      <c r="AI315">
        <v>3.85</v>
      </c>
      <c r="AJ315" s="3">
        <f t="shared" si="138"/>
        <v>0.54025974025974</v>
      </c>
      <c r="AL315" s="4">
        <v>7.79</v>
      </c>
      <c r="AM315">
        <v>6.1</v>
      </c>
      <c r="AN315" s="5">
        <f t="shared" si="139"/>
        <v>1.69</v>
      </c>
      <c r="AO315">
        <v>1.89</v>
      </c>
      <c r="AP315" s="3">
        <f t="shared" si="140"/>
        <v>0.894179894179894</v>
      </c>
      <c r="AR315" s="4">
        <v>0.883333333333333</v>
      </c>
      <c r="AS315">
        <v>0.02</v>
      </c>
      <c r="AT315" s="5">
        <f t="shared" si="141"/>
        <v>0.863333333333333</v>
      </c>
      <c r="AU315">
        <v>2.84</v>
      </c>
      <c r="AV315" s="3">
        <f t="shared" si="142"/>
        <v>0.303990610328638</v>
      </c>
      <c r="AX315" s="4">
        <v>11.9062666166667</v>
      </c>
      <c r="AY315">
        <v>3.44</v>
      </c>
      <c r="AZ315" s="5">
        <f t="shared" si="143"/>
        <v>8.4662666166667</v>
      </c>
      <c r="BA315">
        <v>29.17</v>
      </c>
      <c r="BB315" s="3">
        <f t="shared" si="144"/>
        <v>0.290238828133929</v>
      </c>
      <c r="BD315" s="4">
        <v>0.227</v>
      </c>
      <c r="BE315">
        <v>0.17</v>
      </c>
      <c r="BF315" s="5">
        <f t="shared" si="145"/>
        <v>0.057</v>
      </c>
      <c r="BG315">
        <v>4</v>
      </c>
      <c r="BH315" s="3">
        <f t="shared" si="146"/>
        <v>0.01425</v>
      </c>
      <c r="BJ315" s="9">
        <v>12.6895832625</v>
      </c>
      <c r="BK315">
        <v>4.8</v>
      </c>
      <c r="BL315" s="5">
        <f t="shared" si="147"/>
        <v>7.8895832625</v>
      </c>
      <c r="BM315">
        <v>8.9</v>
      </c>
      <c r="BN315" s="3">
        <f t="shared" si="148"/>
        <v>0.886470029494382</v>
      </c>
      <c r="BP315" s="9">
        <v>0.318466666666667</v>
      </c>
      <c r="BQ315">
        <v>0.09</v>
      </c>
      <c r="BR315" s="5">
        <f t="shared" si="149"/>
        <v>0.228466666666667</v>
      </c>
      <c r="BS315">
        <v>0.43</v>
      </c>
      <c r="BT315" s="3">
        <f t="shared" si="150"/>
        <v>0.531317829457365</v>
      </c>
      <c r="BV315" s="4">
        <v>6.9185667125</v>
      </c>
      <c r="BW315">
        <v>6.18</v>
      </c>
      <c r="BX315" s="5">
        <f t="shared" si="151"/>
        <v>0.7385667125</v>
      </c>
      <c r="BY315">
        <v>1.68</v>
      </c>
      <c r="BZ315" s="3">
        <f t="shared" si="152"/>
        <v>0.439623043154762</v>
      </c>
      <c r="CB315" s="10">
        <v>80.1</v>
      </c>
      <c r="CC315">
        <v>54.3</v>
      </c>
      <c r="CD315" s="12">
        <f t="shared" si="153"/>
        <v>25.8</v>
      </c>
      <c r="CE315">
        <v>71.3</v>
      </c>
      <c r="CF315" s="3">
        <f t="shared" si="154"/>
        <v>0.361851332398317</v>
      </c>
      <c r="CH315" s="13">
        <v>46.2</v>
      </c>
      <c r="CI315">
        <v>22.6</v>
      </c>
      <c r="CJ315">
        <f t="shared" si="155"/>
        <v>23.6</v>
      </c>
      <c r="CK315">
        <v>25.1</v>
      </c>
      <c r="CL315">
        <f t="shared" si="156"/>
        <v>0.940239043824701</v>
      </c>
      <c r="CN315" s="10">
        <v>3.7</v>
      </c>
      <c r="CO315">
        <v>3</v>
      </c>
      <c r="CP315" s="12">
        <f t="shared" si="157"/>
        <v>0.7</v>
      </c>
      <c r="CQ315">
        <v>3.4</v>
      </c>
      <c r="CR315" s="3">
        <f t="shared" si="158"/>
        <v>0.205882352941177</v>
      </c>
    </row>
    <row r="316" spans="2:96">
      <c r="B316" s="1">
        <v>48346</v>
      </c>
      <c r="C316">
        <v>32416</v>
      </c>
      <c r="D316" s="2">
        <f t="shared" si="159"/>
        <v>15930</v>
      </c>
      <c r="E316">
        <v>31904</v>
      </c>
      <c r="F316" s="3">
        <f t="shared" si="128"/>
        <v>0.499310431293882</v>
      </c>
      <c r="H316" s="1">
        <v>48224</v>
      </c>
      <c r="I316">
        <v>31145</v>
      </c>
      <c r="J316" s="2">
        <f t="shared" si="129"/>
        <v>17079</v>
      </c>
      <c r="K316">
        <v>32760</v>
      </c>
      <c r="L316" s="3">
        <f t="shared" si="130"/>
        <v>0.521336996336996</v>
      </c>
      <c r="N316" s="4">
        <v>251.609999979167</v>
      </c>
      <c r="O316">
        <v>201.27</v>
      </c>
      <c r="P316" s="5">
        <f t="shared" si="131"/>
        <v>50.339999979167</v>
      </c>
      <c r="Q316">
        <v>79.69</v>
      </c>
      <c r="R316" s="3">
        <f t="shared" si="132"/>
        <v>0.631697828826289</v>
      </c>
      <c r="T316" s="4">
        <v>177.645833175</v>
      </c>
      <c r="U316">
        <v>100.23</v>
      </c>
      <c r="V316" s="5">
        <f t="shared" si="133"/>
        <v>77.415833175</v>
      </c>
      <c r="W316">
        <v>410.93</v>
      </c>
      <c r="X316" s="3">
        <f t="shared" si="134"/>
        <v>0.188391777614192</v>
      </c>
      <c r="Z316" s="4">
        <v>47.1004163375</v>
      </c>
      <c r="AA316">
        <v>13.25</v>
      </c>
      <c r="AB316" s="5">
        <f t="shared" si="135"/>
        <v>33.8504163375</v>
      </c>
      <c r="AC316">
        <v>33.93</v>
      </c>
      <c r="AD316" s="3">
        <f t="shared" si="136"/>
        <v>0.997654475022104</v>
      </c>
      <c r="AF316" s="4">
        <v>4.19</v>
      </c>
      <c r="AG316">
        <v>2.09</v>
      </c>
      <c r="AH316" s="5">
        <f t="shared" si="137"/>
        <v>2.1</v>
      </c>
      <c r="AI316">
        <v>3.85</v>
      </c>
      <c r="AJ316" s="3">
        <f t="shared" si="138"/>
        <v>0.545454545454546</v>
      </c>
      <c r="AL316" s="4">
        <v>7.92</v>
      </c>
      <c r="AM316">
        <v>6.1</v>
      </c>
      <c r="AN316" s="5">
        <f t="shared" si="139"/>
        <v>1.82</v>
      </c>
      <c r="AO316">
        <v>1.89</v>
      </c>
      <c r="AP316" s="3">
        <f t="shared" si="140"/>
        <v>0.962962962962963</v>
      </c>
      <c r="AR316" s="4">
        <v>0.496666666666666</v>
      </c>
      <c r="AS316">
        <v>0.02</v>
      </c>
      <c r="AT316" s="5">
        <f t="shared" si="141"/>
        <v>0.476666666666666</v>
      </c>
      <c r="AU316">
        <v>2.84</v>
      </c>
      <c r="AV316" s="3">
        <f t="shared" si="142"/>
        <v>0.167840375586854</v>
      </c>
      <c r="AX316" s="4">
        <v>12.0224000541667</v>
      </c>
      <c r="AY316">
        <v>3.44</v>
      </c>
      <c r="AZ316" s="5">
        <f t="shared" si="143"/>
        <v>8.5824000541667</v>
      </c>
      <c r="BA316">
        <v>29.17</v>
      </c>
      <c r="BB316" s="3">
        <f t="shared" si="144"/>
        <v>0.294220090989602</v>
      </c>
      <c r="BD316" s="4">
        <v>0.613416666666667</v>
      </c>
      <c r="BE316">
        <v>0.17</v>
      </c>
      <c r="BF316" s="5">
        <f t="shared" si="145"/>
        <v>0.443416666666667</v>
      </c>
      <c r="BG316">
        <v>4</v>
      </c>
      <c r="BH316" s="3">
        <f t="shared" si="146"/>
        <v>0.110854166666667</v>
      </c>
      <c r="BJ316" s="9">
        <v>12.1629999833333</v>
      </c>
      <c r="BK316">
        <v>4.8</v>
      </c>
      <c r="BL316" s="5">
        <f t="shared" si="147"/>
        <v>7.3629999833333</v>
      </c>
      <c r="BM316">
        <v>8.9</v>
      </c>
      <c r="BN316" s="3">
        <f t="shared" si="148"/>
        <v>0.827303368913854</v>
      </c>
      <c r="BP316" s="9">
        <v>0.3024</v>
      </c>
      <c r="BQ316">
        <v>0.09</v>
      </c>
      <c r="BR316" s="5">
        <f t="shared" si="149"/>
        <v>0.2124</v>
      </c>
      <c r="BS316">
        <v>0.43</v>
      </c>
      <c r="BT316" s="3">
        <f t="shared" si="150"/>
        <v>0.493953488372093</v>
      </c>
      <c r="BV316" s="4">
        <v>6.86927497083333</v>
      </c>
      <c r="BW316">
        <v>6.18</v>
      </c>
      <c r="BX316" s="5">
        <f t="shared" si="151"/>
        <v>0.68927497083333</v>
      </c>
      <c r="BY316">
        <v>1.68</v>
      </c>
      <c r="BZ316" s="3">
        <f t="shared" si="152"/>
        <v>0.410282720734125</v>
      </c>
      <c r="CB316" s="10">
        <v>82.3</v>
      </c>
      <c r="CC316">
        <v>54.3</v>
      </c>
      <c r="CD316" s="12">
        <f t="shared" si="153"/>
        <v>28</v>
      </c>
      <c r="CE316">
        <v>71.3</v>
      </c>
      <c r="CF316" s="3">
        <f t="shared" si="154"/>
        <v>0.392706872370266</v>
      </c>
      <c r="CH316" s="13">
        <v>47.7</v>
      </c>
      <c r="CI316">
        <v>22.6</v>
      </c>
      <c r="CJ316">
        <f t="shared" si="155"/>
        <v>25.1</v>
      </c>
      <c r="CK316">
        <v>25.1</v>
      </c>
      <c r="CL316">
        <f t="shared" si="156"/>
        <v>1</v>
      </c>
      <c r="CN316" s="10">
        <v>3</v>
      </c>
      <c r="CO316">
        <v>3</v>
      </c>
      <c r="CP316" s="12">
        <f t="shared" si="157"/>
        <v>0</v>
      </c>
      <c r="CQ316">
        <v>3.4</v>
      </c>
      <c r="CR316" s="3">
        <f t="shared" si="158"/>
        <v>0</v>
      </c>
    </row>
    <row r="317" spans="2:96">
      <c r="B317" s="1">
        <v>48971</v>
      </c>
      <c r="C317">
        <v>32416</v>
      </c>
      <c r="D317" s="2">
        <f t="shared" si="159"/>
        <v>16555</v>
      </c>
      <c r="E317">
        <v>31904</v>
      </c>
      <c r="F317" s="3">
        <f t="shared" si="128"/>
        <v>0.518900451354062</v>
      </c>
      <c r="H317" s="1">
        <v>48735</v>
      </c>
      <c r="I317">
        <v>31145</v>
      </c>
      <c r="J317" s="2">
        <f t="shared" si="129"/>
        <v>17590</v>
      </c>
      <c r="K317">
        <v>32760</v>
      </c>
      <c r="L317" s="3">
        <f t="shared" si="130"/>
        <v>0.536935286935287</v>
      </c>
      <c r="N317" s="4">
        <v>250.8766670125</v>
      </c>
      <c r="O317">
        <v>201.27</v>
      </c>
      <c r="P317" s="5">
        <f t="shared" si="131"/>
        <v>49.6066670125</v>
      </c>
      <c r="Q317">
        <v>79.69</v>
      </c>
      <c r="R317" s="3">
        <f t="shared" si="132"/>
        <v>0.622495507748776</v>
      </c>
      <c r="T317" s="4">
        <v>169.308333729166</v>
      </c>
      <c r="U317">
        <v>100.23</v>
      </c>
      <c r="V317" s="5">
        <f t="shared" si="133"/>
        <v>69.078333729166</v>
      </c>
      <c r="W317">
        <v>410.93</v>
      </c>
      <c r="X317" s="3">
        <f t="shared" si="134"/>
        <v>0.168102435278919</v>
      </c>
      <c r="Z317" s="4">
        <v>46.8637501375</v>
      </c>
      <c r="AA317">
        <v>13.25</v>
      </c>
      <c r="AB317" s="5">
        <f t="shared" si="135"/>
        <v>33.6137501375</v>
      </c>
      <c r="AC317">
        <v>33.93</v>
      </c>
      <c r="AD317" s="3">
        <f t="shared" si="136"/>
        <v>0.990679343869732</v>
      </c>
      <c r="AF317" s="4">
        <v>3.71</v>
      </c>
      <c r="AG317">
        <v>2.09</v>
      </c>
      <c r="AH317" s="5">
        <f t="shared" si="137"/>
        <v>1.62</v>
      </c>
      <c r="AI317">
        <v>3.85</v>
      </c>
      <c r="AJ317" s="3">
        <f t="shared" si="138"/>
        <v>0.420779220779221</v>
      </c>
      <c r="AL317" s="4">
        <v>7.96</v>
      </c>
      <c r="AM317">
        <v>6.1</v>
      </c>
      <c r="AN317" s="5">
        <f t="shared" si="139"/>
        <v>1.86</v>
      </c>
      <c r="AO317">
        <v>1.89</v>
      </c>
      <c r="AP317" s="3">
        <f t="shared" si="140"/>
        <v>0.984126984126984</v>
      </c>
      <c r="AR317" s="4">
        <v>0.7925</v>
      </c>
      <c r="AS317">
        <v>0.02</v>
      </c>
      <c r="AT317" s="5">
        <f t="shared" si="141"/>
        <v>0.7725</v>
      </c>
      <c r="AU317">
        <v>2.84</v>
      </c>
      <c r="AV317" s="3">
        <f t="shared" si="142"/>
        <v>0.272007042253521</v>
      </c>
      <c r="AX317" s="4">
        <v>12.7304668291667</v>
      </c>
      <c r="AY317">
        <v>3.44</v>
      </c>
      <c r="AZ317" s="5">
        <f t="shared" si="143"/>
        <v>9.2904668291667</v>
      </c>
      <c r="BA317">
        <v>29.17</v>
      </c>
      <c r="BB317" s="3">
        <f t="shared" si="144"/>
        <v>0.318493891983774</v>
      </c>
      <c r="BD317" s="4">
        <v>1.60466670416667</v>
      </c>
      <c r="BE317">
        <v>0.17</v>
      </c>
      <c r="BF317" s="5">
        <f t="shared" si="145"/>
        <v>1.43466670416667</v>
      </c>
      <c r="BG317">
        <v>4</v>
      </c>
      <c r="BH317" s="3">
        <f t="shared" si="146"/>
        <v>0.358666676041668</v>
      </c>
      <c r="BJ317" s="9">
        <v>11.1354167541667</v>
      </c>
      <c r="BK317">
        <v>4.8</v>
      </c>
      <c r="BL317" s="5">
        <f t="shared" si="147"/>
        <v>6.3354167541667</v>
      </c>
      <c r="BM317">
        <v>8.9</v>
      </c>
      <c r="BN317" s="3">
        <f t="shared" si="148"/>
        <v>0.711844579119854</v>
      </c>
      <c r="BP317" s="9">
        <v>0.259891666666667</v>
      </c>
      <c r="BQ317">
        <v>0.09</v>
      </c>
      <c r="BR317" s="5">
        <f t="shared" si="149"/>
        <v>0.169891666666667</v>
      </c>
      <c r="BS317">
        <v>0.43</v>
      </c>
      <c r="BT317" s="3">
        <f t="shared" si="150"/>
        <v>0.395096899224807</v>
      </c>
      <c r="BV317" s="4">
        <v>6.88251668333333</v>
      </c>
      <c r="BW317">
        <v>6.18</v>
      </c>
      <c r="BX317" s="5">
        <f t="shared" si="151"/>
        <v>0.702516683333331</v>
      </c>
      <c r="BY317">
        <v>1.68</v>
      </c>
      <c r="BZ317" s="3">
        <f t="shared" si="152"/>
        <v>0.418164692460316</v>
      </c>
      <c r="CB317" s="10">
        <v>84.2</v>
      </c>
      <c r="CC317">
        <v>54.3</v>
      </c>
      <c r="CD317" s="12">
        <f t="shared" si="153"/>
        <v>29.9</v>
      </c>
      <c r="CE317">
        <v>71.3</v>
      </c>
      <c r="CF317" s="3">
        <f t="shared" si="154"/>
        <v>0.419354838709677</v>
      </c>
      <c r="CH317" s="13">
        <v>47.3</v>
      </c>
      <c r="CI317">
        <v>22.6</v>
      </c>
      <c r="CJ317">
        <f t="shared" si="155"/>
        <v>24.7</v>
      </c>
      <c r="CK317">
        <v>25.1</v>
      </c>
      <c r="CL317">
        <f t="shared" si="156"/>
        <v>0.98406374501992</v>
      </c>
      <c r="CN317" s="10">
        <v>3.4</v>
      </c>
      <c r="CO317">
        <v>3</v>
      </c>
      <c r="CP317" s="12">
        <f t="shared" si="157"/>
        <v>0.4</v>
      </c>
      <c r="CQ317">
        <v>3.4</v>
      </c>
      <c r="CR317" s="3">
        <f t="shared" si="158"/>
        <v>0.117647058823529</v>
      </c>
    </row>
    <row r="318" spans="2:96">
      <c r="B318" s="1">
        <v>46687</v>
      </c>
      <c r="C318">
        <v>32416</v>
      </c>
      <c r="D318" s="2">
        <f t="shared" si="159"/>
        <v>14271</v>
      </c>
      <c r="E318">
        <v>31904</v>
      </c>
      <c r="F318" s="3">
        <f t="shared" si="128"/>
        <v>0.447310682046138</v>
      </c>
      <c r="H318" s="1">
        <v>46721</v>
      </c>
      <c r="I318">
        <v>31145</v>
      </c>
      <c r="J318" s="2">
        <f t="shared" si="129"/>
        <v>15576</v>
      </c>
      <c r="K318">
        <v>32760</v>
      </c>
      <c r="L318" s="3">
        <f t="shared" si="130"/>
        <v>0.475457875457875</v>
      </c>
      <c r="N318" s="4">
        <v>251.3433341875</v>
      </c>
      <c r="O318">
        <v>201.27</v>
      </c>
      <c r="P318" s="5">
        <f t="shared" si="131"/>
        <v>50.0733341875</v>
      </c>
      <c r="Q318">
        <v>79.69</v>
      </c>
      <c r="R318" s="3">
        <f t="shared" si="132"/>
        <v>0.628351539559543</v>
      </c>
      <c r="T318" s="4">
        <v>152.6791680625</v>
      </c>
      <c r="U318">
        <v>100.23</v>
      </c>
      <c r="V318" s="5">
        <f t="shared" si="133"/>
        <v>52.4491680625</v>
      </c>
      <c r="W318">
        <v>410.93</v>
      </c>
      <c r="X318" s="3">
        <f t="shared" si="134"/>
        <v>0.127635285967196</v>
      </c>
      <c r="Z318" s="4">
        <v>46.3237506541667</v>
      </c>
      <c r="AA318">
        <v>13.25</v>
      </c>
      <c r="AB318" s="5">
        <f t="shared" si="135"/>
        <v>33.0737506541667</v>
      </c>
      <c r="AC318">
        <v>33.93</v>
      </c>
      <c r="AD318" s="3">
        <f t="shared" si="136"/>
        <v>0.974764239733767</v>
      </c>
      <c r="AF318" s="4">
        <v>4.52</v>
      </c>
      <c r="AG318">
        <v>2.09</v>
      </c>
      <c r="AH318" s="5">
        <f t="shared" si="137"/>
        <v>2.43</v>
      </c>
      <c r="AI318">
        <v>3.85</v>
      </c>
      <c r="AJ318" s="3">
        <f t="shared" si="138"/>
        <v>0.631168831168831</v>
      </c>
      <c r="AL318" s="4">
        <v>7.11404167916667</v>
      </c>
      <c r="AM318">
        <v>6.1</v>
      </c>
      <c r="AN318" s="5">
        <f t="shared" si="139"/>
        <v>1.01404167916667</v>
      </c>
      <c r="AO318">
        <v>1.89</v>
      </c>
      <c r="AP318" s="3">
        <f t="shared" si="140"/>
        <v>0.536529988977074</v>
      </c>
      <c r="AR318" s="4">
        <v>0.568979166666666</v>
      </c>
      <c r="AS318">
        <v>0.02</v>
      </c>
      <c r="AT318" s="5">
        <f t="shared" si="141"/>
        <v>0.548979166666666</v>
      </c>
      <c r="AU318">
        <v>2.84</v>
      </c>
      <c r="AV318" s="3">
        <f t="shared" si="142"/>
        <v>0.193302523474178</v>
      </c>
      <c r="AX318" s="4">
        <v>17.731133775</v>
      </c>
      <c r="AY318">
        <v>3.44</v>
      </c>
      <c r="AZ318" s="5">
        <f t="shared" si="143"/>
        <v>14.291133775</v>
      </c>
      <c r="BA318">
        <v>29.17</v>
      </c>
      <c r="BB318" s="3">
        <f t="shared" si="144"/>
        <v>0.489925737915667</v>
      </c>
      <c r="BD318" s="4">
        <v>1.32800000416667</v>
      </c>
      <c r="BE318">
        <v>0.17</v>
      </c>
      <c r="BF318" s="5">
        <f t="shared" si="145"/>
        <v>1.15800000416667</v>
      </c>
      <c r="BG318">
        <v>4</v>
      </c>
      <c r="BH318" s="3">
        <f t="shared" si="146"/>
        <v>0.289500001041668</v>
      </c>
      <c r="BJ318" s="9">
        <v>9.57399995833334</v>
      </c>
      <c r="BK318">
        <v>4.8</v>
      </c>
      <c r="BL318" s="5">
        <f t="shared" si="147"/>
        <v>4.77399995833334</v>
      </c>
      <c r="BM318">
        <v>8.9</v>
      </c>
      <c r="BN318" s="3">
        <f t="shared" si="148"/>
        <v>0.536404489700375</v>
      </c>
      <c r="BP318" s="9">
        <v>0.276891666666667</v>
      </c>
      <c r="BQ318">
        <v>0.09</v>
      </c>
      <c r="BR318" s="5">
        <f t="shared" si="149"/>
        <v>0.186891666666667</v>
      </c>
      <c r="BS318">
        <v>0.43</v>
      </c>
      <c r="BT318" s="3">
        <f t="shared" si="150"/>
        <v>0.434631782945737</v>
      </c>
      <c r="BV318" s="4">
        <v>6.9107499</v>
      </c>
      <c r="BW318">
        <v>6.18</v>
      </c>
      <c r="BX318" s="5">
        <f t="shared" si="151"/>
        <v>0.7307499</v>
      </c>
      <c r="BY318">
        <v>1.68</v>
      </c>
      <c r="BZ318" s="3">
        <f t="shared" si="152"/>
        <v>0.434970178571429</v>
      </c>
      <c r="CB318" s="10">
        <v>83.4</v>
      </c>
      <c r="CC318">
        <v>54.3</v>
      </c>
      <c r="CD318" s="12">
        <f t="shared" si="153"/>
        <v>29.1</v>
      </c>
      <c r="CE318">
        <v>71.3</v>
      </c>
      <c r="CF318" s="3">
        <f t="shared" si="154"/>
        <v>0.408134642356241</v>
      </c>
      <c r="CH318" s="13">
        <v>43.1</v>
      </c>
      <c r="CI318">
        <v>22.6</v>
      </c>
      <c r="CJ318">
        <f t="shared" si="155"/>
        <v>20.5</v>
      </c>
      <c r="CK318">
        <v>25.1</v>
      </c>
      <c r="CL318">
        <f t="shared" si="156"/>
        <v>0.816733067729084</v>
      </c>
      <c r="CN318" s="10">
        <v>3.9</v>
      </c>
      <c r="CO318">
        <v>3</v>
      </c>
      <c r="CP318" s="12">
        <f t="shared" si="157"/>
        <v>0.9</v>
      </c>
      <c r="CQ318">
        <v>3.4</v>
      </c>
      <c r="CR318" s="3">
        <f t="shared" si="158"/>
        <v>0.264705882352941</v>
      </c>
    </row>
    <row r="319" spans="2:96">
      <c r="B319" s="1">
        <v>48213</v>
      </c>
      <c r="C319">
        <v>32416</v>
      </c>
      <c r="D319" s="2">
        <f t="shared" si="159"/>
        <v>15797</v>
      </c>
      <c r="E319">
        <v>31904</v>
      </c>
      <c r="F319" s="3">
        <f t="shared" si="128"/>
        <v>0.495141675025075</v>
      </c>
      <c r="H319" s="1">
        <v>47792</v>
      </c>
      <c r="I319">
        <v>31145</v>
      </c>
      <c r="J319" s="2">
        <f t="shared" si="129"/>
        <v>16647</v>
      </c>
      <c r="K319">
        <v>32760</v>
      </c>
      <c r="L319" s="3">
        <f t="shared" si="130"/>
        <v>0.508150183150183</v>
      </c>
      <c r="N319" s="4">
        <v>251.323331833333</v>
      </c>
      <c r="O319">
        <v>201.27</v>
      </c>
      <c r="P319" s="5">
        <f t="shared" si="131"/>
        <v>50.053331833333</v>
      </c>
      <c r="Q319">
        <v>79.69</v>
      </c>
      <c r="R319" s="3">
        <f t="shared" si="132"/>
        <v>0.628100537499473</v>
      </c>
      <c r="T319" s="4">
        <v>100.8541660375</v>
      </c>
      <c r="U319">
        <v>100.23</v>
      </c>
      <c r="V319" s="5">
        <f t="shared" si="133"/>
        <v>0.62416603749999</v>
      </c>
      <c r="W319">
        <v>410.93</v>
      </c>
      <c r="X319" s="3">
        <f t="shared" si="134"/>
        <v>0.00151891085464675</v>
      </c>
      <c r="Z319" s="4">
        <v>47.1820831333333</v>
      </c>
      <c r="AA319">
        <v>13.25</v>
      </c>
      <c r="AB319" s="5">
        <f t="shared" si="135"/>
        <v>33.9320831333333</v>
      </c>
      <c r="AC319">
        <v>33.93</v>
      </c>
      <c r="AD319" s="3">
        <f t="shared" si="136"/>
        <v>1.00006139502898</v>
      </c>
      <c r="AF319" s="4">
        <v>4.14</v>
      </c>
      <c r="AG319">
        <v>2.09</v>
      </c>
      <c r="AH319" s="5">
        <f t="shared" si="137"/>
        <v>2.05</v>
      </c>
      <c r="AI319">
        <v>3.85</v>
      </c>
      <c r="AJ319" s="3">
        <f t="shared" si="138"/>
        <v>0.532467532467532</v>
      </c>
      <c r="AL319" s="4">
        <v>7.06184342173913</v>
      </c>
      <c r="AM319">
        <v>6.1</v>
      </c>
      <c r="AN319" s="5">
        <f t="shared" si="139"/>
        <v>0.961843421739131</v>
      </c>
      <c r="AO319">
        <v>1.89</v>
      </c>
      <c r="AP319" s="3">
        <f t="shared" si="140"/>
        <v>0.508911863354037</v>
      </c>
      <c r="AR319" s="4">
        <v>0.794583333333333</v>
      </c>
      <c r="AS319">
        <v>0.02</v>
      </c>
      <c r="AT319" s="5">
        <f t="shared" si="141"/>
        <v>0.774583333333333</v>
      </c>
      <c r="AU319">
        <v>2.84</v>
      </c>
      <c r="AV319" s="3">
        <f t="shared" si="142"/>
        <v>0.272740610328638</v>
      </c>
      <c r="AX319" s="4">
        <v>12.1099332916667</v>
      </c>
      <c r="AY319">
        <v>3.44</v>
      </c>
      <c r="AZ319" s="5">
        <f t="shared" si="143"/>
        <v>8.6699332916667</v>
      </c>
      <c r="BA319">
        <v>29.17</v>
      </c>
      <c r="BB319" s="3">
        <f t="shared" si="144"/>
        <v>0.297220887612845</v>
      </c>
      <c r="BD319" s="4">
        <v>0.273333333333333</v>
      </c>
      <c r="BE319">
        <v>0.17</v>
      </c>
      <c r="BF319" s="5">
        <f t="shared" si="145"/>
        <v>0.103333333333333</v>
      </c>
      <c r="BG319">
        <v>4</v>
      </c>
      <c r="BH319" s="3">
        <f t="shared" si="146"/>
        <v>0.0258333333333332</v>
      </c>
      <c r="BJ319" s="9">
        <v>12.8593332833333</v>
      </c>
      <c r="BK319">
        <v>4.8</v>
      </c>
      <c r="BL319" s="5">
        <f t="shared" si="147"/>
        <v>8.0593332833333</v>
      </c>
      <c r="BM319">
        <v>8.9</v>
      </c>
      <c r="BN319" s="3">
        <f t="shared" si="148"/>
        <v>0.905543065543067</v>
      </c>
      <c r="BP319" s="9">
        <v>0.304091666666667</v>
      </c>
      <c r="BQ319">
        <v>0.09</v>
      </c>
      <c r="BR319" s="5">
        <f t="shared" si="149"/>
        <v>0.214091666666667</v>
      </c>
      <c r="BS319">
        <v>0.43</v>
      </c>
      <c r="BT319" s="3">
        <f t="shared" si="150"/>
        <v>0.497887596899226</v>
      </c>
      <c r="BV319" s="4">
        <v>6.88280827916667</v>
      </c>
      <c r="BW319">
        <v>6.18</v>
      </c>
      <c r="BX319" s="5">
        <f t="shared" si="151"/>
        <v>0.70280827916667</v>
      </c>
      <c r="BY319">
        <v>1.68</v>
      </c>
      <c r="BZ319" s="3">
        <f t="shared" si="152"/>
        <v>0.418338261408732</v>
      </c>
      <c r="CB319" s="10">
        <v>82.9</v>
      </c>
      <c r="CC319">
        <v>54.3</v>
      </c>
      <c r="CD319" s="12">
        <f t="shared" si="153"/>
        <v>28.6</v>
      </c>
      <c r="CE319">
        <v>71.3</v>
      </c>
      <c r="CF319" s="3">
        <f t="shared" si="154"/>
        <v>0.401122019635344</v>
      </c>
      <c r="CH319" s="13">
        <v>42.6</v>
      </c>
      <c r="CI319">
        <v>22.6</v>
      </c>
      <c r="CJ319">
        <f t="shared" si="155"/>
        <v>20</v>
      </c>
      <c r="CK319">
        <v>25.1</v>
      </c>
      <c r="CL319">
        <f t="shared" si="156"/>
        <v>0.796812749003984</v>
      </c>
      <c r="CN319" s="10">
        <v>3.5</v>
      </c>
      <c r="CO319">
        <v>3</v>
      </c>
      <c r="CP319" s="12">
        <f t="shared" si="157"/>
        <v>0.5</v>
      </c>
      <c r="CQ319">
        <v>3.4</v>
      </c>
      <c r="CR319" s="3">
        <f t="shared" si="158"/>
        <v>0.147058823529412</v>
      </c>
    </row>
    <row r="320" spans="2:96">
      <c r="B320" s="1">
        <v>48526</v>
      </c>
      <c r="C320">
        <v>32416</v>
      </c>
      <c r="D320" s="2">
        <f t="shared" si="159"/>
        <v>16110</v>
      </c>
      <c r="E320">
        <v>31904</v>
      </c>
      <c r="F320" s="3">
        <f t="shared" si="128"/>
        <v>0.504952357071214</v>
      </c>
      <c r="H320" s="1">
        <v>47914</v>
      </c>
      <c r="I320">
        <v>31145</v>
      </c>
      <c r="J320" s="2">
        <f t="shared" si="129"/>
        <v>16769</v>
      </c>
      <c r="K320">
        <v>32760</v>
      </c>
      <c r="L320" s="3">
        <f t="shared" si="130"/>
        <v>0.511874236874237</v>
      </c>
      <c r="N320" s="4">
        <v>221.2466710375</v>
      </c>
      <c r="O320">
        <v>201.27</v>
      </c>
      <c r="P320" s="5">
        <f t="shared" si="131"/>
        <v>19.9766710375</v>
      </c>
      <c r="Q320">
        <v>79.69</v>
      </c>
      <c r="R320" s="3">
        <f t="shared" si="132"/>
        <v>0.250679772085581</v>
      </c>
      <c r="T320" s="4">
        <v>182.429166479166</v>
      </c>
      <c r="U320">
        <v>100.23</v>
      </c>
      <c r="V320" s="5">
        <f t="shared" si="133"/>
        <v>82.199166479166</v>
      </c>
      <c r="W320">
        <v>410.93</v>
      </c>
      <c r="X320" s="3">
        <f t="shared" si="134"/>
        <v>0.200032040686166</v>
      </c>
      <c r="Z320" s="4">
        <v>44.0441669625</v>
      </c>
      <c r="AA320">
        <v>13.25</v>
      </c>
      <c r="AB320" s="5">
        <f t="shared" si="135"/>
        <v>30.7941669625</v>
      </c>
      <c r="AC320">
        <v>33.93</v>
      </c>
      <c r="AD320" s="3">
        <f t="shared" si="136"/>
        <v>0.907579338712054</v>
      </c>
      <c r="AF320" s="4">
        <v>4.43</v>
      </c>
      <c r="AG320">
        <v>2.09</v>
      </c>
      <c r="AH320" s="5">
        <f t="shared" si="137"/>
        <v>2.34</v>
      </c>
      <c r="AI320">
        <v>3.85</v>
      </c>
      <c r="AJ320" s="3">
        <f t="shared" si="138"/>
        <v>0.607792207792208</v>
      </c>
      <c r="AL320" s="4">
        <v>7.11706676666667</v>
      </c>
      <c r="AM320">
        <v>6.1</v>
      </c>
      <c r="AN320" s="5">
        <f t="shared" si="139"/>
        <v>1.01706676666667</v>
      </c>
      <c r="AO320">
        <v>1.89</v>
      </c>
      <c r="AP320" s="3">
        <f t="shared" si="140"/>
        <v>0.5381305643739</v>
      </c>
      <c r="AR320" s="4">
        <v>0.888125</v>
      </c>
      <c r="AS320">
        <v>0.02</v>
      </c>
      <c r="AT320" s="5">
        <f t="shared" si="141"/>
        <v>0.868125</v>
      </c>
      <c r="AU320">
        <v>2.84</v>
      </c>
      <c r="AV320" s="3">
        <f t="shared" si="142"/>
        <v>0.305677816901408</v>
      </c>
      <c r="AX320" s="4">
        <v>11.9799333833333</v>
      </c>
      <c r="AY320">
        <v>3.44</v>
      </c>
      <c r="AZ320" s="5">
        <f t="shared" si="143"/>
        <v>8.5399333833333</v>
      </c>
      <c r="BA320">
        <v>29.17</v>
      </c>
      <c r="BB320" s="3">
        <f t="shared" si="144"/>
        <v>0.292764257227744</v>
      </c>
      <c r="BD320" s="4">
        <v>0.349833333333333</v>
      </c>
      <c r="BE320">
        <v>0.17</v>
      </c>
      <c r="BF320" s="5">
        <f t="shared" si="145"/>
        <v>0.179833333333333</v>
      </c>
      <c r="BG320">
        <v>4</v>
      </c>
      <c r="BH320" s="3">
        <f t="shared" si="146"/>
        <v>0.0449583333333332</v>
      </c>
      <c r="BJ320" s="9">
        <v>12.4110000166667</v>
      </c>
      <c r="BK320">
        <v>4.8</v>
      </c>
      <c r="BL320" s="5">
        <f t="shared" si="147"/>
        <v>7.6110000166667</v>
      </c>
      <c r="BM320">
        <v>8.9</v>
      </c>
      <c r="BN320" s="3">
        <f t="shared" si="148"/>
        <v>0.855168541198506</v>
      </c>
      <c r="BP320" s="9">
        <v>0.305825</v>
      </c>
      <c r="BQ320">
        <v>0.09</v>
      </c>
      <c r="BR320" s="5">
        <f t="shared" si="149"/>
        <v>0.215825</v>
      </c>
      <c r="BS320">
        <v>0.43</v>
      </c>
      <c r="BT320" s="3">
        <f t="shared" si="150"/>
        <v>0.501918604651163</v>
      </c>
      <c r="BV320" s="4">
        <v>6.8927249375</v>
      </c>
      <c r="BW320">
        <v>6.18</v>
      </c>
      <c r="BX320" s="5">
        <f t="shared" si="151"/>
        <v>0.7127249375</v>
      </c>
      <c r="BY320">
        <v>1.68</v>
      </c>
      <c r="BZ320" s="3">
        <f t="shared" si="152"/>
        <v>0.42424103422619</v>
      </c>
      <c r="CB320" s="10">
        <v>81.5</v>
      </c>
      <c r="CC320">
        <v>54.3</v>
      </c>
      <c r="CD320" s="12">
        <f t="shared" si="153"/>
        <v>27.2</v>
      </c>
      <c r="CE320">
        <v>71.3</v>
      </c>
      <c r="CF320" s="3">
        <f t="shared" si="154"/>
        <v>0.38148667601683</v>
      </c>
      <c r="CH320" s="13">
        <v>40.5</v>
      </c>
      <c r="CI320">
        <v>22.6</v>
      </c>
      <c r="CJ320">
        <f t="shared" si="155"/>
        <v>17.9</v>
      </c>
      <c r="CK320">
        <v>25.1</v>
      </c>
      <c r="CL320">
        <f t="shared" si="156"/>
        <v>0.713147410358566</v>
      </c>
      <c r="CN320" s="11">
        <v>3.8</v>
      </c>
      <c r="CO320">
        <v>3</v>
      </c>
      <c r="CP320" s="12">
        <f t="shared" si="157"/>
        <v>0.8</v>
      </c>
      <c r="CQ320">
        <v>3.4</v>
      </c>
      <c r="CR320" s="3">
        <f t="shared" si="158"/>
        <v>0.235294117647059</v>
      </c>
    </row>
    <row r="321" spans="2:96">
      <c r="B321" s="1">
        <v>45536</v>
      </c>
      <c r="C321">
        <v>32416</v>
      </c>
      <c r="D321" s="2">
        <f t="shared" si="159"/>
        <v>13120</v>
      </c>
      <c r="E321">
        <v>31904</v>
      </c>
      <c r="F321" s="3">
        <f t="shared" si="128"/>
        <v>0.41123370110331</v>
      </c>
      <c r="H321" s="1">
        <v>45265</v>
      </c>
      <c r="I321">
        <v>31145</v>
      </c>
      <c r="J321" s="2">
        <f t="shared" si="129"/>
        <v>14120</v>
      </c>
      <c r="K321">
        <v>32760</v>
      </c>
      <c r="L321" s="3">
        <f t="shared" si="130"/>
        <v>0.431013431013431</v>
      </c>
      <c r="N321" s="4">
        <v>201.280002591667</v>
      </c>
      <c r="O321">
        <v>201.27</v>
      </c>
      <c r="P321" s="5">
        <f t="shared" si="131"/>
        <v>0.0100025916669892</v>
      </c>
      <c r="Q321">
        <v>79.69</v>
      </c>
      <c r="R321" s="3">
        <f t="shared" si="132"/>
        <v>0.000125518781114183</v>
      </c>
      <c r="T321" s="4">
        <v>189.937500008333</v>
      </c>
      <c r="U321">
        <v>100.23</v>
      </c>
      <c r="V321" s="5">
        <f t="shared" si="133"/>
        <v>89.707500008333</v>
      </c>
      <c r="W321">
        <v>410.93</v>
      </c>
      <c r="X321" s="3">
        <f t="shared" si="134"/>
        <v>0.218303604040428</v>
      </c>
      <c r="Z321" s="4">
        <v>37.521666525</v>
      </c>
      <c r="AA321">
        <v>13.25</v>
      </c>
      <c r="AB321" s="5">
        <f t="shared" si="135"/>
        <v>24.271666525</v>
      </c>
      <c r="AC321">
        <v>33.93</v>
      </c>
      <c r="AD321" s="3">
        <f t="shared" si="136"/>
        <v>0.715345314618332</v>
      </c>
      <c r="AF321" s="4">
        <v>4.69</v>
      </c>
      <c r="AG321">
        <v>2.09</v>
      </c>
      <c r="AH321" s="5">
        <f t="shared" si="137"/>
        <v>2.6</v>
      </c>
      <c r="AI321">
        <v>3.85</v>
      </c>
      <c r="AJ321" s="3">
        <f t="shared" si="138"/>
        <v>0.675324675324675</v>
      </c>
      <c r="AL321" s="4">
        <v>7.12754742105263</v>
      </c>
      <c r="AM321">
        <v>6.1</v>
      </c>
      <c r="AN321" s="5">
        <f t="shared" si="139"/>
        <v>1.02754742105263</v>
      </c>
      <c r="AO321">
        <v>1.89</v>
      </c>
      <c r="AP321" s="3">
        <f t="shared" si="140"/>
        <v>0.543675884154831</v>
      </c>
      <c r="AR321" s="4">
        <v>1.095</v>
      </c>
      <c r="AS321">
        <v>0.02</v>
      </c>
      <c r="AT321" s="5">
        <f t="shared" si="141"/>
        <v>1.075</v>
      </c>
      <c r="AU321">
        <v>2.84</v>
      </c>
      <c r="AV321" s="3">
        <f t="shared" si="142"/>
        <v>0.378521126760563</v>
      </c>
      <c r="AX321" s="4">
        <v>11.7571998375</v>
      </c>
      <c r="AY321">
        <v>3.44</v>
      </c>
      <c r="AZ321" s="5">
        <f t="shared" si="143"/>
        <v>8.3171998375</v>
      </c>
      <c r="BA321">
        <v>29.17</v>
      </c>
      <c r="BB321" s="3">
        <f t="shared" si="144"/>
        <v>0.285128551165581</v>
      </c>
      <c r="BD321" s="4">
        <v>0.208666666666667</v>
      </c>
      <c r="BE321">
        <v>0.17</v>
      </c>
      <c r="BF321" s="5">
        <f t="shared" si="145"/>
        <v>0.038666666666667</v>
      </c>
      <c r="BG321">
        <v>4</v>
      </c>
      <c r="BH321" s="3">
        <f t="shared" si="146"/>
        <v>0.00966666666666675</v>
      </c>
      <c r="BJ321" s="9">
        <v>12.2890833666667</v>
      </c>
      <c r="BK321">
        <v>4.8</v>
      </c>
      <c r="BL321" s="5">
        <f t="shared" si="147"/>
        <v>7.4890833666667</v>
      </c>
      <c r="BM321">
        <v>8.9</v>
      </c>
      <c r="BN321" s="3">
        <f t="shared" si="148"/>
        <v>0.841470041198506</v>
      </c>
      <c r="BP321" s="9">
        <v>0.333066666666667</v>
      </c>
      <c r="BQ321">
        <v>0.09</v>
      </c>
      <c r="BR321" s="5">
        <f t="shared" si="149"/>
        <v>0.243066666666667</v>
      </c>
      <c r="BS321">
        <v>0.43</v>
      </c>
      <c r="BT321" s="3">
        <f t="shared" si="150"/>
        <v>0.565271317829458</v>
      </c>
      <c r="BV321" s="4">
        <v>6.91979175416667</v>
      </c>
      <c r="BW321">
        <v>6.18</v>
      </c>
      <c r="BX321" s="5">
        <f t="shared" si="151"/>
        <v>0.73979175416667</v>
      </c>
      <c r="BY321">
        <v>1.68</v>
      </c>
      <c r="BZ321" s="3">
        <f t="shared" si="152"/>
        <v>0.440352234623018</v>
      </c>
      <c r="CB321" s="10">
        <v>79.8</v>
      </c>
      <c r="CC321">
        <v>54.3</v>
      </c>
      <c r="CD321" s="12">
        <f t="shared" si="153"/>
        <v>25.5</v>
      </c>
      <c r="CE321">
        <v>71.3</v>
      </c>
      <c r="CF321" s="3">
        <f t="shared" si="154"/>
        <v>0.357643758765778</v>
      </c>
      <c r="CH321" s="13">
        <v>37.2</v>
      </c>
      <c r="CI321">
        <v>22.6</v>
      </c>
      <c r="CJ321">
        <f t="shared" si="155"/>
        <v>14.6</v>
      </c>
      <c r="CK321">
        <v>25.1</v>
      </c>
      <c r="CL321">
        <f t="shared" si="156"/>
        <v>0.581673306772908</v>
      </c>
      <c r="CN321" s="10">
        <v>3.7</v>
      </c>
      <c r="CO321">
        <v>3</v>
      </c>
      <c r="CP321" s="12">
        <f t="shared" si="157"/>
        <v>0.7</v>
      </c>
      <c r="CQ321">
        <v>3.4</v>
      </c>
      <c r="CR321" s="3">
        <f t="shared" si="158"/>
        <v>0.205882352941177</v>
      </c>
    </row>
    <row r="322" spans="2:96">
      <c r="B322" s="1">
        <v>45365</v>
      </c>
      <c r="C322">
        <v>32416</v>
      </c>
      <c r="D322" s="2">
        <f t="shared" si="159"/>
        <v>12949</v>
      </c>
      <c r="E322">
        <v>31904</v>
      </c>
      <c r="F322" s="3">
        <f t="shared" ref="F322:F366" si="160">D322/E322</f>
        <v>0.405873871614845</v>
      </c>
      <c r="H322" s="1">
        <v>45690</v>
      </c>
      <c r="I322">
        <v>31145</v>
      </c>
      <c r="J322" s="2">
        <f t="shared" ref="J322:J366" si="161">H322-I322</f>
        <v>14545</v>
      </c>
      <c r="K322">
        <v>32760</v>
      </c>
      <c r="L322" s="3">
        <f t="shared" ref="L322:L366" si="162">J322/K322</f>
        <v>0.443986568986569</v>
      </c>
      <c r="N322" s="4">
        <v>221.040002195833</v>
      </c>
      <c r="O322">
        <v>201.27</v>
      </c>
      <c r="P322" s="5">
        <f t="shared" ref="P322:P366" si="163">N322-O322</f>
        <v>19.770002195833</v>
      </c>
      <c r="Q322">
        <v>79.69</v>
      </c>
      <c r="R322" s="3">
        <f t="shared" ref="R322:R366" si="164">P322/Q322</f>
        <v>0.248086362101054</v>
      </c>
      <c r="T322" s="4">
        <v>174.808333070833</v>
      </c>
      <c r="U322">
        <v>100.23</v>
      </c>
      <c r="V322" s="5">
        <f t="shared" ref="V322:V366" si="165">T322-U322</f>
        <v>74.578333070833</v>
      </c>
      <c r="W322">
        <v>410.93</v>
      </c>
      <c r="X322" s="3">
        <f t="shared" ref="X322:X366" si="166">V322/W322</f>
        <v>0.181486708370849</v>
      </c>
      <c r="Z322" s="4">
        <v>30.56999985</v>
      </c>
      <c r="AA322">
        <v>13.25</v>
      </c>
      <c r="AB322" s="5">
        <f t="shared" ref="AB322:AB366" si="167">Z322-AA322</f>
        <v>17.31999985</v>
      </c>
      <c r="AC322">
        <v>33.93</v>
      </c>
      <c r="AD322" s="3">
        <f t="shared" ref="AD322:AD366" si="168">AB322/AC322</f>
        <v>0.510462712938403</v>
      </c>
      <c r="AF322" s="4">
        <v>4.19</v>
      </c>
      <c r="AG322">
        <v>2.09</v>
      </c>
      <c r="AH322" s="5">
        <f t="shared" ref="AH322:AH366" si="169">AF322-AG322</f>
        <v>2.1</v>
      </c>
      <c r="AI322">
        <v>3.85</v>
      </c>
      <c r="AJ322" s="3">
        <f t="shared" ref="AJ322:AJ366" si="170">AH322/AI322</f>
        <v>0.545454545454546</v>
      </c>
      <c r="AL322" s="4">
        <v>7.13537991</v>
      </c>
      <c r="AM322">
        <v>6.1</v>
      </c>
      <c r="AN322" s="5">
        <f t="shared" ref="AN322:AN366" si="171">AL322-AM322</f>
        <v>1.03537991</v>
      </c>
      <c r="AO322">
        <v>1.89</v>
      </c>
      <c r="AP322" s="3">
        <f t="shared" ref="AP322:AP366" si="172">AN322/AO322</f>
        <v>0.547820058201059</v>
      </c>
      <c r="AR322" s="4">
        <v>0.5875</v>
      </c>
      <c r="AS322">
        <v>0.02</v>
      </c>
      <c r="AT322" s="5">
        <f t="shared" ref="AT322:AT366" si="173">AR322-AS322</f>
        <v>0.5675</v>
      </c>
      <c r="AU322">
        <v>2.84</v>
      </c>
      <c r="AV322" s="3">
        <f t="shared" ref="AV322:AV366" si="174">AT322/AU322</f>
        <v>0.199823943661972</v>
      </c>
      <c r="AX322" s="4">
        <v>12.0050667583333</v>
      </c>
      <c r="AY322">
        <v>3.44</v>
      </c>
      <c r="AZ322" s="5">
        <f t="shared" ref="AZ322:AZ366" si="175">AX322-AY322</f>
        <v>8.5650667583333</v>
      </c>
      <c r="BA322">
        <v>29.17</v>
      </c>
      <c r="BB322" s="3">
        <f t="shared" ref="BB322:BB366" si="176">AZ322/BA322</f>
        <v>0.293625874471488</v>
      </c>
      <c r="BD322" s="4">
        <v>0.195333333333333</v>
      </c>
      <c r="BE322">
        <v>0.17</v>
      </c>
      <c r="BF322" s="5">
        <f t="shared" ref="BF322:BF366" si="177">BD322-BE322</f>
        <v>0.025333333333333</v>
      </c>
      <c r="BG322">
        <v>4</v>
      </c>
      <c r="BH322" s="3">
        <f t="shared" ref="BH322:BH366" si="178">BF322/BG322</f>
        <v>0.00633333333333325</v>
      </c>
      <c r="BJ322" s="9">
        <v>11.9266666083333</v>
      </c>
      <c r="BK322">
        <v>4.8</v>
      </c>
      <c r="BL322" s="5">
        <f t="shared" ref="BL322:BL366" si="179">BJ322-BK322</f>
        <v>7.1266666083333</v>
      </c>
      <c r="BM322">
        <v>8.9</v>
      </c>
      <c r="BN322" s="3">
        <f t="shared" ref="BN322:BN366" si="180">BL322/BM322</f>
        <v>0.800749057116101</v>
      </c>
      <c r="BP322" s="9">
        <v>0.333875</v>
      </c>
      <c r="BQ322">
        <v>0.09</v>
      </c>
      <c r="BR322" s="5">
        <f t="shared" ref="BR322:BR366" si="181">BP322-BQ322</f>
        <v>0.243875</v>
      </c>
      <c r="BS322">
        <v>0.43</v>
      </c>
      <c r="BT322" s="3">
        <f t="shared" ref="BT322:BT366" si="182">BR322/BS322</f>
        <v>0.567151162790698</v>
      </c>
      <c r="BV322" s="4">
        <v>6.91045831666667</v>
      </c>
      <c r="BW322">
        <v>6.18</v>
      </c>
      <c r="BX322" s="5">
        <f t="shared" ref="BX322:BX366" si="183">BV322-BW322</f>
        <v>0.73045831666667</v>
      </c>
      <c r="BY322">
        <v>1.68</v>
      </c>
      <c r="BZ322" s="3">
        <f t="shared" ref="BZ322:BZ366" si="184">BX322/BY322</f>
        <v>0.434796617063494</v>
      </c>
      <c r="CB322" s="10">
        <v>78.3</v>
      </c>
      <c r="CC322">
        <v>54.3</v>
      </c>
      <c r="CD322" s="12">
        <f t="shared" ref="CD322:CD366" si="185">CB322-CC322</f>
        <v>24</v>
      </c>
      <c r="CE322">
        <v>71.3</v>
      </c>
      <c r="CF322" s="3">
        <f t="shared" ref="CF322:CF366" si="186">CD322/CE322</f>
        <v>0.336605890603086</v>
      </c>
      <c r="CH322" s="13">
        <v>32.1</v>
      </c>
      <c r="CI322">
        <v>22.6</v>
      </c>
      <c r="CJ322">
        <f t="shared" ref="CJ322:CJ366" si="187">CH322-CI322</f>
        <v>9.5</v>
      </c>
      <c r="CK322">
        <v>25.1</v>
      </c>
      <c r="CL322">
        <f t="shared" ref="CL322:CL366" si="188">CJ322/CK322</f>
        <v>0.378486055776892</v>
      </c>
      <c r="CN322" s="10">
        <v>3.3</v>
      </c>
      <c r="CO322">
        <v>3</v>
      </c>
      <c r="CP322" s="12">
        <f t="shared" ref="CP322:CP366" si="189">CN322-CO322</f>
        <v>0.3</v>
      </c>
      <c r="CQ322">
        <v>3.4</v>
      </c>
      <c r="CR322" s="3">
        <f t="shared" ref="CR322:CR366" si="190">CP322/CQ322</f>
        <v>0.088235294117647</v>
      </c>
    </row>
    <row r="323" spans="2:96">
      <c r="B323" s="1">
        <v>46871</v>
      </c>
      <c r="C323">
        <v>32416</v>
      </c>
      <c r="D323" s="2">
        <f t="shared" ref="D323:D366" si="191">B323-C323</f>
        <v>14455</v>
      </c>
      <c r="E323">
        <v>31904</v>
      </c>
      <c r="F323" s="3">
        <f t="shared" si="160"/>
        <v>0.453077983951856</v>
      </c>
      <c r="H323" s="1">
        <v>46499</v>
      </c>
      <c r="I323">
        <v>31145</v>
      </c>
      <c r="J323" s="2">
        <f t="shared" si="161"/>
        <v>15354</v>
      </c>
      <c r="K323">
        <v>32760</v>
      </c>
      <c r="L323" s="3">
        <f t="shared" si="162"/>
        <v>0.468681318681319</v>
      </c>
      <c r="N323" s="4">
        <v>220.439999254167</v>
      </c>
      <c r="O323">
        <v>201.27</v>
      </c>
      <c r="P323" s="5">
        <f t="shared" si="163"/>
        <v>19.169999254167</v>
      </c>
      <c r="Q323">
        <v>79.69</v>
      </c>
      <c r="R323" s="3">
        <f t="shared" si="164"/>
        <v>0.240557149631911</v>
      </c>
      <c r="T323" s="4">
        <v>183.812500329166</v>
      </c>
      <c r="U323">
        <v>100.23</v>
      </c>
      <c r="V323" s="5">
        <f t="shared" si="165"/>
        <v>83.582500329166</v>
      </c>
      <c r="W323">
        <v>410.93</v>
      </c>
      <c r="X323" s="3">
        <f t="shared" si="166"/>
        <v>0.203398389821055</v>
      </c>
      <c r="Z323" s="4">
        <v>24.5387499291667</v>
      </c>
      <c r="AA323">
        <v>13.25</v>
      </c>
      <c r="AB323" s="5">
        <f t="shared" si="167"/>
        <v>11.2887499291667</v>
      </c>
      <c r="AC323">
        <v>33.93</v>
      </c>
      <c r="AD323" s="3">
        <f t="shared" si="168"/>
        <v>0.33270704182631</v>
      </c>
      <c r="AF323" s="4">
        <v>5.18</v>
      </c>
      <c r="AG323">
        <v>2.09</v>
      </c>
      <c r="AH323" s="5">
        <f t="shared" si="169"/>
        <v>3.09</v>
      </c>
      <c r="AI323">
        <v>3.85</v>
      </c>
      <c r="AJ323" s="3">
        <f t="shared" si="170"/>
        <v>0.802597402597403</v>
      </c>
      <c r="AL323" s="4">
        <v>7.159040035</v>
      </c>
      <c r="AM323">
        <v>6.1</v>
      </c>
      <c r="AN323" s="5">
        <f t="shared" si="171"/>
        <v>1.059040035</v>
      </c>
      <c r="AO323">
        <v>1.89</v>
      </c>
      <c r="AP323" s="3">
        <f t="shared" si="172"/>
        <v>0.560338642857143</v>
      </c>
      <c r="AR323" s="4">
        <v>0.875</v>
      </c>
      <c r="AS323">
        <v>0.02</v>
      </c>
      <c r="AT323" s="5">
        <f t="shared" si="173"/>
        <v>0.855</v>
      </c>
      <c r="AU323">
        <v>2.84</v>
      </c>
      <c r="AV323" s="3">
        <f t="shared" si="174"/>
        <v>0.301056338028169</v>
      </c>
      <c r="AX323" s="4">
        <v>12.1446</v>
      </c>
      <c r="AY323">
        <v>3.44</v>
      </c>
      <c r="AZ323" s="5">
        <f t="shared" si="175"/>
        <v>8.7046</v>
      </c>
      <c r="BA323">
        <v>29.17</v>
      </c>
      <c r="BB323" s="3">
        <f t="shared" si="176"/>
        <v>0.298409324648612</v>
      </c>
      <c r="BD323" s="4">
        <v>0.465666666666667</v>
      </c>
      <c r="BE323">
        <v>0.17</v>
      </c>
      <c r="BF323" s="5">
        <f t="shared" si="177"/>
        <v>0.295666666666667</v>
      </c>
      <c r="BG323">
        <v>4</v>
      </c>
      <c r="BH323" s="3">
        <f t="shared" si="178"/>
        <v>0.0739166666666667</v>
      </c>
      <c r="BJ323" s="9">
        <v>11.3288333</v>
      </c>
      <c r="BK323">
        <v>4.8</v>
      </c>
      <c r="BL323" s="5">
        <f t="shared" si="179"/>
        <v>6.5288333</v>
      </c>
      <c r="BM323">
        <v>8.9</v>
      </c>
      <c r="BN323" s="3">
        <f t="shared" si="180"/>
        <v>0.733576775280899</v>
      </c>
      <c r="BP323" s="9">
        <v>0.308916666666667</v>
      </c>
      <c r="BQ323">
        <v>0.09</v>
      </c>
      <c r="BR323" s="5">
        <f t="shared" si="181"/>
        <v>0.218916666666667</v>
      </c>
      <c r="BS323">
        <v>0.43</v>
      </c>
      <c r="BT323" s="3">
        <f t="shared" si="182"/>
        <v>0.509108527131784</v>
      </c>
      <c r="BV323" s="4">
        <v>6.88904998333333</v>
      </c>
      <c r="BW323">
        <v>6.18</v>
      </c>
      <c r="BX323" s="5">
        <f t="shared" si="183"/>
        <v>0.709049983333331</v>
      </c>
      <c r="BY323">
        <v>1.68</v>
      </c>
      <c r="BZ323" s="3">
        <f t="shared" si="184"/>
        <v>0.422053561507935</v>
      </c>
      <c r="CB323" s="10">
        <v>78.4</v>
      </c>
      <c r="CC323">
        <v>54.3</v>
      </c>
      <c r="CD323" s="12">
        <f t="shared" si="185"/>
        <v>24.1</v>
      </c>
      <c r="CE323">
        <v>71.3</v>
      </c>
      <c r="CF323" s="3">
        <f t="shared" si="186"/>
        <v>0.338008415147265</v>
      </c>
      <c r="CH323" s="13">
        <v>30.4</v>
      </c>
      <c r="CI323">
        <v>22.6</v>
      </c>
      <c r="CJ323">
        <f t="shared" si="187"/>
        <v>7.8</v>
      </c>
      <c r="CK323">
        <v>25.1</v>
      </c>
      <c r="CL323">
        <f t="shared" si="188"/>
        <v>0.310756972111554</v>
      </c>
      <c r="CN323" s="10">
        <v>3.4</v>
      </c>
      <c r="CO323">
        <v>3</v>
      </c>
      <c r="CP323" s="12">
        <f t="shared" si="189"/>
        <v>0.4</v>
      </c>
      <c r="CQ323">
        <v>3.4</v>
      </c>
      <c r="CR323" s="3">
        <f t="shared" si="190"/>
        <v>0.117647058823529</v>
      </c>
    </row>
    <row r="324" spans="2:96">
      <c r="B324" s="1">
        <v>47654</v>
      </c>
      <c r="C324">
        <v>32416</v>
      </c>
      <c r="D324" s="2">
        <f t="shared" si="191"/>
        <v>15238</v>
      </c>
      <c r="E324">
        <v>31904</v>
      </c>
      <c r="F324" s="3">
        <f t="shared" si="160"/>
        <v>0.47762036108325</v>
      </c>
      <c r="H324" s="1">
        <v>47225</v>
      </c>
      <c r="I324">
        <v>31145</v>
      </c>
      <c r="J324" s="2">
        <f t="shared" si="161"/>
        <v>16080</v>
      </c>
      <c r="K324">
        <v>32760</v>
      </c>
      <c r="L324" s="3">
        <f t="shared" si="162"/>
        <v>0.490842490842491</v>
      </c>
      <c r="N324" s="4">
        <v>209.663333245833</v>
      </c>
      <c r="O324">
        <v>201.27</v>
      </c>
      <c r="P324" s="5">
        <f t="shared" si="163"/>
        <v>8.39333324583299</v>
      </c>
      <c r="Q324">
        <v>79.69</v>
      </c>
      <c r="R324" s="3">
        <f t="shared" si="164"/>
        <v>0.105324799169695</v>
      </c>
      <c r="T324" s="4">
        <v>119.3291660875</v>
      </c>
      <c r="U324">
        <v>100.23</v>
      </c>
      <c r="V324" s="5">
        <f t="shared" si="165"/>
        <v>19.0991660875</v>
      </c>
      <c r="W324">
        <v>410.93</v>
      </c>
      <c r="X324" s="3">
        <f t="shared" si="166"/>
        <v>0.0464779064256686</v>
      </c>
      <c r="Z324" s="4">
        <v>22.4524998708333</v>
      </c>
      <c r="AA324">
        <v>13.25</v>
      </c>
      <c r="AB324" s="5">
        <f t="shared" si="167"/>
        <v>9.2024998708333</v>
      </c>
      <c r="AC324">
        <v>33.93</v>
      </c>
      <c r="AD324" s="3">
        <f t="shared" si="168"/>
        <v>0.271220155344335</v>
      </c>
      <c r="AF324" s="4">
        <v>4.08</v>
      </c>
      <c r="AG324">
        <v>2.09</v>
      </c>
      <c r="AH324" s="5">
        <f t="shared" si="169"/>
        <v>1.99</v>
      </c>
      <c r="AI324">
        <v>3.85</v>
      </c>
      <c r="AJ324" s="3">
        <f t="shared" si="170"/>
        <v>0.516883116883117</v>
      </c>
      <c r="AL324" s="4">
        <v>7.20619998571429</v>
      </c>
      <c r="AM324">
        <v>6.1</v>
      </c>
      <c r="AN324" s="5">
        <f t="shared" si="171"/>
        <v>1.10619998571429</v>
      </c>
      <c r="AO324">
        <v>1.89</v>
      </c>
      <c r="AP324" s="3">
        <f t="shared" si="172"/>
        <v>0.585290997732429</v>
      </c>
      <c r="AR324" s="4">
        <v>0.889583333333333</v>
      </c>
      <c r="AS324">
        <v>0.02</v>
      </c>
      <c r="AT324" s="5">
        <f t="shared" si="173"/>
        <v>0.869583333333333</v>
      </c>
      <c r="AU324">
        <v>2.84</v>
      </c>
      <c r="AV324" s="3">
        <f t="shared" si="174"/>
        <v>0.30619131455399</v>
      </c>
      <c r="AX324" s="4">
        <v>11.3143334416667</v>
      </c>
      <c r="AY324">
        <v>3.44</v>
      </c>
      <c r="AZ324" s="5">
        <f t="shared" si="175"/>
        <v>7.8743334416667</v>
      </c>
      <c r="BA324">
        <v>29.17</v>
      </c>
      <c r="BB324" s="3">
        <f t="shared" si="176"/>
        <v>0.269946295566222</v>
      </c>
      <c r="BD324" s="4">
        <v>0.210666666666667</v>
      </c>
      <c r="BE324">
        <v>0.17</v>
      </c>
      <c r="BF324" s="5">
        <f t="shared" si="177"/>
        <v>0.040666666666667</v>
      </c>
      <c r="BG324">
        <v>4</v>
      </c>
      <c r="BH324" s="3">
        <f t="shared" si="178"/>
        <v>0.0101666666666667</v>
      </c>
      <c r="BJ324" s="9">
        <v>10.9579999875</v>
      </c>
      <c r="BK324">
        <v>4.8</v>
      </c>
      <c r="BL324" s="5">
        <f t="shared" si="179"/>
        <v>6.1579999875</v>
      </c>
      <c r="BM324">
        <v>8.9</v>
      </c>
      <c r="BN324" s="3">
        <f t="shared" si="180"/>
        <v>0.691910110955056</v>
      </c>
      <c r="BP324" s="9">
        <v>0.281183333333333</v>
      </c>
      <c r="BQ324">
        <v>0.09</v>
      </c>
      <c r="BR324" s="5">
        <f t="shared" si="181"/>
        <v>0.191183333333333</v>
      </c>
      <c r="BS324">
        <v>0.43</v>
      </c>
      <c r="BT324" s="3">
        <f t="shared" si="182"/>
        <v>0.444612403100774</v>
      </c>
      <c r="BV324" s="4">
        <v>6.8780250125</v>
      </c>
      <c r="BW324">
        <v>6.18</v>
      </c>
      <c r="BX324" s="5">
        <f t="shared" si="183"/>
        <v>0.6980250125</v>
      </c>
      <c r="BY324">
        <v>1.68</v>
      </c>
      <c r="BZ324" s="3">
        <f t="shared" si="184"/>
        <v>0.415491078869048</v>
      </c>
      <c r="CB324" s="10">
        <v>78.9</v>
      </c>
      <c r="CC324">
        <v>54.3</v>
      </c>
      <c r="CD324" s="12">
        <f t="shared" si="185"/>
        <v>24.6</v>
      </c>
      <c r="CE324">
        <v>71.3</v>
      </c>
      <c r="CF324" s="3">
        <f t="shared" si="186"/>
        <v>0.345021037868163</v>
      </c>
      <c r="CH324" s="13">
        <v>29.5</v>
      </c>
      <c r="CI324">
        <v>22.6</v>
      </c>
      <c r="CJ324">
        <f t="shared" si="187"/>
        <v>6.9</v>
      </c>
      <c r="CK324">
        <v>25.1</v>
      </c>
      <c r="CL324">
        <f t="shared" si="188"/>
        <v>0.274900398406374</v>
      </c>
      <c r="CN324" s="11">
        <v>3.6</v>
      </c>
      <c r="CO324">
        <v>3</v>
      </c>
      <c r="CP324" s="12">
        <f t="shared" si="189"/>
        <v>0.6</v>
      </c>
      <c r="CQ324">
        <v>3.4</v>
      </c>
      <c r="CR324" s="3">
        <f t="shared" si="190"/>
        <v>0.176470588235294</v>
      </c>
    </row>
    <row r="325" spans="2:96">
      <c r="B325" s="1">
        <v>47814</v>
      </c>
      <c r="C325">
        <v>32416</v>
      </c>
      <c r="D325" s="2">
        <f t="shared" si="191"/>
        <v>15398</v>
      </c>
      <c r="E325">
        <v>31904</v>
      </c>
      <c r="F325" s="3">
        <f t="shared" si="160"/>
        <v>0.482635406218656</v>
      </c>
      <c r="H325" s="1">
        <v>47394</v>
      </c>
      <c r="I325">
        <v>31145</v>
      </c>
      <c r="J325" s="2">
        <f t="shared" si="161"/>
        <v>16249</v>
      </c>
      <c r="K325">
        <v>32760</v>
      </c>
      <c r="L325" s="3">
        <f t="shared" si="162"/>
        <v>0.496001221001221</v>
      </c>
      <c r="N325" s="4">
        <v>211.1033338</v>
      </c>
      <c r="O325">
        <v>201.27</v>
      </c>
      <c r="P325" s="5">
        <f t="shared" si="163"/>
        <v>9.83333379999999</v>
      </c>
      <c r="Q325">
        <v>79.69</v>
      </c>
      <c r="R325" s="3">
        <f t="shared" si="164"/>
        <v>0.123394827456393</v>
      </c>
      <c r="T325" s="4">
        <v>186.383333516666</v>
      </c>
      <c r="U325">
        <v>100.23</v>
      </c>
      <c r="V325" s="5">
        <f t="shared" si="165"/>
        <v>86.153333516666</v>
      </c>
      <c r="W325">
        <v>410.93</v>
      </c>
      <c r="X325" s="3">
        <f t="shared" si="166"/>
        <v>0.209654523925403</v>
      </c>
      <c r="Z325" s="4">
        <v>15.4137499291667</v>
      </c>
      <c r="AA325">
        <v>13.25</v>
      </c>
      <c r="AB325" s="5">
        <f t="shared" si="167"/>
        <v>2.1637499291667</v>
      </c>
      <c r="AC325">
        <v>33.93</v>
      </c>
      <c r="AD325" s="3">
        <f t="shared" si="168"/>
        <v>0.0637709970281963</v>
      </c>
      <c r="AF325" s="4">
        <v>4.33</v>
      </c>
      <c r="AG325">
        <v>2.09</v>
      </c>
      <c r="AH325" s="5">
        <f t="shared" si="169"/>
        <v>2.24</v>
      </c>
      <c r="AI325">
        <v>3.85</v>
      </c>
      <c r="AJ325" s="3">
        <f t="shared" si="170"/>
        <v>0.581818181818182</v>
      </c>
      <c r="AL325" s="4">
        <v>7.11404167916667</v>
      </c>
      <c r="AM325">
        <v>6.1</v>
      </c>
      <c r="AN325" s="5">
        <f t="shared" si="171"/>
        <v>1.01404167916667</v>
      </c>
      <c r="AO325">
        <v>1.89</v>
      </c>
      <c r="AP325" s="3">
        <f t="shared" si="172"/>
        <v>0.536529988977074</v>
      </c>
      <c r="AR325" s="4">
        <v>1.07375</v>
      </c>
      <c r="AS325">
        <v>0.02</v>
      </c>
      <c r="AT325" s="5">
        <f t="shared" si="173"/>
        <v>1.05375</v>
      </c>
      <c r="AU325">
        <v>2.84</v>
      </c>
      <c r="AV325" s="3">
        <f t="shared" si="174"/>
        <v>0.371038732394366</v>
      </c>
      <c r="AX325" s="4">
        <v>11.20079995</v>
      </c>
      <c r="AY325">
        <v>3.44</v>
      </c>
      <c r="AZ325" s="5">
        <f t="shared" si="175"/>
        <v>7.76079995</v>
      </c>
      <c r="BA325">
        <v>29.17</v>
      </c>
      <c r="BB325" s="3">
        <f t="shared" si="176"/>
        <v>0.266054163524169</v>
      </c>
      <c r="BD325" s="4">
        <v>0.177083333333333</v>
      </c>
      <c r="BE325">
        <v>0.17</v>
      </c>
      <c r="BF325" s="5">
        <f t="shared" si="177"/>
        <v>0.007083333333333</v>
      </c>
      <c r="BG325">
        <v>4</v>
      </c>
      <c r="BH325" s="3">
        <f t="shared" si="178"/>
        <v>0.00177083333333325</v>
      </c>
      <c r="BJ325" s="9">
        <v>11.5626667708333</v>
      </c>
      <c r="BK325">
        <v>4.8</v>
      </c>
      <c r="BL325" s="5">
        <f t="shared" si="179"/>
        <v>6.7626667708333</v>
      </c>
      <c r="BM325">
        <v>8.9</v>
      </c>
      <c r="BN325" s="3">
        <f t="shared" si="180"/>
        <v>0.759850198970034</v>
      </c>
      <c r="BP325" s="9">
        <v>0.276216666666667</v>
      </c>
      <c r="BQ325">
        <v>0.09</v>
      </c>
      <c r="BR325" s="5">
        <f t="shared" si="181"/>
        <v>0.186216666666667</v>
      </c>
      <c r="BS325">
        <v>0.43</v>
      </c>
      <c r="BT325" s="3">
        <f t="shared" si="182"/>
        <v>0.433062015503877</v>
      </c>
      <c r="BV325" s="4">
        <v>6.8468166625</v>
      </c>
      <c r="BW325">
        <v>6.18</v>
      </c>
      <c r="BX325" s="5">
        <f t="shared" si="183"/>
        <v>0.6668166625</v>
      </c>
      <c r="BY325">
        <v>1.68</v>
      </c>
      <c r="BZ325" s="3">
        <f t="shared" si="184"/>
        <v>0.396914680059524</v>
      </c>
      <c r="CB325" s="10">
        <v>77.6</v>
      </c>
      <c r="CC325">
        <v>54.3</v>
      </c>
      <c r="CD325" s="12">
        <f t="shared" si="185"/>
        <v>23.3</v>
      </c>
      <c r="CE325">
        <v>71.3</v>
      </c>
      <c r="CF325" s="3">
        <f t="shared" si="186"/>
        <v>0.326788218793829</v>
      </c>
      <c r="CH325" s="13">
        <v>28.6</v>
      </c>
      <c r="CI325">
        <v>22.6</v>
      </c>
      <c r="CJ325">
        <f t="shared" si="187"/>
        <v>6</v>
      </c>
      <c r="CK325">
        <v>25.1</v>
      </c>
      <c r="CL325">
        <f t="shared" si="188"/>
        <v>0.239043824701195</v>
      </c>
      <c r="CN325" s="10">
        <v>3.9</v>
      </c>
      <c r="CO325">
        <v>3</v>
      </c>
      <c r="CP325" s="12">
        <f t="shared" si="189"/>
        <v>0.9</v>
      </c>
      <c r="CQ325">
        <v>3.4</v>
      </c>
      <c r="CR325" s="3">
        <f t="shared" si="190"/>
        <v>0.264705882352941</v>
      </c>
    </row>
    <row r="326" spans="2:96">
      <c r="B326" s="1">
        <v>45627</v>
      </c>
      <c r="C326">
        <v>32416</v>
      </c>
      <c r="D326" s="2">
        <f t="shared" si="191"/>
        <v>13211</v>
      </c>
      <c r="E326">
        <v>31904</v>
      </c>
      <c r="F326" s="3">
        <f t="shared" si="160"/>
        <v>0.414086008024072</v>
      </c>
      <c r="H326" s="1">
        <v>45315</v>
      </c>
      <c r="I326">
        <v>31145</v>
      </c>
      <c r="J326" s="2">
        <f t="shared" si="161"/>
        <v>14170</v>
      </c>
      <c r="K326">
        <v>32760</v>
      </c>
      <c r="L326" s="3">
        <f t="shared" si="162"/>
        <v>0.432539682539683</v>
      </c>
      <c r="N326" s="4">
        <v>221.6433347125</v>
      </c>
      <c r="O326">
        <v>201.27</v>
      </c>
      <c r="P326" s="5">
        <f t="shared" si="163"/>
        <v>20.3733347125</v>
      </c>
      <c r="Q326">
        <v>79.69</v>
      </c>
      <c r="R326" s="3">
        <f t="shared" si="164"/>
        <v>0.255657356161375</v>
      </c>
      <c r="T326" s="4">
        <v>170.595834091666</v>
      </c>
      <c r="U326">
        <v>100.23</v>
      </c>
      <c r="V326" s="5">
        <f t="shared" si="165"/>
        <v>70.365834091666</v>
      </c>
      <c r="W326">
        <v>410.93</v>
      </c>
      <c r="X326" s="3">
        <f t="shared" si="166"/>
        <v>0.171235573191702</v>
      </c>
      <c r="Z326" s="4">
        <v>14.2725000541667</v>
      </c>
      <c r="AA326">
        <v>13.25</v>
      </c>
      <c r="AB326" s="5">
        <f t="shared" si="167"/>
        <v>1.0225000541667</v>
      </c>
      <c r="AC326">
        <v>33.93</v>
      </c>
      <c r="AD326" s="3">
        <f t="shared" si="168"/>
        <v>0.0301355748354465</v>
      </c>
      <c r="AF326" s="4">
        <v>3.75</v>
      </c>
      <c r="AG326">
        <v>2.09</v>
      </c>
      <c r="AH326" s="5">
        <f t="shared" si="169"/>
        <v>1.66</v>
      </c>
      <c r="AI326">
        <v>3.85</v>
      </c>
      <c r="AJ326" s="3">
        <f t="shared" si="170"/>
        <v>0.431168831168831</v>
      </c>
      <c r="AL326" s="4">
        <v>7.06184342173913</v>
      </c>
      <c r="AM326">
        <v>6.1</v>
      </c>
      <c r="AN326" s="5">
        <f t="shared" si="171"/>
        <v>0.961843421739131</v>
      </c>
      <c r="AO326">
        <v>1.89</v>
      </c>
      <c r="AP326" s="3">
        <f t="shared" si="172"/>
        <v>0.508911863354037</v>
      </c>
      <c r="AR326" s="4">
        <v>0.885625</v>
      </c>
      <c r="AS326">
        <v>0.02</v>
      </c>
      <c r="AT326" s="5">
        <f t="shared" si="173"/>
        <v>0.865625</v>
      </c>
      <c r="AU326">
        <v>2.84</v>
      </c>
      <c r="AV326" s="3">
        <f t="shared" si="174"/>
        <v>0.304797535211268</v>
      </c>
      <c r="AX326" s="4">
        <v>10.5213333</v>
      </c>
      <c r="AY326">
        <v>3.44</v>
      </c>
      <c r="AZ326" s="5">
        <f t="shared" si="175"/>
        <v>7.0813333</v>
      </c>
      <c r="BA326">
        <v>29.17</v>
      </c>
      <c r="BB326" s="3">
        <f t="shared" si="176"/>
        <v>0.242760826191292</v>
      </c>
      <c r="BD326" s="4">
        <v>0.299</v>
      </c>
      <c r="BE326">
        <v>0.17</v>
      </c>
      <c r="BF326" s="5">
        <f t="shared" si="177"/>
        <v>0.129</v>
      </c>
      <c r="BG326">
        <v>4</v>
      </c>
      <c r="BH326" s="3">
        <f t="shared" si="178"/>
        <v>0.03225</v>
      </c>
      <c r="BJ326" s="9">
        <v>12.2289999583333</v>
      </c>
      <c r="BK326">
        <v>4.8</v>
      </c>
      <c r="BL326" s="5">
        <f t="shared" si="179"/>
        <v>7.4289999583333</v>
      </c>
      <c r="BM326">
        <v>8.9</v>
      </c>
      <c r="BN326" s="3">
        <f t="shared" si="180"/>
        <v>0.834719096441944</v>
      </c>
      <c r="BP326" s="9">
        <v>0.271016666666667</v>
      </c>
      <c r="BQ326">
        <v>0.09</v>
      </c>
      <c r="BR326" s="5">
        <f t="shared" si="181"/>
        <v>0.181016666666667</v>
      </c>
      <c r="BS326">
        <v>0.43</v>
      </c>
      <c r="BT326" s="3">
        <f t="shared" si="182"/>
        <v>0.420968992248063</v>
      </c>
      <c r="BV326" s="4">
        <v>6.85439995416667</v>
      </c>
      <c r="BW326">
        <v>6.18</v>
      </c>
      <c r="BX326" s="5">
        <f t="shared" si="183"/>
        <v>0.67439995416667</v>
      </c>
      <c r="BY326">
        <v>1.68</v>
      </c>
      <c r="BZ326" s="3">
        <f t="shared" si="184"/>
        <v>0.401428544146828</v>
      </c>
      <c r="CB326" s="10">
        <v>78.2</v>
      </c>
      <c r="CC326">
        <v>54.3</v>
      </c>
      <c r="CD326" s="12">
        <f t="shared" si="185"/>
        <v>23.9</v>
      </c>
      <c r="CE326">
        <v>71.3</v>
      </c>
      <c r="CF326" s="3">
        <f t="shared" si="186"/>
        <v>0.335203366058906</v>
      </c>
      <c r="CH326" s="13">
        <v>27.1</v>
      </c>
      <c r="CI326">
        <v>22.6</v>
      </c>
      <c r="CJ326">
        <f t="shared" si="187"/>
        <v>4.5</v>
      </c>
      <c r="CK326">
        <v>25.1</v>
      </c>
      <c r="CL326">
        <f t="shared" si="188"/>
        <v>0.179282868525896</v>
      </c>
      <c r="CN326" s="10">
        <v>3.2</v>
      </c>
      <c r="CO326">
        <v>3</v>
      </c>
      <c r="CP326" s="12">
        <f t="shared" si="189"/>
        <v>0.2</v>
      </c>
      <c r="CQ326">
        <v>3.4</v>
      </c>
      <c r="CR326" s="3">
        <f t="shared" si="190"/>
        <v>0.0588235294117648</v>
      </c>
    </row>
    <row r="327" spans="2:96">
      <c r="B327" s="1">
        <v>41634</v>
      </c>
      <c r="C327">
        <v>32416</v>
      </c>
      <c r="D327" s="2">
        <f t="shared" si="191"/>
        <v>9218</v>
      </c>
      <c r="E327">
        <v>31904</v>
      </c>
      <c r="F327" s="3">
        <f t="shared" si="160"/>
        <v>0.288929287863591</v>
      </c>
      <c r="H327" s="1">
        <v>41539</v>
      </c>
      <c r="I327">
        <v>31145</v>
      </c>
      <c r="J327" s="2">
        <f t="shared" si="161"/>
        <v>10394</v>
      </c>
      <c r="K327">
        <v>32760</v>
      </c>
      <c r="L327" s="3">
        <f t="shared" si="162"/>
        <v>0.317277167277167</v>
      </c>
      <c r="N327" s="4">
        <v>209.9866676375</v>
      </c>
      <c r="O327">
        <v>201.27</v>
      </c>
      <c r="P327" s="5">
        <f t="shared" si="163"/>
        <v>8.7166676375</v>
      </c>
      <c r="Q327">
        <v>79.69</v>
      </c>
      <c r="R327" s="3">
        <f t="shared" si="164"/>
        <v>0.109382201499561</v>
      </c>
      <c r="T327" s="4">
        <v>161.745833066666</v>
      </c>
      <c r="U327">
        <v>100.23</v>
      </c>
      <c r="V327" s="5">
        <f t="shared" si="165"/>
        <v>61.515833066666</v>
      </c>
      <c r="W327">
        <v>410.93</v>
      </c>
      <c r="X327" s="3">
        <f t="shared" si="166"/>
        <v>0.14969905596249</v>
      </c>
      <c r="Z327" s="4">
        <v>22.3524998458333</v>
      </c>
      <c r="AA327">
        <v>13.25</v>
      </c>
      <c r="AB327" s="5">
        <f t="shared" si="167"/>
        <v>9.1024998458333</v>
      </c>
      <c r="AC327">
        <v>33.93</v>
      </c>
      <c r="AD327" s="3">
        <f t="shared" si="168"/>
        <v>0.26827291028097</v>
      </c>
      <c r="AF327" s="4">
        <v>4.14</v>
      </c>
      <c r="AG327">
        <v>2.09</v>
      </c>
      <c r="AH327" s="5">
        <f t="shared" si="169"/>
        <v>2.05</v>
      </c>
      <c r="AI327">
        <v>3.85</v>
      </c>
      <c r="AJ327" s="3">
        <f t="shared" si="170"/>
        <v>0.532467532467532</v>
      </c>
      <c r="AL327" s="4">
        <v>7.11706676666667</v>
      </c>
      <c r="AM327">
        <v>6.1</v>
      </c>
      <c r="AN327" s="5">
        <f t="shared" si="171"/>
        <v>1.01706676666667</v>
      </c>
      <c r="AO327">
        <v>1.89</v>
      </c>
      <c r="AP327" s="3">
        <f t="shared" si="172"/>
        <v>0.5381305643739</v>
      </c>
      <c r="AR327" s="4">
        <v>0.785208333333333</v>
      </c>
      <c r="AS327">
        <v>0.02</v>
      </c>
      <c r="AT327" s="5">
        <f t="shared" si="173"/>
        <v>0.765208333333333</v>
      </c>
      <c r="AU327">
        <v>2.84</v>
      </c>
      <c r="AV327" s="3">
        <f t="shared" si="174"/>
        <v>0.26943955399061</v>
      </c>
      <c r="AX327" s="4">
        <v>10.909600025</v>
      </c>
      <c r="AY327">
        <v>3.44</v>
      </c>
      <c r="AZ327" s="5">
        <f t="shared" si="175"/>
        <v>7.469600025</v>
      </c>
      <c r="BA327">
        <v>29.17</v>
      </c>
      <c r="BB327" s="3">
        <f t="shared" si="176"/>
        <v>0.256071306993486</v>
      </c>
      <c r="BD327" s="4">
        <v>0.335333333333333</v>
      </c>
      <c r="BE327">
        <v>0.17</v>
      </c>
      <c r="BF327" s="5">
        <f t="shared" si="177"/>
        <v>0.165333333333333</v>
      </c>
      <c r="BG327">
        <v>4</v>
      </c>
      <c r="BH327" s="3">
        <f t="shared" si="178"/>
        <v>0.0413333333333332</v>
      </c>
      <c r="BJ327" s="9">
        <v>11.9891667416667</v>
      </c>
      <c r="BK327">
        <v>4.8</v>
      </c>
      <c r="BL327" s="5">
        <f t="shared" si="179"/>
        <v>7.1891667416667</v>
      </c>
      <c r="BM327">
        <v>8.9</v>
      </c>
      <c r="BN327" s="3">
        <f t="shared" si="180"/>
        <v>0.807771544007494</v>
      </c>
      <c r="BP327" s="9">
        <v>0.273175</v>
      </c>
      <c r="BQ327">
        <v>0.09</v>
      </c>
      <c r="BR327" s="5">
        <f t="shared" si="181"/>
        <v>0.183175</v>
      </c>
      <c r="BS327">
        <v>0.43</v>
      </c>
      <c r="BT327" s="3">
        <f t="shared" si="182"/>
        <v>0.425988372093023</v>
      </c>
      <c r="BV327" s="4">
        <v>6.83765829583333</v>
      </c>
      <c r="BW327">
        <v>6.18</v>
      </c>
      <c r="BX327" s="5">
        <f t="shared" si="183"/>
        <v>0.65765829583333</v>
      </c>
      <c r="BY327">
        <v>1.68</v>
      </c>
      <c r="BZ327" s="3">
        <f t="shared" si="184"/>
        <v>0.391463271329363</v>
      </c>
      <c r="CB327" s="10">
        <v>79.1</v>
      </c>
      <c r="CC327">
        <v>54.3</v>
      </c>
      <c r="CD327" s="12">
        <f t="shared" si="185"/>
        <v>24.8</v>
      </c>
      <c r="CE327">
        <v>71.3</v>
      </c>
      <c r="CF327" s="3">
        <f t="shared" si="186"/>
        <v>0.347826086956522</v>
      </c>
      <c r="CH327" s="13">
        <v>26.4</v>
      </c>
      <c r="CI327">
        <v>22.6</v>
      </c>
      <c r="CJ327">
        <f t="shared" si="187"/>
        <v>3.8</v>
      </c>
      <c r="CK327">
        <v>25.1</v>
      </c>
      <c r="CL327">
        <f t="shared" si="188"/>
        <v>0.151394422310757</v>
      </c>
      <c r="CN327" s="10">
        <v>3.5</v>
      </c>
      <c r="CO327">
        <v>3</v>
      </c>
      <c r="CP327" s="12">
        <f t="shared" si="189"/>
        <v>0.5</v>
      </c>
      <c r="CQ327">
        <v>3.4</v>
      </c>
      <c r="CR327" s="3">
        <f t="shared" si="190"/>
        <v>0.147058823529412</v>
      </c>
    </row>
    <row r="328" spans="2:96">
      <c r="B328" s="1">
        <v>47218</v>
      </c>
      <c r="C328">
        <v>32416</v>
      </c>
      <c r="D328" s="2">
        <f t="shared" si="191"/>
        <v>14802</v>
      </c>
      <c r="E328">
        <v>31904</v>
      </c>
      <c r="F328" s="3">
        <f t="shared" si="160"/>
        <v>0.463954363089268</v>
      </c>
      <c r="H328" s="1">
        <v>46828</v>
      </c>
      <c r="I328">
        <v>31145</v>
      </c>
      <c r="J328" s="2">
        <f t="shared" si="161"/>
        <v>15683</v>
      </c>
      <c r="K328">
        <v>32760</v>
      </c>
      <c r="L328" s="3">
        <f t="shared" si="162"/>
        <v>0.478724053724054</v>
      </c>
      <c r="N328" s="4">
        <v>201.813331595833</v>
      </c>
      <c r="O328">
        <v>201.27</v>
      </c>
      <c r="P328" s="5">
        <f t="shared" si="163"/>
        <v>0.543331595832996</v>
      </c>
      <c r="Q328">
        <v>79.69</v>
      </c>
      <c r="R328" s="3">
        <f t="shared" si="164"/>
        <v>0.00681806494959211</v>
      </c>
      <c r="T328" s="4">
        <v>155.504166125</v>
      </c>
      <c r="U328">
        <v>100.23</v>
      </c>
      <c r="V328" s="5">
        <f t="shared" si="165"/>
        <v>55.274166125</v>
      </c>
      <c r="W328">
        <v>410.93</v>
      </c>
      <c r="X328" s="3">
        <f t="shared" si="166"/>
        <v>0.134509931436011</v>
      </c>
      <c r="Z328" s="4">
        <v>20.3412498625</v>
      </c>
      <c r="AA328">
        <v>13.25</v>
      </c>
      <c r="AB328" s="5">
        <f t="shared" si="167"/>
        <v>7.0912498625</v>
      </c>
      <c r="AC328">
        <v>33.93</v>
      </c>
      <c r="AD328" s="3">
        <f t="shared" si="168"/>
        <v>0.208996459254347</v>
      </c>
      <c r="AF328" s="4">
        <v>4.38</v>
      </c>
      <c r="AG328">
        <v>2.09</v>
      </c>
      <c r="AH328" s="5">
        <f t="shared" si="169"/>
        <v>2.29</v>
      </c>
      <c r="AI328">
        <v>3.85</v>
      </c>
      <c r="AJ328" s="3">
        <f t="shared" si="170"/>
        <v>0.594805194805195</v>
      </c>
      <c r="AL328" s="4">
        <v>7.12754742105263</v>
      </c>
      <c r="AM328">
        <v>6.1</v>
      </c>
      <c r="AN328" s="5">
        <f t="shared" si="171"/>
        <v>1.02754742105263</v>
      </c>
      <c r="AO328">
        <v>1.89</v>
      </c>
      <c r="AP328" s="3">
        <f t="shared" si="172"/>
        <v>0.543675884154831</v>
      </c>
      <c r="AR328" s="4">
        <v>0.785416666666667</v>
      </c>
      <c r="AS328">
        <v>0.02</v>
      </c>
      <c r="AT328" s="5">
        <f t="shared" si="173"/>
        <v>0.765416666666667</v>
      </c>
      <c r="AU328">
        <v>2.84</v>
      </c>
      <c r="AV328" s="3">
        <f t="shared" si="174"/>
        <v>0.269512910798122</v>
      </c>
      <c r="AX328" s="4">
        <v>10.8653999208333</v>
      </c>
      <c r="AY328">
        <v>3.44</v>
      </c>
      <c r="AZ328" s="5">
        <f t="shared" si="175"/>
        <v>7.4253999208333</v>
      </c>
      <c r="BA328">
        <v>29.17</v>
      </c>
      <c r="BB328" s="3">
        <f t="shared" si="176"/>
        <v>0.254556048023082</v>
      </c>
      <c r="BD328" s="4">
        <v>0.194166666666667</v>
      </c>
      <c r="BE328">
        <v>0.17</v>
      </c>
      <c r="BF328" s="5">
        <f t="shared" si="177"/>
        <v>0.024166666666667</v>
      </c>
      <c r="BG328">
        <v>4</v>
      </c>
      <c r="BH328" s="3">
        <f t="shared" si="178"/>
        <v>0.00604166666666674</v>
      </c>
      <c r="BJ328" s="9">
        <v>12.5015000583333</v>
      </c>
      <c r="BK328">
        <v>4.8</v>
      </c>
      <c r="BL328" s="5">
        <f t="shared" si="179"/>
        <v>7.7015000583333</v>
      </c>
      <c r="BM328">
        <v>8.9</v>
      </c>
      <c r="BN328" s="3">
        <f t="shared" si="180"/>
        <v>0.865337085205989</v>
      </c>
      <c r="BP328" s="9">
        <v>0.275525</v>
      </c>
      <c r="BQ328">
        <v>0.09</v>
      </c>
      <c r="BR328" s="5">
        <f t="shared" si="181"/>
        <v>0.185525</v>
      </c>
      <c r="BS328">
        <v>0.43</v>
      </c>
      <c r="BT328" s="3">
        <f t="shared" si="182"/>
        <v>0.431453488372093</v>
      </c>
      <c r="BV328" s="4">
        <v>6.82768329166667</v>
      </c>
      <c r="BW328">
        <v>6.18</v>
      </c>
      <c r="BX328" s="5">
        <f t="shared" si="183"/>
        <v>0.64768329166667</v>
      </c>
      <c r="BY328">
        <v>1.68</v>
      </c>
      <c r="BZ328" s="3">
        <f t="shared" si="184"/>
        <v>0.385525768849208</v>
      </c>
      <c r="CB328" s="10">
        <v>79.4</v>
      </c>
      <c r="CC328">
        <v>54.3</v>
      </c>
      <c r="CD328" s="12">
        <f t="shared" si="185"/>
        <v>25.1</v>
      </c>
      <c r="CE328">
        <v>71.3</v>
      </c>
      <c r="CF328" s="3">
        <f t="shared" si="186"/>
        <v>0.35203366058906</v>
      </c>
      <c r="CH328" s="13">
        <v>28.8</v>
      </c>
      <c r="CI328">
        <v>22.6</v>
      </c>
      <c r="CJ328">
        <f t="shared" si="187"/>
        <v>6.2</v>
      </c>
      <c r="CK328">
        <v>25.1</v>
      </c>
      <c r="CL328">
        <f t="shared" si="188"/>
        <v>0.247011952191235</v>
      </c>
      <c r="CN328" s="10">
        <v>3.4</v>
      </c>
      <c r="CO328">
        <v>3</v>
      </c>
      <c r="CP328" s="12">
        <f t="shared" si="189"/>
        <v>0.4</v>
      </c>
      <c r="CQ328">
        <v>3.4</v>
      </c>
      <c r="CR328" s="3">
        <f t="shared" si="190"/>
        <v>0.117647058823529</v>
      </c>
    </row>
    <row r="329" spans="2:96">
      <c r="B329" s="1">
        <v>43871</v>
      </c>
      <c r="C329">
        <v>32416</v>
      </c>
      <c r="D329" s="2">
        <f t="shared" si="191"/>
        <v>11455</v>
      </c>
      <c r="E329">
        <v>31904</v>
      </c>
      <c r="F329" s="3">
        <f t="shared" si="160"/>
        <v>0.359045887662989</v>
      </c>
      <c r="H329" s="1">
        <v>43385</v>
      </c>
      <c r="I329">
        <v>31145</v>
      </c>
      <c r="J329" s="2">
        <f t="shared" si="161"/>
        <v>12240</v>
      </c>
      <c r="K329">
        <v>32760</v>
      </c>
      <c r="L329" s="3">
        <f t="shared" si="162"/>
        <v>0.373626373626374</v>
      </c>
      <c r="N329" s="4">
        <v>201.270003633333</v>
      </c>
      <c r="O329">
        <v>201.27</v>
      </c>
      <c r="P329" s="5">
        <f t="shared" si="163"/>
        <v>3.63333299446822e-6</v>
      </c>
      <c r="Q329">
        <v>79.69</v>
      </c>
      <c r="R329" s="3">
        <f t="shared" si="164"/>
        <v>4.55933366102173e-8</v>
      </c>
      <c r="T329" s="4">
        <v>156.1375006125</v>
      </c>
      <c r="U329">
        <v>100.23</v>
      </c>
      <c r="V329" s="5">
        <f t="shared" si="165"/>
        <v>55.9075006125</v>
      </c>
      <c r="W329">
        <v>410.93</v>
      </c>
      <c r="X329" s="3">
        <f t="shared" si="166"/>
        <v>0.136051153754897</v>
      </c>
      <c r="Z329" s="4">
        <v>20.9125000708333</v>
      </c>
      <c r="AA329">
        <v>13.25</v>
      </c>
      <c r="AB329" s="5">
        <f t="shared" si="167"/>
        <v>7.6625000708333</v>
      </c>
      <c r="AC329">
        <v>33.93</v>
      </c>
      <c r="AD329" s="3">
        <f t="shared" si="168"/>
        <v>0.225832598609882</v>
      </c>
      <c r="AF329" s="4">
        <v>4.75</v>
      </c>
      <c r="AG329">
        <v>2.09</v>
      </c>
      <c r="AH329" s="5">
        <f t="shared" si="169"/>
        <v>2.66</v>
      </c>
      <c r="AI329">
        <v>3.85</v>
      </c>
      <c r="AJ329" s="3">
        <f t="shared" si="170"/>
        <v>0.690909090909091</v>
      </c>
      <c r="AL329" s="4">
        <v>7.13537991</v>
      </c>
      <c r="AM329">
        <v>6.1</v>
      </c>
      <c r="AN329" s="5">
        <f t="shared" si="171"/>
        <v>1.03537991</v>
      </c>
      <c r="AO329">
        <v>1.89</v>
      </c>
      <c r="AP329" s="3">
        <f t="shared" si="172"/>
        <v>0.547820058201059</v>
      </c>
      <c r="AR329" s="4">
        <v>0.772916666666667</v>
      </c>
      <c r="AS329">
        <v>0.02</v>
      </c>
      <c r="AT329" s="5">
        <f t="shared" si="173"/>
        <v>0.752916666666667</v>
      </c>
      <c r="AU329">
        <v>2.84</v>
      </c>
      <c r="AV329" s="3">
        <f t="shared" si="174"/>
        <v>0.265111502347418</v>
      </c>
      <c r="AX329" s="4">
        <v>10.7839333666667</v>
      </c>
      <c r="AY329">
        <v>3.44</v>
      </c>
      <c r="AZ329" s="5">
        <f t="shared" si="175"/>
        <v>7.3439333666667</v>
      </c>
      <c r="BA329">
        <v>29.17</v>
      </c>
      <c r="BB329" s="3">
        <f t="shared" si="176"/>
        <v>0.251763228202492</v>
      </c>
      <c r="BD329" s="4">
        <v>0.170583333333333</v>
      </c>
      <c r="BE329">
        <v>0.17</v>
      </c>
      <c r="BF329" s="5">
        <f t="shared" si="177"/>
        <v>0.000583333333332992</v>
      </c>
      <c r="BG329">
        <v>4</v>
      </c>
      <c r="BH329" s="3">
        <f t="shared" si="178"/>
        <v>0.000145833333333248</v>
      </c>
      <c r="BJ329" s="9">
        <v>12.8309166833333</v>
      </c>
      <c r="BK329">
        <v>4.8</v>
      </c>
      <c r="BL329" s="5">
        <f t="shared" si="179"/>
        <v>8.0309166833333</v>
      </c>
      <c r="BM329">
        <v>8.9</v>
      </c>
      <c r="BN329" s="3">
        <f t="shared" si="180"/>
        <v>0.902350189138573</v>
      </c>
      <c r="BP329" s="9">
        <v>0.268741666666667</v>
      </c>
      <c r="BQ329">
        <v>0.09</v>
      </c>
      <c r="BR329" s="5">
        <f t="shared" si="181"/>
        <v>0.178741666666667</v>
      </c>
      <c r="BS329">
        <v>0.43</v>
      </c>
      <c r="BT329" s="3">
        <f t="shared" si="182"/>
        <v>0.415678294573644</v>
      </c>
      <c r="BV329" s="4">
        <v>6.83882496666667</v>
      </c>
      <c r="BW329">
        <v>6.18</v>
      </c>
      <c r="BX329" s="5">
        <f t="shared" si="183"/>
        <v>0.65882496666667</v>
      </c>
      <c r="BY329">
        <v>1.68</v>
      </c>
      <c r="BZ329" s="3">
        <f t="shared" si="184"/>
        <v>0.39215771825397</v>
      </c>
      <c r="CB329" s="10">
        <v>78.8</v>
      </c>
      <c r="CC329">
        <v>54.3</v>
      </c>
      <c r="CD329" s="12">
        <f t="shared" si="185"/>
        <v>24.5</v>
      </c>
      <c r="CE329">
        <v>71.3</v>
      </c>
      <c r="CF329" s="3">
        <f t="shared" si="186"/>
        <v>0.343618513323983</v>
      </c>
      <c r="CH329" s="13">
        <v>30.6</v>
      </c>
      <c r="CI329">
        <v>22.6</v>
      </c>
      <c r="CJ329">
        <f t="shared" si="187"/>
        <v>8</v>
      </c>
      <c r="CK329">
        <v>25.1</v>
      </c>
      <c r="CL329">
        <f t="shared" si="188"/>
        <v>0.318725099601594</v>
      </c>
      <c r="CN329" s="10">
        <v>3.8</v>
      </c>
      <c r="CO329">
        <v>3</v>
      </c>
      <c r="CP329" s="12">
        <f t="shared" si="189"/>
        <v>0.8</v>
      </c>
      <c r="CQ329">
        <v>3.4</v>
      </c>
      <c r="CR329" s="3">
        <f t="shared" si="190"/>
        <v>0.235294117647059</v>
      </c>
    </row>
    <row r="330" spans="2:96">
      <c r="B330" s="1">
        <v>41657</v>
      </c>
      <c r="C330">
        <v>32416</v>
      </c>
      <c r="D330" s="2">
        <f t="shared" si="191"/>
        <v>9241</v>
      </c>
      <c r="E330">
        <v>31904</v>
      </c>
      <c r="F330" s="3">
        <f t="shared" si="160"/>
        <v>0.289650200601805</v>
      </c>
      <c r="H330" s="1">
        <v>41343</v>
      </c>
      <c r="I330">
        <v>31145</v>
      </c>
      <c r="J330" s="2">
        <f t="shared" si="161"/>
        <v>10198</v>
      </c>
      <c r="K330">
        <v>32760</v>
      </c>
      <c r="L330" s="3">
        <f t="shared" si="162"/>
        <v>0.311294261294261</v>
      </c>
      <c r="N330" s="4">
        <v>222.590000145833</v>
      </c>
      <c r="O330">
        <v>201.27</v>
      </c>
      <c r="P330" s="5">
        <f t="shared" si="163"/>
        <v>21.320000145833</v>
      </c>
      <c r="Q330">
        <v>79.69</v>
      </c>
      <c r="R330" s="3">
        <f t="shared" si="164"/>
        <v>0.267536706560835</v>
      </c>
      <c r="T330" s="4">
        <v>173.60833295</v>
      </c>
      <c r="U330">
        <v>100.23</v>
      </c>
      <c r="V330" s="5">
        <f t="shared" si="165"/>
        <v>73.37833295</v>
      </c>
      <c r="W330">
        <v>410.93</v>
      </c>
      <c r="X330" s="3">
        <f t="shared" si="166"/>
        <v>0.178566502689022</v>
      </c>
      <c r="Z330" s="4">
        <v>33.5424998291667</v>
      </c>
      <c r="AA330">
        <v>13.25</v>
      </c>
      <c r="AB330" s="5">
        <f t="shared" si="167"/>
        <v>20.2924998291667</v>
      </c>
      <c r="AC330">
        <v>33.93</v>
      </c>
      <c r="AD330" s="3">
        <f t="shared" si="168"/>
        <v>0.598069549931232</v>
      </c>
      <c r="AF330" s="4">
        <v>4.18</v>
      </c>
      <c r="AG330">
        <v>2.09</v>
      </c>
      <c r="AH330" s="5">
        <f t="shared" si="169"/>
        <v>2.09</v>
      </c>
      <c r="AI330">
        <v>3.85</v>
      </c>
      <c r="AJ330" s="3">
        <f t="shared" si="170"/>
        <v>0.542857142857143</v>
      </c>
      <c r="AL330" s="4">
        <v>7.79</v>
      </c>
      <c r="AM330">
        <v>6.1</v>
      </c>
      <c r="AN330" s="5">
        <f t="shared" si="171"/>
        <v>1.69</v>
      </c>
      <c r="AO330">
        <v>1.89</v>
      </c>
      <c r="AP330" s="3">
        <f t="shared" si="172"/>
        <v>0.894179894179894</v>
      </c>
      <c r="AR330" s="4">
        <v>1.085</v>
      </c>
      <c r="AS330">
        <v>0.02</v>
      </c>
      <c r="AT330" s="5">
        <f t="shared" si="173"/>
        <v>1.065</v>
      </c>
      <c r="AU330">
        <v>2.84</v>
      </c>
      <c r="AV330" s="3">
        <f t="shared" si="174"/>
        <v>0.375</v>
      </c>
      <c r="AX330" s="4">
        <v>11.8100666958333</v>
      </c>
      <c r="AY330">
        <v>3.44</v>
      </c>
      <c r="AZ330" s="5">
        <f t="shared" si="175"/>
        <v>8.3700666958333</v>
      </c>
      <c r="BA330">
        <v>29.17</v>
      </c>
      <c r="BB330" s="3">
        <f t="shared" si="176"/>
        <v>0.28694092203748</v>
      </c>
      <c r="BD330" s="4">
        <v>0.558083333333333</v>
      </c>
      <c r="BE330">
        <v>0.17</v>
      </c>
      <c r="BF330" s="5">
        <f t="shared" si="177"/>
        <v>0.388083333333333</v>
      </c>
      <c r="BG330">
        <v>4</v>
      </c>
      <c r="BH330" s="3">
        <f t="shared" si="178"/>
        <v>0.0970208333333333</v>
      </c>
      <c r="BJ330" s="9">
        <v>12.3916666958333</v>
      </c>
      <c r="BK330">
        <v>4.8</v>
      </c>
      <c r="BL330" s="5">
        <f t="shared" si="179"/>
        <v>7.5916666958333</v>
      </c>
      <c r="BM330">
        <v>8.9</v>
      </c>
      <c r="BN330" s="3">
        <f t="shared" si="180"/>
        <v>0.852996257958798</v>
      </c>
      <c r="BP330" s="9">
        <v>0.27755</v>
      </c>
      <c r="BQ330">
        <v>0.09</v>
      </c>
      <c r="BR330" s="5">
        <f t="shared" si="181"/>
        <v>0.18755</v>
      </c>
      <c r="BS330">
        <v>0.43</v>
      </c>
      <c r="BT330" s="3">
        <f t="shared" si="182"/>
        <v>0.436162790697674</v>
      </c>
      <c r="BV330" s="4">
        <v>6.836899925</v>
      </c>
      <c r="BW330">
        <v>6.18</v>
      </c>
      <c r="BX330" s="5">
        <f t="shared" si="183"/>
        <v>0.656899925</v>
      </c>
      <c r="BY330">
        <v>1.68</v>
      </c>
      <c r="BZ330" s="3">
        <f t="shared" si="184"/>
        <v>0.391011860119048</v>
      </c>
      <c r="CB330" s="10">
        <v>76.9</v>
      </c>
      <c r="CC330">
        <v>54.3</v>
      </c>
      <c r="CD330" s="12">
        <f t="shared" si="185"/>
        <v>22.6</v>
      </c>
      <c r="CE330">
        <v>71.3</v>
      </c>
      <c r="CF330" s="3">
        <f t="shared" si="186"/>
        <v>0.316970546984572</v>
      </c>
      <c r="CH330" s="13">
        <v>35.8</v>
      </c>
      <c r="CI330">
        <v>22.6</v>
      </c>
      <c r="CJ330">
        <f t="shared" si="187"/>
        <v>13.2</v>
      </c>
      <c r="CK330">
        <v>25.1</v>
      </c>
      <c r="CL330">
        <f t="shared" si="188"/>
        <v>0.525896414342629</v>
      </c>
      <c r="CN330" s="10">
        <v>3.9</v>
      </c>
      <c r="CO330">
        <v>3</v>
      </c>
      <c r="CP330" s="12">
        <f t="shared" si="189"/>
        <v>0.9</v>
      </c>
      <c r="CQ330">
        <v>3.4</v>
      </c>
      <c r="CR330" s="3">
        <f t="shared" si="190"/>
        <v>0.264705882352941</v>
      </c>
    </row>
    <row r="331" spans="2:96">
      <c r="B331" s="1">
        <v>42613</v>
      </c>
      <c r="C331">
        <v>32416</v>
      </c>
      <c r="D331" s="2">
        <f t="shared" si="191"/>
        <v>10197</v>
      </c>
      <c r="E331">
        <v>31904</v>
      </c>
      <c r="F331" s="3">
        <f t="shared" si="160"/>
        <v>0.319615095285858</v>
      </c>
      <c r="H331" s="1">
        <v>42003</v>
      </c>
      <c r="I331">
        <v>31145</v>
      </c>
      <c r="J331" s="2">
        <f t="shared" si="161"/>
        <v>10858</v>
      </c>
      <c r="K331">
        <v>32760</v>
      </c>
      <c r="L331" s="3">
        <f t="shared" si="162"/>
        <v>0.331440781440781</v>
      </c>
      <c r="N331" s="4">
        <v>211.823336291667</v>
      </c>
      <c r="O331">
        <v>201.27</v>
      </c>
      <c r="P331" s="5">
        <f t="shared" si="163"/>
        <v>10.553336291667</v>
      </c>
      <c r="Q331">
        <v>79.69</v>
      </c>
      <c r="R331" s="3">
        <f t="shared" si="164"/>
        <v>0.132429869389723</v>
      </c>
      <c r="T331" s="4">
        <v>162.999999683333</v>
      </c>
      <c r="U331">
        <v>100.23</v>
      </c>
      <c r="V331" s="5">
        <f t="shared" si="165"/>
        <v>62.769999683333</v>
      </c>
      <c r="W331">
        <v>410.93</v>
      </c>
      <c r="X331" s="3">
        <f t="shared" si="166"/>
        <v>0.152751076055126</v>
      </c>
      <c r="Z331" s="4">
        <v>44.3345834375</v>
      </c>
      <c r="AA331">
        <v>13.25</v>
      </c>
      <c r="AB331" s="5">
        <f t="shared" si="167"/>
        <v>31.0845834375</v>
      </c>
      <c r="AC331">
        <v>33.93</v>
      </c>
      <c r="AD331" s="3">
        <f t="shared" si="168"/>
        <v>0.916138621794872</v>
      </c>
      <c r="AF331" s="4">
        <v>3.63</v>
      </c>
      <c r="AG331">
        <v>2.09</v>
      </c>
      <c r="AH331" s="5">
        <f t="shared" si="169"/>
        <v>1.54</v>
      </c>
      <c r="AI331">
        <v>3.85</v>
      </c>
      <c r="AJ331" s="3">
        <f t="shared" si="170"/>
        <v>0.4</v>
      </c>
      <c r="AL331" s="4">
        <v>7.92</v>
      </c>
      <c r="AM331">
        <v>6.1</v>
      </c>
      <c r="AN331" s="5">
        <f t="shared" si="171"/>
        <v>1.82</v>
      </c>
      <c r="AO331">
        <v>1.89</v>
      </c>
      <c r="AP331" s="3">
        <f t="shared" si="172"/>
        <v>0.962962962962963</v>
      </c>
      <c r="AR331" s="4">
        <v>0.770833333333333</v>
      </c>
      <c r="AS331">
        <v>0.02</v>
      </c>
      <c r="AT331" s="5">
        <f t="shared" si="173"/>
        <v>0.750833333333333</v>
      </c>
      <c r="AU331">
        <v>2.84</v>
      </c>
      <c r="AV331" s="3">
        <f t="shared" si="174"/>
        <v>0.2643779342723</v>
      </c>
      <c r="AX331" s="4">
        <v>13.9715333</v>
      </c>
      <c r="AY331">
        <v>3.44</v>
      </c>
      <c r="AZ331" s="5">
        <f t="shared" si="175"/>
        <v>10.5315333</v>
      </c>
      <c r="BA331">
        <v>29.17</v>
      </c>
      <c r="BB331" s="3">
        <f t="shared" si="176"/>
        <v>0.361039880013713</v>
      </c>
      <c r="BD331" s="4">
        <v>0.43625</v>
      </c>
      <c r="BE331">
        <v>0.17</v>
      </c>
      <c r="BF331" s="5">
        <f t="shared" si="177"/>
        <v>0.26625</v>
      </c>
      <c r="BG331">
        <v>4</v>
      </c>
      <c r="BH331" s="3">
        <f t="shared" si="178"/>
        <v>0.0665625</v>
      </c>
      <c r="BJ331" s="4">
        <v>11.6609999833333</v>
      </c>
      <c r="BK331">
        <v>4.8</v>
      </c>
      <c r="BL331" s="5">
        <f t="shared" si="179"/>
        <v>6.8609999833333</v>
      </c>
      <c r="BM331">
        <v>8.9</v>
      </c>
      <c r="BN331" s="3">
        <f t="shared" si="180"/>
        <v>0.770898874531831</v>
      </c>
      <c r="BP331" s="4">
        <v>0.285808333333333</v>
      </c>
      <c r="BQ331">
        <v>0.09</v>
      </c>
      <c r="BR331" s="5">
        <f t="shared" si="181"/>
        <v>0.195808333333333</v>
      </c>
      <c r="BS331">
        <v>0.43</v>
      </c>
      <c r="BT331" s="3">
        <f t="shared" si="182"/>
        <v>0.455368217054263</v>
      </c>
      <c r="BV331" s="4">
        <v>6.82097500416667</v>
      </c>
      <c r="BW331">
        <v>6.18</v>
      </c>
      <c r="BX331" s="5">
        <f t="shared" si="183"/>
        <v>0.640975004166671</v>
      </c>
      <c r="BY331">
        <v>1.68</v>
      </c>
      <c r="BZ331" s="3">
        <f t="shared" si="184"/>
        <v>0.381532740575399</v>
      </c>
      <c r="CB331" s="10">
        <v>77.1</v>
      </c>
      <c r="CC331">
        <v>54.3</v>
      </c>
      <c r="CD331" s="12">
        <f t="shared" si="185"/>
        <v>22.8</v>
      </c>
      <c r="CE331">
        <v>71.3</v>
      </c>
      <c r="CF331" s="3">
        <f t="shared" si="186"/>
        <v>0.319775596072931</v>
      </c>
      <c r="CH331" s="13">
        <v>42.6</v>
      </c>
      <c r="CI331">
        <v>22.6</v>
      </c>
      <c r="CJ331">
        <f t="shared" si="187"/>
        <v>20</v>
      </c>
      <c r="CK331">
        <v>25.1</v>
      </c>
      <c r="CL331">
        <f t="shared" si="188"/>
        <v>0.796812749003984</v>
      </c>
      <c r="CN331" s="10">
        <v>3.2</v>
      </c>
      <c r="CO331">
        <v>3</v>
      </c>
      <c r="CP331" s="12">
        <f t="shared" si="189"/>
        <v>0.2</v>
      </c>
      <c r="CQ331">
        <v>3.4</v>
      </c>
      <c r="CR331" s="3">
        <f t="shared" si="190"/>
        <v>0.0588235294117648</v>
      </c>
    </row>
    <row r="332" spans="2:96">
      <c r="B332" s="1">
        <v>42657</v>
      </c>
      <c r="C332">
        <v>32416</v>
      </c>
      <c r="D332" s="2">
        <f t="shared" si="191"/>
        <v>10241</v>
      </c>
      <c r="E332">
        <v>31904</v>
      </c>
      <c r="F332" s="3">
        <f t="shared" si="160"/>
        <v>0.320994232698094</v>
      </c>
      <c r="H332" s="1">
        <v>42354</v>
      </c>
      <c r="I332">
        <v>31145</v>
      </c>
      <c r="J332" s="2">
        <f t="shared" si="161"/>
        <v>11209</v>
      </c>
      <c r="K332">
        <v>32760</v>
      </c>
      <c r="L332" s="3">
        <f t="shared" si="162"/>
        <v>0.342155067155067</v>
      </c>
      <c r="N332" s="4">
        <v>220.9000028</v>
      </c>
      <c r="O332">
        <v>201.27</v>
      </c>
      <c r="P332" s="5">
        <f t="shared" si="163"/>
        <v>19.6300028</v>
      </c>
      <c r="Q332">
        <v>79.69</v>
      </c>
      <c r="R332" s="3">
        <f t="shared" si="164"/>
        <v>0.246329562052955</v>
      </c>
      <c r="T332" s="4">
        <v>159.675000508333</v>
      </c>
      <c r="U332">
        <v>100.23</v>
      </c>
      <c r="V332" s="5">
        <f t="shared" si="165"/>
        <v>59.445000508333</v>
      </c>
      <c r="W332">
        <v>410.93</v>
      </c>
      <c r="X332" s="3">
        <f t="shared" si="166"/>
        <v>0.14465967563413</v>
      </c>
      <c r="Z332" s="4">
        <v>43.7787501083333</v>
      </c>
      <c r="AA332">
        <v>13.25</v>
      </c>
      <c r="AB332" s="5">
        <f t="shared" si="167"/>
        <v>30.5287501083333</v>
      </c>
      <c r="AC332">
        <v>33.93</v>
      </c>
      <c r="AD332" s="3">
        <f t="shared" si="168"/>
        <v>0.899756855535906</v>
      </c>
      <c r="AF332" s="4">
        <v>4.35</v>
      </c>
      <c r="AG332">
        <v>2.09</v>
      </c>
      <c r="AH332" s="5">
        <f t="shared" si="169"/>
        <v>2.26</v>
      </c>
      <c r="AI332">
        <v>3.85</v>
      </c>
      <c r="AJ332" s="3">
        <f t="shared" si="170"/>
        <v>0.587012987012987</v>
      </c>
      <c r="AL332" s="4">
        <v>7.96</v>
      </c>
      <c r="AM332">
        <v>6.1</v>
      </c>
      <c r="AN332" s="5">
        <f t="shared" si="171"/>
        <v>1.86</v>
      </c>
      <c r="AO332">
        <v>1.89</v>
      </c>
      <c r="AP332" s="3">
        <f t="shared" si="172"/>
        <v>0.984126984126984</v>
      </c>
      <c r="AR332" s="4">
        <v>0.764583333333333</v>
      </c>
      <c r="AS332">
        <v>0.02</v>
      </c>
      <c r="AT332" s="5">
        <f t="shared" si="173"/>
        <v>0.744583333333333</v>
      </c>
      <c r="AU332">
        <v>2.84</v>
      </c>
      <c r="AV332" s="3">
        <f t="shared" si="174"/>
        <v>0.262177230046948</v>
      </c>
      <c r="AX332" s="4">
        <v>13.9099999708333</v>
      </c>
      <c r="AY332">
        <v>3.44</v>
      </c>
      <c r="AZ332" s="5">
        <f t="shared" si="175"/>
        <v>10.4699999708333</v>
      </c>
      <c r="BA332">
        <v>29.17</v>
      </c>
      <c r="BB332" s="3">
        <f t="shared" si="176"/>
        <v>0.35893040695349</v>
      </c>
      <c r="BD332" s="4">
        <v>0.4525</v>
      </c>
      <c r="BE332">
        <v>0.17</v>
      </c>
      <c r="BF332" s="5">
        <f t="shared" si="177"/>
        <v>0.2825</v>
      </c>
      <c r="BG332">
        <v>4</v>
      </c>
      <c r="BH332" s="3">
        <f t="shared" si="178"/>
        <v>0.070625</v>
      </c>
      <c r="BJ332" s="4">
        <v>12.4250832875</v>
      </c>
      <c r="BK332">
        <v>4.8</v>
      </c>
      <c r="BL332" s="5">
        <f t="shared" si="179"/>
        <v>7.6250832875</v>
      </c>
      <c r="BM332">
        <v>8.9</v>
      </c>
      <c r="BN332" s="3">
        <f t="shared" si="180"/>
        <v>0.856750931179775</v>
      </c>
      <c r="BP332" s="4">
        <v>0.296441666666667</v>
      </c>
      <c r="BQ332">
        <v>0.09</v>
      </c>
      <c r="BR332" s="5">
        <f t="shared" si="181"/>
        <v>0.206441666666667</v>
      </c>
      <c r="BS332">
        <v>0.43</v>
      </c>
      <c r="BT332" s="3">
        <f t="shared" si="182"/>
        <v>0.480096899224807</v>
      </c>
      <c r="BV332" s="4">
        <v>6.78171667083333</v>
      </c>
      <c r="BW332">
        <v>6.18</v>
      </c>
      <c r="BX332" s="5">
        <f t="shared" si="183"/>
        <v>0.60171667083333</v>
      </c>
      <c r="BY332">
        <v>1.68</v>
      </c>
      <c r="BZ332" s="3">
        <f t="shared" si="184"/>
        <v>0.358164685019839</v>
      </c>
      <c r="CB332" s="10">
        <v>77.4</v>
      </c>
      <c r="CC332">
        <v>54.3</v>
      </c>
      <c r="CD332" s="12">
        <f t="shared" si="185"/>
        <v>23.1</v>
      </c>
      <c r="CE332">
        <v>71.3</v>
      </c>
      <c r="CF332" s="3">
        <f t="shared" si="186"/>
        <v>0.32398316970547</v>
      </c>
      <c r="CH332" s="13">
        <v>44.9</v>
      </c>
      <c r="CI332">
        <v>22.6</v>
      </c>
      <c r="CJ332">
        <f t="shared" si="187"/>
        <v>22.3</v>
      </c>
      <c r="CK332">
        <v>25.1</v>
      </c>
      <c r="CL332">
        <f t="shared" si="188"/>
        <v>0.888446215139442</v>
      </c>
      <c r="CN332" s="11">
        <v>3.7</v>
      </c>
      <c r="CO332">
        <v>3</v>
      </c>
      <c r="CP332" s="12">
        <f t="shared" si="189"/>
        <v>0.7</v>
      </c>
      <c r="CQ332">
        <v>3.4</v>
      </c>
      <c r="CR332" s="3">
        <f t="shared" si="190"/>
        <v>0.205882352941177</v>
      </c>
    </row>
    <row r="333" spans="2:96">
      <c r="B333" s="1">
        <v>46093</v>
      </c>
      <c r="C333">
        <v>32416</v>
      </c>
      <c r="D333" s="2">
        <f t="shared" si="191"/>
        <v>13677</v>
      </c>
      <c r="E333">
        <v>31904</v>
      </c>
      <c r="F333" s="3">
        <f t="shared" si="160"/>
        <v>0.428692326980943</v>
      </c>
      <c r="H333" s="1">
        <v>45894</v>
      </c>
      <c r="I333">
        <v>31145</v>
      </c>
      <c r="J333" s="2">
        <f t="shared" si="161"/>
        <v>14749</v>
      </c>
      <c r="K333">
        <v>32760</v>
      </c>
      <c r="L333" s="3">
        <f t="shared" si="162"/>
        <v>0.450213675213675</v>
      </c>
      <c r="N333" s="4">
        <v>210.6966711625</v>
      </c>
      <c r="O333">
        <v>201.27</v>
      </c>
      <c r="P333" s="5">
        <f t="shared" si="163"/>
        <v>9.42667116249999</v>
      </c>
      <c r="Q333">
        <v>79.69</v>
      </c>
      <c r="R333" s="3">
        <f t="shared" si="164"/>
        <v>0.118291770140544</v>
      </c>
      <c r="T333" s="4">
        <v>155.4875000375</v>
      </c>
      <c r="U333">
        <v>100.23</v>
      </c>
      <c r="V333" s="5">
        <f t="shared" si="165"/>
        <v>55.2575000375</v>
      </c>
      <c r="W333">
        <v>410.93</v>
      </c>
      <c r="X333" s="3">
        <f t="shared" si="166"/>
        <v>0.134469374437252</v>
      </c>
      <c r="Z333" s="4">
        <v>43.4604163125</v>
      </c>
      <c r="AA333">
        <v>13.25</v>
      </c>
      <c r="AB333" s="5">
        <f t="shared" si="167"/>
        <v>30.2104163125</v>
      </c>
      <c r="AC333">
        <v>33.93</v>
      </c>
      <c r="AD333" s="3">
        <f t="shared" si="168"/>
        <v>0.890374780798703</v>
      </c>
      <c r="AF333" s="4">
        <v>4.42</v>
      </c>
      <c r="AG333">
        <v>2.09</v>
      </c>
      <c r="AH333" s="5">
        <f t="shared" si="169"/>
        <v>2.33</v>
      </c>
      <c r="AI333">
        <v>3.85</v>
      </c>
      <c r="AJ333" s="3">
        <f t="shared" si="170"/>
        <v>0.605194805194805</v>
      </c>
      <c r="AL333" s="4">
        <v>7.11404167916667</v>
      </c>
      <c r="AM333">
        <v>6.1</v>
      </c>
      <c r="AN333" s="5">
        <f t="shared" si="171"/>
        <v>1.01404167916667</v>
      </c>
      <c r="AO333">
        <v>1.89</v>
      </c>
      <c r="AP333" s="3">
        <f t="shared" si="172"/>
        <v>0.536529988977074</v>
      </c>
      <c r="AR333" s="4">
        <v>1.07145833333333</v>
      </c>
      <c r="AS333">
        <v>0.02</v>
      </c>
      <c r="AT333" s="5">
        <f t="shared" si="173"/>
        <v>1.05145833333333</v>
      </c>
      <c r="AU333">
        <v>2.84</v>
      </c>
      <c r="AV333" s="3">
        <f t="shared" si="174"/>
        <v>0.370231807511736</v>
      </c>
      <c r="AX333" s="4">
        <v>13.8458667541667</v>
      </c>
      <c r="AY333">
        <v>3.44</v>
      </c>
      <c r="AZ333" s="5">
        <f t="shared" si="175"/>
        <v>10.4058667541667</v>
      </c>
      <c r="BA333">
        <v>29.17</v>
      </c>
      <c r="BB333" s="3">
        <f t="shared" si="176"/>
        <v>0.356731805079421</v>
      </c>
      <c r="BD333" s="4">
        <v>0.431083333333333</v>
      </c>
      <c r="BE333">
        <v>0.17</v>
      </c>
      <c r="BF333" s="5">
        <f t="shared" si="177"/>
        <v>0.261083333333333</v>
      </c>
      <c r="BG333">
        <v>4</v>
      </c>
      <c r="BH333" s="3">
        <f t="shared" si="178"/>
        <v>0.0652708333333332</v>
      </c>
      <c r="BJ333" s="4">
        <v>12.8247500666667</v>
      </c>
      <c r="BK333">
        <v>4.8</v>
      </c>
      <c r="BL333" s="5">
        <f t="shared" si="179"/>
        <v>8.0247500666667</v>
      </c>
      <c r="BM333">
        <v>8.9</v>
      </c>
      <c r="BN333" s="3">
        <f t="shared" si="180"/>
        <v>0.901657310861427</v>
      </c>
      <c r="BP333" s="4">
        <v>0.302783333333333</v>
      </c>
      <c r="BQ333">
        <v>0.09</v>
      </c>
      <c r="BR333" s="5">
        <f t="shared" si="181"/>
        <v>0.212783333333333</v>
      </c>
      <c r="BS333">
        <v>0.43</v>
      </c>
      <c r="BT333" s="3">
        <f t="shared" si="182"/>
        <v>0.494844961240309</v>
      </c>
      <c r="BV333" s="4">
        <v>6.79355831666667</v>
      </c>
      <c r="BW333">
        <v>6.18</v>
      </c>
      <c r="BX333" s="5">
        <f t="shared" si="183"/>
        <v>0.61355831666667</v>
      </c>
      <c r="BY333">
        <v>1.68</v>
      </c>
      <c r="BZ333" s="3">
        <f t="shared" si="184"/>
        <v>0.365213283730161</v>
      </c>
      <c r="CB333" s="10">
        <v>78.3</v>
      </c>
      <c r="CC333">
        <v>54.3</v>
      </c>
      <c r="CD333" s="12">
        <f t="shared" si="185"/>
        <v>24</v>
      </c>
      <c r="CE333">
        <v>71.3</v>
      </c>
      <c r="CF333" s="3">
        <f t="shared" si="186"/>
        <v>0.336605890603086</v>
      </c>
      <c r="CH333" s="13">
        <v>45.8</v>
      </c>
      <c r="CI333">
        <v>22.6</v>
      </c>
      <c r="CJ333">
        <f t="shared" si="187"/>
        <v>23.2</v>
      </c>
      <c r="CK333">
        <v>25.1</v>
      </c>
      <c r="CL333">
        <f t="shared" si="188"/>
        <v>0.924302788844621</v>
      </c>
      <c r="CN333" s="10">
        <v>4</v>
      </c>
      <c r="CO333">
        <v>3</v>
      </c>
      <c r="CP333" s="12">
        <f t="shared" si="189"/>
        <v>1</v>
      </c>
      <c r="CQ333">
        <v>3.4</v>
      </c>
      <c r="CR333" s="3">
        <f t="shared" si="190"/>
        <v>0.294117647058824</v>
      </c>
    </row>
    <row r="334" spans="2:96">
      <c r="B334" s="1">
        <v>47820</v>
      </c>
      <c r="C334">
        <v>32416</v>
      </c>
      <c r="D334" s="2">
        <f t="shared" si="191"/>
        <v>15404</v>
      </c>
      <c r="E334">
        <v>31904</v>
      </c>
      <c r="F334" s="3">
        <f t="shared" si="160"/>
        <v>0.482823470411234</v>
      </c>
      <c r="H334" s="1">
        <v>47314</v>
      </c>
      <c r="I334">
        <v>31145</v>
      </c>
      <c r="J334" s="2">
        <f t="shared" si="161"/>
        <v>16169</v>
      </c>
      <c r="K334">
        <v>32760</v>
      </c>
      <c r="L334" s="3">
        <f t="shared" si="162"/>
        <v>0.493559218559219</v>
      </c>
      <c r="N334" s="4">
        <v>250.880000420833</v>
      </c>
      <c r="O334">
        <v>201.27</v>
      </c>
      <c r="P334" s="5">
        <f t="shared" si="163"/>
        <v>49.610000420833</v>
      </c>
      <c r="Q334">
        <v>79.69</v>
      </c>
      <c r="R334" s="3">
        <f t="shared" si="164"/>
        <v>0.622537337443004</v>
      </c>
      <c r="T334" s="4">
        <v>153.291666516666</v>
      </c>
      <c r="U334">
        <v>100.23</v>
      </c>
      <c r="V334" s="5">
        <f t="shared" si="165"/>
        <v>53.061666516666</v>
      </c>
      <c r="W334">
        <v>410.93</v>
      </c>
      <c r="X334" s="3">
        <f t="shared" si="166"/>
        <v>0.129125803705415</v>
      </c>
      <c r="Z334" s="4">
        <v>43.7629173708333</v>
      </c>
      <c r="AA334">
        <v>13.25</v>
      </c>
      <c r="AB334" s="5">
        <f t="shared" si="167"/>
        <v>30.5129173708333</v>
      </c>
      <c r="AC334">
        <v>33.93</v>
      </c>
      <c r="AD334" s="3">
        <f t="shared" si="168"/>
        <v>0.899290226078199</v>
      </c>
      <c r="AF334" s="4">
        <v>3.74</v>
      </c>
      <c r="AG334">
        <v>2.09</v>
      </c>
      <c r="AH334" s="5">
        <f t="shared" si="169"/>
        <v>1.65</v>
      </c>
      <c r="AI334">
        <v>3.85</v>
      </c>
      <c r="AJ334" s="3">
        <f t="shared" si="170"/>
        <v>0.428571428571429</v>
      </c>
      <c r="AL334" s="4">
        <v>7.06184342173913</v>
      </c>
      <c r="AM334">
        <v>6.1</v>
      </c>
      <c r="AN334" s="5">
        <f t="shared" si="171"/>
        <v>0.961843421739131</v>
      </c>
      <c r="AO334">
        <v>1.89</v>
      </c>
      <c r="AP334" s="3">
        <f t="shared" si="172"/>
        <v>0.508911863354037</v>
      </c>
      <c r="AR334" s="4">
        <v>1.085</v>
      </c>
      <c r="AS334">
        <v>0.02</v>
      </c>
      <c r="AT334" s="5">
        <f t="shared" si="173"/>
        <v>1.065</v>
      </c>
      <c r="AU334">
        <v>2.84</v>
      </c>
      <c r="AV334" s="3">
        <f t="shared" si="174"/>
        <v>0.375</v>
      </c>
      <c r="AX334" s="4">
        <v>14.2714001333333</v>
      </c>
      <c r="AY334">
        <v>3.44</v>
      </c>
      <c r="AZ334" s="5">
        <f t="shared" si="175"/>
        <v>10.8314001333333</v>
      </c>
      <c r="BA334">
        <v>29.17</v>
      </c>
      <c r="BB334" s="3">
        <f t="shared" si="176"/>
        <v>0.371319853731001</v>
      </c>
      <c r="BD334" s="4">
        <v>0.304916666666667</v>
      </c>
      <c r="BE334">
        <v>0.17</v>
      </c>
      <c r="BF334" s="5">
        <f t="shared" si="177"/>
        <v>0.134916666666667</v>
      </c>
      <c r="BG334">
        <v>4</v>
      </c>
      <c r="BH334" s="3">
        <f t="shared" si="178"/>
        <v>0.0337291666666667</v>
      </c>
      <c r="BJ334" s="4">
        <v>12.90625</v>
      </c>
      <c r="BK334">
        <v>4.8</v>
      </c>
      <c r="BL334" s="5">
        <f t="shared" si="179"/>
        <v>8.10625</v>
      </c>
      <c r="BM334">
        <v>8.9</v>
      </c>
      <c r="BN334" s="3">
        <f t="shared" si="180"/>
        <v>0.910814606741573</v>
      </c>
      <c r="BP334" s="4">
        <v>0.30445</v>
      </c>
      <c r="BQ334">
        <v>0.09</v>
      </c>
      <c r="BR334" s="5">
        <f t="shared" si="181"/>
        <v>0.21445</v>
      </c>
      <c r="BS334">
        <v>0.43</v>
      </c>
      <c r="BT334" s="3">
        <f t="shared" si="182"/>
        <v>0.498720930232558</v>
      </c>
      <c r="BV334" s="4">
        <v>6.75750838333333</v>
      </c>
      <c r="BW334">
        <v>6.18</v>
      </c>
      <c r="BX334" s="5">
        <f t="shared" si="183"/>
        <v>0.57750838333333</v>
      </c>
      <c r="BY334">
        <v>1.68</v>
      </c>
      <c r="BZ334" s="3">
        <f t="shared" si="184"/>
        <v>0.343754990079363</v>
      </c>
      <c r="CB334" s="10">
        <v>79.1</v>
      </c>
      <c r="CC334">
        <v>54.3</v>
      </c>
      <c r="CD334" s="12">
        <f t="shared" si="185"/>
        <v>24.8</v>
      </c>
      <c r="CE334">
        <v>71.3</v>
      </c>
      <c r="CF334" s="3">
        <f t="shared" si="186"/>
        <v>0.347826086956522</v>
      </c>
      <c r="CH334" s="13">
        <v>42.3</v>
      </c>
      <c r="CI334">
        <v>22.6</v>
      </c>
      <c r="CJ334">
        <f t="shared" si="187"/>
        <v>19.7</v>
      </c>
      <c r="CK334">
        <v>25.1</v>
      </c>
      <c r="CL334">
        <f t="shared" si="188"/>
        <v>0.784860557768924</v>
      </c>
      <c r="CN334" s="10">
        <v>4.1</v>
      </c>
      <c r="CO334">
        <v>3</v>
      </c>
      <c r="CP334" s="12">
        <f t="shared" si="189"/>
        <v>1.1</v>
      </c>
      <c r="CQ334">
        <v>3.4</v>
      </c>
      <c r="CR334" s="3">
        <f t="shared" si="190"/>
        <v>0.323529411764706</v>
      </c>
    </row>
    <row r="335" spans="2:96">
      <c r="B335" s="1">
        <v>46218</v>
      </c>
      <c r="C335">
        <v>32416</v>
      </c>
      <c r="D335" s="2">
        <f t="shared" si="191"/>
        <v>13802</v>
      </c>
      <c r="E335">
        <v>31904</v>
      </c>
      <c r="F335" s="3">
        <f t="shared" si="160"/>
        <v>0.432610330992979</v>
      </c>
      <c r="H335" s="1">
        <v>45960</v>
      </c>
      <c r="I335">
        <v>31145</v>
      </c>
      <c r="J335" s="2">
        <f t="shared" si="161"/>
        <v>14815</v>
      </c>
      <c r="K335">
        <v>32760</v>
      </c>
      <c r="L335" s="3">
        <f t="shared" si="162"/>
        <v>0.452228327228327</v>
      </c>
      <c r="N335" s="4">
        <v>211.916668570833</v>
      </c>
      <c r="O335">
        <v>201.27</v>
      </c>
      <c r="P335" s="5">
        <f t="shared" si="163"/>
        <v>10.646668570833</v>
      </c>
      <c r="Q335">
        <v>79.69</v>
      </c>
      <c r="R335" s="3">
        <f t="shared" si="164"/>
        <v>0.133601061247747</v>
      </c>
      <c r="T335" s="4">
        <v>156.600000391666</v>
      </c>
      <c r="U335">
        <v>100.23</v>
      </c>
      <c r="V335" s="5">
        <f t="shared" si="165"/>
        <v>56.370000391666</v>
      </c>
      <c r="W335">
        <v>410.93</v>
      </c>
      <c r="X335" s="3">
        <f t="shared" si="166"/>
        <v>0.137176649044037</v>
      </c>
      <c r="Z335" s="4">
        <v>38.7199999541667</v>
      </c>
      <c r="AA335">
        <v>13.25</v>
      </c>
      <c r="AB335" s="5">
        <f t="shared" si="167"/>
        <v>25.4699999541667</v>
      </c>
      <c r="AC335">
        <v>33.93</v>
      </c>
      <c r="AD335" s="3">
        <f t="shared" si="168"/>
        <v>0.750663128622655</v>
      </c>
      <c r="AF335" s="4">
        <v>4.22</v>
      </c>
      <c r="AG335">
        <v>2.09</v>
      </c>
      <c r="AH335" s="5">
        <f t="shared" si="169"/>
        <v>2.13</v>
      </c>
      <c r="AI335">
        <v>3.85</v>
      </c>
      <c r="AJ335" s="3">
        <f t="shared" si="170"/>
        <v>0.553246753246753</v>
      </c>
      <c r="AL335" s="4">
        <v>7.11706676666667</v>
      </c>
      <c r="AM335">
        <v>6.1</v>
      </c>
      <c r="AN335" s="5">
        <f t="shared" si="171"/>
        <v>1.01706676666667</v>
      </c>
      <c r="AO335">
        <v>1.89</v>
      </c>
      <c r="AP335" s="3">
        <f t="shared" si="172"/>
        <v>0.5381305643739</v>
      </c>
      <c r="AR335" s="4">
        <v>0.881875</v>
      </c>
      <c r="AS335">
        <v>0.02</v>
      </c>
      <c r="AT335" s="5">
        <f t="shared" si="173"/>
        <v>0.861875</v>
      </c>
      <c r="AU335">
        <v>2.84</v>
      </c>
      <c r="AV335" s="3">
        <f t="shared" si="174"/>
        <v>0.303477112676056</v>
      </c>
      <c r="AX335" s="4">
        <v>14.6908667541667</v>
      </c>
      <c r="AY335">
        <v>3.44</v>
      </c>
      <c r="AZ335" s="5">
        <f t="shared" si="175"/>
        <v>11.2508667541667</v>
      </c>
      <c r="BA335">
        <v>29.17</v>
      </c>
      <c r="BB335" s="3">
        <f t="shared" si="176"/>
        <v>0.3856999230088</v>
      </c>
      <c r="BD335" s="4">
        <v>0.289333333333333</v>
      </c>
      <c r="BE335">
        <v>0.17</v>
      </c>
      <c r="BF335" s="5">
        <f t="shared" si="177"/>
        <v>0.119333333333333</v>
      </c>
      <c r="BG335">
        <v>4</v>
      </c>
      <c r="BH335" s="3">
        <f t="shared" si="178"/>
        <v>0.0298333333333332</v>
      </c>
      <c r="BJ335" s="4">
        <v>12.4665833291667</v>
      </c>
      <c r="BK335">
        <v>4.8</v>
      </c>
      <c r="BL335" s="5">
        <f t="shared" si="179"/>
        <v>7.6665833291667</v>
      </c>
      <c r="BM335">
        <v>8.9</v>
      </c>
      <c r="BN335" s="3">
        <f t="shared" si="180"/>
        <v>0.861413857209742</v>
      </c>
      <c r="BP335" s="4">
        <v>0.314333333333333</v>
      </c>
      <c r="BQ335">
        <v>0.09</v>
      </c>
      <c r="BR335" s="5">
        <f t="shared" si="181"/>
        <v>0.224333333333333</v>
      </c>
      <c r="BS335">
        <v>0.43</v>
      </c>
      <c r="BT335" s="3">
        <f t="shared" si="182"/>
        <v>0.521705426356588</v>
      </c>
      <c r="BV335" s="4">
        <v>6.7900583125</v>
      </c>
      <c r="BW335">
        <v>6.18</v>
      </c>
      <c r="BX335" s="5">
        <f t="shared" si="183"/>
        <v>0.610058312500001</v>
      </c>
      <c r="BY335">
        <v>1.68</v>
      </c>
      <c r="BZ335" s="3">
        <f t="shared" si="184"/>
        <v>0.363129947916667</v>
      </c>
      <c r="CB335" s="11">
        <v>80.2</v>
      </c>
      <c r="CC335">
        <v>54.3</v>
      </c>
      <c r="CD335" s="12">
        <f t="shared" si="185"/>
        <v>25.9</v>
      </c>
      <c r="CE335">
        <v>71.3</v>
      </c>
      <c r="CF335" s="3">
        <f t="shared" si="186"/>
        <v>0.363253856942497</v>
      </c>
      <c r="CH335" s="13">
        <v>40.9</v>
      </c>
      <c r="CI335">
        <v>22.6</v>
      </c>
      <c r="CJ335">
        <f t="shared" si="187"/>
        <v>18.3</v>
      </c>
      <c r="CK335">
        <v>25.1</v>
      </c>
      <c r="CL335">
        <f t="shared" si="188"/>
        <v>0.729083665338645</v>
      </c>
      <c r="CN335" s="13">
        <v>3.7</v>
      </c>
      <c r="CO335">
        <v>3</v>
      </c>
      <c r="CP335" s="12">
        <f t="shared" si="189"/>
        <v>0.7</v>
      </c>
      <c r="CQ335">
        <v>3.4</v>
      </c>
      <c r="CR335" s="3">
        <f t="shared" si="190"/>
        <v>0.205882352941177</v>
      </c>
    </row>
    <row r="336" spans="2:96">
      <c r="B336" s="1">
        <v>47653</v>
      </c>
      <c r="C336">
        <v>32416</v>
      </c>
      <c r="D336" s="2">
        <f t="shared" si="191"/>
        <v>15237</v>
      </c>
      <c r="E336">
        <v>31904</v>
      </c>
      <c r="F336" s="3">
        <f t="shared" si="160"/>
        <v>0.477589017051153</v>
      </c>
      <c r="H336" s="1">
        <v>48992</v>
      </c>
      <c r="I336">
        <v>31145</v>
      </c>
      <c r="J336" s="2">
        <f t="shared" si="161"/>
        <v>17847</v>
      </c>
      <c r="K336">
        <v>32760</v>
      </c>
      <c r="L336" s="3">
        <f t="shared" si="162"/>
        <v>0.54478021978022</v>
      </c>
      <c r="N336" s="4">
        <v>244.629332943096</v>
      </c>
      <c r="O336">
        <v>201.27</v>
      </c>
      <c r="P336" s="5">
        <f t="shared" si="163"/>
        <v>43.359332943096</v>
      </c>
      <c r="Q336">
        <v>79.69</v>
      </c>
      <c r="R336" s="3">
        <f t="shared" si="164"/>
        <v>0.544100049480436</v>
      </c>
      <c r="T336" s="4">
        <v>113.276279667925</v>
      </c>
      <c r="U336">
        <v>100.23</v>
      </c>
      <c r="V336" s="5">
        <f t="shared" si="165"/>
        <v>13.046279667925</v>
      </c>
      <c r="W336">
        <v>410.93</v>
      </c>
      <c r="X336" s="3">
        <f t="shared" si="166"/>
        <v>0.0317481801472878</v>
      </c>
      <c r="Z336" s="4">
        <v>43.7143405196975</v>
      </c>
      <c r="AA336">
        <v>13.25</v>
      </c>
      <c r="AB336" s="5">
        <f t="shared" si="167"/>
        <v>30.4643405196975</v>
      </c>
      <c r="AC336">
        <v>33.93</v>
      </c>
      <c r="AD336" s="3">
        <f t="shared" si="168"/>
        <v>0.89785854758908</v>
      </c>
      <c r="AF336" s="4">
        <v>4.49</v>
      </c>
      <c r="AG336">
        <v>2.09</v>
      </c>
      <c r="AH336" s="5">
        <f t="shared" si="169"/>
        <v>2.4</v>
      </c>
      <c r="AI336">
        <v>3.85</v>
      </c>
      <c r="AJ336" s="3">
        <f t="shared" si="170"/>
        <v>0.623376623376623</v>
      </c>
      <c r="AL336" s="4">
        <v>7.47345012842354</v>
      </c>
      <c r="AM336">
        <v>6.1</v>
      </c>
      <c r="AN336" s="5">
        <f t="shared" si="171"/>
        <v>1.37345012842354</v>
      </c>
      <c r="AO336">
        <v>1.89</v>
      </c>
      <c r="AP336" s="3">
        <f t="shared" si="172"/>
        <v>0.726693189642085</v>
      </c>
      <c r="AR336" s="4">
        <v>0.435331115153525</v>
      </c>
      <c r="AS336">
        <v>0.02</v>
      </c>
      <c r="AT336" s="5">
        <f t="shared" si="173"/>
        <v>0.415331115153525</v>
      </c>
      <c r="AU336">
        <v>2.84</v>
      </c>
      <c r="AV336" s="3">
        <f t="shared" si="174"/>
        <v>0.146243350406171</v>
      </c>
      <c r="AX336" s="4">
        <v>13.1871998625</v>
      </c>
      <c r="AY336">
        <v>3.44</v>
      </c>
      <c r="AZ336" s="5">
        <f t="shared" si="175"/>
        <v>9.7471998625</v>
      </c>
      <c r="BA336">
        <v>29.17</v>
      </c>
      <c r="BB336" s="3">
        <f t="shared" si="176"/>
        <v>0.334151520826191</v>
      </c>
      <c r="BD336" s="4">
        <v>0.436333329166667</v>
      </c>
      <c r="BE336">
        <v>0.17</v>
      </c>
      <c r="BF336" s="5">
        <f t="shared" si="177"/>
        <v>0.266333329166667</v>
      </c>
      <c r="BG336">
        <v>4</v>
      </c>
      <c r="BH336" s="3">
        <f t="shared" si="178"/>
        <v>0.0665833322916667</v>
      </c>
      <c r="BJ336" s="9">
        <v>12.4386667083333</v>
      </c>
      <c r="BK336">
        <v>4.8</v>
      </c>
      <c r="BL336" s="5">
        <f t="shared" si="179"/>
        <v>7.6386667083333</v>
      </c>
      <c r="BM336">
        <v>8.9</v>
      </c>
      <c r="BN336" s="3">
        <f t="shared" si="180"/>
        <v>0.858277158239697</v>
      </c>
      <c r="BP336" s="9">
        <v>0.320191666666667</v>
      </c>
      <c r="BQ336">
        <v>0.09</v>
      </c>
      <c r="BR336" s="5">
        <f t="shared" si="181"/>
        <v>0.230191666666667</v>
      </c>
      <c r="BS336">
        <v>0.43</v>
      </c>
      <c r="BT336" s="3">
        <f t="shared" si="182"/>
        <v>0.535329457364342</v>
      </c>
      <c r="BV336" s="4">
        <v>6.78113334583333</v>
      </c>
      <c r="BW336">
        <v>6.18</v>
      </c>
      <c r="BX336" s="5">
        <f t="shared" si="183"/>
        <v>0.60113334583333</v>
      </c>
      <c r="BY336">
        <v>1.68</v>
      </c>
      <c r="BZ336" s="3">
        <f t="shared" si="184"/>
        <v>0.357817467757934</v>
      </c>
      <c r="CB336" s="10">
        <v>80.4</v>
      </c>
      <c r="CC336">
        <v>54.3</v>
      </c>
      <c r="CD336" s="12">
        <f t="shared" si="185"/>
        <v>26.1</v>
      </c>
      <c r="CE336">
        <v>71.3</v>
      </c>
      <c r="CF336" s="3">
        <f t="shared" si="186"/>
        <v>0.366058906030856</v>
      </c>
      <c r="CH336" s="13">
        <v>41.4</v>
      </c>
      <c r="CI336">
        <v>22.6</v>
      </c>
      <c r="CJ336">
        <f t="shared" si="187"/>
        <v>18.8</v>
      </c>
      <c r="CK336">
        <v>25.1</v>
      </c>
      <c r="CL336">
        <f t="shared" si="188"/>
        <v>0.749003984063745</v>
      </c>
      <c r="CN336" s="11">
        <v>3.4</v>
      </c>
      <c r="CO336">
        <v>3</v>
      </c>
      <c r="CP336" s="12">
        <f t="shared" si="189"/>
        <v>0.4</v>
      </c>
      <c r="CQ336">
        <v>3.4</v>
      </c>
      <c r="CR336" s="3">
        <f t="shared" si="190"/>
        <v>0.117647058823529</v>
      </c>
    </row>
    <row r="337" spans="2:96">
      <c r="B337" s="1">
        <v>40793</v>
      </c>
      <c r="C337">
        <v>32416</v>
      </c>
      <c r="D337" s="2">
        <f t="shared" si="191"/>
        <v>8377</v>
      </c>
      <c r="E337">
        <v>31904</v>
      </c>
      <c r="F337" s="3">
        <f t="shared" si="160"/>
        <v>0.262568956870612</v>
      </c>
      <c r="H337" s="1">
        <v>40269</v>
      </c>
      <c r="I337">
        <v>31145</v>
      </c>
      <c r="J337" s="2">
        <f t="shared" si="161"/>
        <v>9124</v>
      </c>
      <c r="K337">
        <v>32760</v>
      </c>
      <c r="L337" s="3">
        <f t="shared" si="162"/>
        <v>0.278510378510379</v>
      </c>
      <c r="N337" s="4">
        <v>250.65048680725</v>
      </c>
      <c r="O337">
        <v>201.27</v>
      </c>
      <c r="P337" s="5">
        <f t="shared" si="163"/>
        <v>49.38048680725</v>
      </c>
      <c r="Q337">
        <v>79.69</v>
      </c>
      <c r="R337" s="3">
        <f t="shared" si="164"/>
        <v>0.61965725696135</v>
      </c>
      <c r="T337" s="4">
        <v>178.573801414662</v>
      </c>
      <c r="U337">
        <v>100.23</v>
      </c>
      <c r="V337" s="5">
        <f t="shared" si="165"/>
        <v>78.343801414662</v>
      </c>
      <c r="W337">
        <v>410.93</v>
      </c>
      <c r="X337" s="3">
        <f t="shared" si="166"/>
        <v>0.190649992491816</v>
      </c>
      <c r="Z337" s="4">
        <v>44.7736480167352</v>
      </c>
      <c r="AA337">
        <v>13.25</v>
      </c>
      <c r="AB337" s="5">
        <f t="shared" si="167"/>
        <v>31.5236480167352</v>
      </c>
      <c r="AC337">
        <v>33.93</v>
      </c>
      <c r="AD337" s="3">
        <f t="shared" si="168"/>
        <v>0.929078927696292</v>
      </c>
      <c r="AF337" s="4">
        <v>4.52</v>
      </c>
      <c r="AG337">
        <v>2.09</v>
      </c>
      <c r="AH337" s="5">
        <f t="shared" si="169"/>
        <v>2.43</v>
      </c>
      <c r="AI337">
        <v>3.85</v>
      </c>
      <c r="AJ337" s="3">
        <f t="shared" si="170"/>
        <v>0.631168831168831</v>
      </c>
      <c r="AL337" s="4">
        <v>7.92112747507735</v>
      </c>
      <c r="AM337">
        <v>6.1</v>
      </c>
      <c r="AN337" s="5">
        <f t="shared" si="171"/>
        <v>1.82112747507735</v>
      </c>
      <c r="AO337">
        <v>1.89</v>
      </c>
      <c r="AP337" s="3">
        <f t="shared" si="172"/>
        <v>0.963559510622937</v>
      </c>
      <c r="AR337" s="4">
        <v>0.54176825460982</v>
      </c>
      <c r="AS337">
        <v>0.02</v>
      </c>
      <c r="AT337" s="5">
        <f t="shared" si="173"/>
        <v>0.52176825460982</v>
      </c>
      <c r="AU337">
        <v>2.84</v>
      </c>
      <c r="AV337" s="3">
        <f t="shared" si="174"/>
        <v>0.183721216411908</v>
      </c>
      <c r="AX337" s="4">
        <v>12.9116000416667</v>
      </c>
      <c r="AY337">
        <v>3.44</v>
      </c>
      <c r="AZ337" s="5">
        <f t="shared" si="175"/>
        <v>9.4716000416667</v>
      </c>
      <c r="BA337">
        <v>29.17</v>
      </c>
      <c r="BB337" s="3">
        <f t="shared" si="176"/>
        <v>0.324703463889842</v>
      </c>
      <c r="BD337" s="4">
        <v>0.451750004166667</v>
      </c>
      <c r="BE337">
        <v>0.17</v>
      </c>
      <c r="BF337" s="5">
        <f t="shared" si="177"/>
        <v>0.281750004166667</v>
      </c>
      <c r="BG337">
        <v>4</v>
      </c>
      <c r="BH337" s="3">
        <f t="shared" si="178"/>
        <v>0.0704375010416667</v>
      </c>
      <c r="BJ337" s="9">
        <v>12.3819999</v>
      </c>
      <c r="BK337">
        <v>4.8</v>
      </c>
      <c r="BL337" s="5">
        <f t="shared" si="179"/>
        <v>7.5819999</v>
      </c>
      <c r="BM337">
        <v>8.9</v>
      </c>
      <c r="BN337" s="3">
        <f t="shared" si="180"/>
        <v>0.851910101123596</v>
      </c>
      <c r="BP337" s="9">
        <v>0.29885</v>
      </c>
      <c r="BQ337">
        <v>0.09</v>
      </c>
      <c r="BR337" s="5">
        <f t="shared" si="181"/>
        <v>0.20885</v>
      </c>
      <c r="BS337">
        <v>0.43</v>
      </c>
      <c r="BT337" s="3">
        <f t="shared" si="182"/>
        <v>0.485697674418605</v>
      </c>
      <c r="BV337" s="4">
        <v>6.79997492916667</v>
      </c>
      <c r="BW337">
        <v>6.18</v>
      </c>
      <c r="BX337" s="5">
        <f t="shared" si="183"/>
        <v>0.61997492916667</v>
      </c>
      <c r="BY337">
        <v>1.68</v>
      </c>
      <c r="BZ337" s="3">
        <f t="shared" si="184"/>
        <v>0.369032695932542</v>
      </c>
      <c r="CB337" s="10">
        <v>82.3</v>
      </c>
      <c r="CC337">
        <v>54.3</v>
      </c>
      <c r="CD337" s="12">
        <f t="shared" si="185"/>
        <v>28</v>
      </c>
      <c r="CE337">
        <v>71.3</v>
      </c>
      <c r="CF337" s="3">
        <f t="shared" si="186"/>
        <v>0.392706872370266</v>
      </c>
      <c r="CH337" s="13">
        <v>42.4</v>
      </c>
      <c r="CI337">
        <v>22.6</v>
      </c>
      <c r="CJ337">
        <f t="shared" si="187"/>
        <v>19.8</v>
      </c>
      <c r="CK337">
        <v>25.1</v>
      </c>
      <c r="CL337">
        <f t="shared" si="188"/>
        <v>0.788844621513944</v>
      </c>
      <c r="CN337" s="10">
        <v>3.8</v>
      </c>
      <c r="CO337">
        <v>3</v>
      </c>
      <c r="CP337" s="12">
        <f t="shared" si="189"/>
        <v>0.8</v>
      </c>
      <c r="CQ337">
        <v>3.4</v>
      </c>
      <c r="CR337" s="3">
        <f t="shared" si="190"/>
        <v>0.235294117647059</v>
      </c>
    </row>
    <row r="338" spans="2:96">
      <c r="B338" s="1">
        <v>44038</v>
      </c>
      <c r="C338">
        <v>32416</v>
      </c>
      <c r="D338" s="2">
        <f t="shared" si="191"/>
        <v>11622</v>
      </c>
      <c r="E338">
        <v>31904</v>
      </c>
      <c r="F338" s="3">
        <f t="shared" si="160"/>
        <v>0.364280341023069</v>
      </c>
      <c r="H338" s="1">
        <v>45279</v>
      </c>
      <c r="I338">
        <v>31145</v>
      </c>
      <c r="J338" s="2">
        <f t="shared" si="161"/>
        <v>14134</v>
      </c>
      <c r="K338">
        <v>32760</v>
      </c>
      <c r="L338" s="3">
        <f t="shared" si="162"/>
        <v>0.431440781440781</v>
      </c>
      <c r="N338" s="4">
        <v>259.01317792128</v>
      </c>
      <c r="O338">
        <v>201.27</v>
      </c>
      <c r="P338" s="5">
        <f t="shared" si="163"/>
        <v>57.74317792128</v>
      </c>
      <c r="Q338">
        <v>79.69</v>
      </c>
      <c r="R338" s="3">
        <f t="shared" si="164"/>
        <v>0.72459753948149</v>
      </c>
      <c r="T338" s="4">
        <v>134.830937299071</v>
      </c>
      <c r="U338">
        <v>100.23</v>
      </c>
      <c r="V338" s="5">
        <f t="shared" si="165"/>
        <v>34.600937299071</v>
      </c>
      <c r="W338">
        <v>410.93</v>
      </c>
      <c r="X338" s="3">
        <f t="shared" si="166"/>
        <v>0.0842015362691237</v>
      </c>
      <c r="Z338" s="4">
        <v>33.092767922818</v>
      </c>
      <c r="AA338">
        <v>13.25</v>
      </c>
      <c r="AB338" s="5">
        <f t="shared" si="167"/>
        <v>19.842767922818</v>
      </c>
      <c r="AC338">
        <v>33.93</v>
      </c>
      <c r="AD338" s="3">
        <f t="shared" si="168"/>
        <v>0.584814851836664</v>
      </c>
      <c r="AF338" s="4">
        <v>3.51</v>
      </c>
      <c r="AG338">
        <v>2.09</v>
      </c>
      <c r="AH338" s="5">
        <f t="shared" si="169"/>
        <v>1.42</v>
      </c>
      <c r="AI338">
        <v>3.85</v>
      </c>
      <c r="AJ338" s="3">
        <f t="shared" si="170"/>
        <v>0.368831168831169</v>
      </c>
      <c r="AL338" s="4">
        <v>7.20271985134898</v>
      </c>
      <c r="AM338">
        <v>6.1</v>
      </c>
      <c r="AN338" s="5">
        <f t="shared" si="171"/>
        <v>1.10271985134898</v>
      </c>
      <c r="AO338">
        <v>1.89</v>
      </c>
      <c r="AP338" s="3">
        <f t="shared" si="172"/>
        <v>0.583449656798402</v>
      </c>
      <c r="AR338" s="4">
        <v>1.68642568240505</v>
      </c>
      <c r="AS338">
        <v>0.02</v>
      </c>
      <c r="AT338" s="5">
        <f t="shared" si="173"/>
        <v>1.66642568240505</v>
      </c>
      <c r="AU338">
        <v>2.84</v>
      </c>
      <c r="AV338" s="3">
        <f t="shared" si="174"/>
        <v>0.586769606480651</v>
      </c>
      <c r="AX338" s="4">
        <v>13.3795999666667</v>
      </c>
      <c r="AY338">
        <v>3.44</v>
      </c>
      <c r="AZ338" s="5">
        <f t="shared" si="175"/>
        <v>9.9395999666667</v>
      </c>
      <c r="BA338">
        <v>29.17</v>
      </c>
      <c r="BB338" s="3">
        <f t="shared" si="176"/>
        <v>0.340747342018056</v>
      </c>
      <c r="BD338" s="4">
        <v>0.3365</v>
      </c>
      <c r="BE338">
        <v>0.17</v>
      </c>
      <c r="BF338" s="5">
        <f t="shared" si="177"/>
        <v>0.1665</v>
      </c>
      <c r="BG338">
        <v>4</v>
      </c>
      <c r="BH338" s="3">
        <f t="shared" si="178"/>
        <v>0.041625</v>
      </c>
      <c r="BJ338" s="9">
        <v>11.6580832833333</v>
      </c>
      <c r="BK338">
        <v>4.8</v>
      </c>
      <c r="BL338" s="5">
        <f t="shared" si="179"/>
        <v>6.8580832833333</v>
      </c>
      <c r="BM338">
        <v>8.9</v>
      </c>
      <c r="BN338" s="3">
        <f t="shared" si="180"/>
        <v>0.770571155430708</v>
      </c>
      <c r="BP338" s="9">
        <v>0.297391666666667</v>
      </c>
      <c r="BQ338">
        <v>0.09</v>
      </c>
      <c r="BR338" s="5">
        <f t="shared" si="181"/>
        <v>0.207391666666667</v>
      </c>
      <c r="BS338">
        <v>0.43</v>
      </c>
      <c r="BT338" s="3">
        <f t="shared" si="182"/>
        <v>0.482306201550388</v>
      </c>
      <c r="BV338" s="4">
        <v>6.83083334583333</v>
      </c>
      <c r="BW338">
        <v>6.18</v>
      </c>
      <c r="BX338" s="5">
        <f t="shared" si="183"/>
        <v>0.65083334583333</v>
      </c>
      <c r="BY338">
        <v>1.68</v>
      </c>
      <c r="BZ338" s="3">
        <f t="shared" si="184"/>
        <v>0.387400801091268</v>
      </c>
      <c r="CB338" s="10">
        <v>79.6</v>
      </c>
      <c r="CC338">
        <v>54.3</v>
      </c>
      <c r="CD338" s="12">
        <f t="shared" si="185"/>
        <v>25.3</v>
      </c>
      <c r="CE338">
        <v>71.3</v>
      </c>
      <c r="CF338" s="3">
        <f t="shared" si="186"/>
        <v>0.354838709677419</v>
      </c>
      <c r="CH338" s="13">
        <v>44.1</v>
      </c>
      <c r="CI338">
        <v>22.6</v>
      </c>
      <c r="CJ338">
        <f t="shared" si="187"/>
        <v>21.5</v>
      </c>
      <c r="CK338">
        <v>25.1</v>
      </c>
      <c r="CL338">
        <f t="shared" si="188"/>
        <v>0.856573705179283</v>
      </c>
      <c r="CN338" s="10">
        <v>3.6</v>
      </c>
      <c r="CO338">
        <v>3</v>
      </c>
      <c r="CP338" s="12">
        <f t="shared" si="189"/>
        <v>0.6</v>
      </c>
      <c r="CQ338">
        <v>3.4</v>
      </c>
      <c r="CR338" s="3">
        <f t="shared" si="190"/>
        <v>0.176470588235294</v>
      </c>
    </row>
    <row r="339" spans="2:96">
      <c r="B339" s="1">
        <v>33985</v>
      </c>
      <c r="C339">
        <v>32416</v>
      </c>
      <c r="D339" s="2">
        <f t="shared" si="191"/>
        <v>1569</v>
      </c>
      <c r="E339">
        <v>31904</v>
      </c>
      <c r="F339" s="3">
        <f t="shared" si="160"/>
        <v>0.0491787863590772</v>
      </c>
      <c r="H339" s="1">
        <v>35892</v>
      </c>
      <c r="I339">
        <v>31145</v>
      </c>
      <c r="J339" s="2">
        <f t="shared" si="161"/>
        <v>4747</v>
      </c>
      <c r="K339">
        <v>32760</v>
      </c>
      <c r="L339" s="3">
        <f t="shared" si="162"/>
        <v>0.14490231990232</v>
      </c>
      <c r="N339" s="4">
        <v>240.169221713119</v>
      </c>
      <c r="O339">
        <v>201.27</v>
      </c>
      <c r="P339" s="5">
        <f t="shared" si="163"/>
        <v>38.899221713119</v>
      </c>
      <c r="Q339">
        <v>79.69</v>
      </c>
      <c r="R339" s="3">
        <f t="shared" si="164"/>
        <v>0.488131782069507</v>
      </c>
      <c r="T339" s="4">
        <v>176.299337798283</v>
      </c>
      <c r="U339">
        <v>100.23</v>
      </c>
      <c r="V339" s="5">
        <f t="shared" si="165"/>
        <v>76.069337798283</v>
      </c>
      <c r="W339">
        <v>410.93</v>
      </c>
      <c r="X339" s="3">
        <f t="shared" si="166"/>
        <v>0.185115075069435</v>
      </c>
      <c r="Z339" s="4">
        <v>35.6150798486323</v>
      </c>
      <c r="AA339">
        <v>13.25</v>
      </c>
      <c r="AB339" s="5">
        <f t="shared" si="167"/>
        <v>22.3650798486323</v>
      </c>
      <c r="AC339">
        <v>33.93</v>
      </c>
      <c r="AD339" s="3">
        <f t="shared" si="168"/>
        <v>0.659153546968237</v>
      </c>
      <c r="AF339" s="4">
        <v>3.96</v>
      </c>
      <c r="AG339">
        <v>2.09</v>
      </c>
      <c r="AH339" s="5">
        <f t="shared" si="169"/>
        <v>1.87</v>
      </c>
      <c r="AI339">
        <v>3.85</v>
      </c>
      <c r="AJ339" s="3">
        <f t="shared" si="170"/>
        <v>0.485714285714286</v>
      </c>
      <c r="AL339" s="4">
        <v>7.53261598073494</v>
      </c>
      <c r="AM339">
        <v>6.1</v>
      </c>
      <c r="AN339" s="5">
        <f t="shared" si="171"/>
        <v>1.43261598073494</v>
      </c>
      <c r="AO339">
        <v>1.89</v>
      </c>
      <c r="AP339" s="3">
        <f t="shared" si="172"/>
        <v>0.75799787340473</v>
      </c>
      <c r="AR339" s="4">
        <v>0.680450286030936</v>
      </c>
      <c r="AS339">
        <v>0.02</v>
      </c>
      <c r="AT339" s="5">
        <f t="shared" si="173"/>
        <v>0.660450286030936</v>
      </c>
      <c r="AU339">
        <v>2.84</v>
      </c>
      <c r="AV339" s="3">
        <f t="shared" si="174"/>
        <v>0.232552917616527</v>
      </c>
      <c r="AX339" s="4">
        <v>13.4809999875</v>
      </c>
      <c r="AY339">
        <v>3.44</v>
      </c>
      <c r="AZ339" s="5">
        <f t="shared" si="175"/>
        <v>10.0409999875</v>
      </c>
      <c r="BA339">
        <v>29.17</v>
      </c>
      <c r="BB339" s="3">
        <f t="shared" si="176"/>
        <v>0.344223516883785</v>
      </c>
      <c r="BD339" s="4">
        <v>0.461083333333333</v>
      </c>
      <c r="BE339">
        <v>0.17</v>
      </c>
      <c r="BF339" s="5">
        <f t="shared" si="177"/>
        <v>0.291083333333333</v>
      </c>
      <c r="BG339">
        <v>4</v>
      </c>
      <c r="BH339" s="3">
        <f t="shared" si="178"/>
        <v>0.0727708333333333</v>
      </c>
      <c r="BJ339" s="9">
        <v>10.5897500541667</v>
      </c>
      <c r="BK339">
        <v>4.8</v>
      </c>
      <c r="BL339" s="5">
        <f t="shared" si="179"/>
        <v>5.7897500541667</v>
      </c>
      <c r="BM339">
        <v>8.9</v>
      </c>
      <c r="BN339" s="3">
        <f t="shared" si="180"/>
        <v>0.650533713951315</v>
      </c>
      <c r="BP339" s="9">
        <v>0.291683333333333</v>
      </c>
      <c r="BQ339">
        <v>0.09</v>
      </c>
      <c r="BR339" s="5">
        <f t="shared" si="181"/>
        <v>0.201683333333333</v>
      </c>
      <c r="BS339">
        <v>0.43</v>
      </c>
      <c r="BT339" s="3">
        <f t="shared" si="182"/>
        <v>0.469031007751937</v>
      </c>
      <c r="BV339" s="4">
        <v>6.80102495416667</v>
      </c>
      <c r="BW339">
        <v>6.18</v>
      </c>
      <c r="BX339" s="5">
        <f t="shared" si="183"/>
        <v>0.62102495416667</v>
      </c>
      <c r="BY339">
        <v>1.68</v>
      </c>
      <c r="BZ339" s="3">
        <f t="shared" si="184"/>
        <v>0.369657710813494</v>
      </c>
      <c r="CB339" s="10">
        <v>79.2</v>
      </c>
      <c r="CC339">
        <v>54.3</v>
      </c>
      <c r="CD339" s="12">
        <f t="shared" si="185"/>
        <v>24.9</v>
      </c>
      <c r="CE339">
        <v>71.3</v>
      </c>
      <c r="CF339" s="3">
        <f t="shared" si="186"/>
        <v>0.349228611500701</v>
      </c>
      <c r="CH339" s="13">
        <v>42.7</v>
      </c>
      <c r="CI339">
        <v>22.6</v>
      </c>
      <c r="CJ339">
        <f t="shared" si="187"/>
        <v>20.1</v>
      </c>
      <c r="CK339">
        <v>25.1</v>
      </c>
      <c r="CL339">
        <f t="shared" si="188"/>
        <v>0.800796812749004</v>
      </c>
      <c r="CN339" s="10">
        <v>3.7</v>
      </c>
      <c r="CO339">
        <v>3</v>
      </c>
      <c r="CP339" s="12">
        <f t="shared" si="189"/>
        <v>0.7</v>
      </c>
      <c r="CQ339">
        <v>3.4</v>
      </c>
      <c r="CR339" s="3">
        <f t="shared" si="190"/>
        <v>0.205882352941177</v>
      </c>
    </row>
    <row r="340" spans="2:96">
      <c r="B340" s="1">
        <v>41221</v>
      </c>
      <c r="C340">
        <v>32416</v>
      </c>
      <c r="D340" s="2">
        <f t="shared" si="191"/>
        <v>8805</v>
      </c>
      <c r="E340">
        <v>31904</v>
      </c>
      <c r="F340" s="3">
        <f t="shared" si="160"/>
        <v>0.275984202607823</v>
      </c>
      <c r="H340" s="1">
        <v>40602</v>
      </c>
      <c r="I340">
        <v>31145</v>
      </c>
      <c r="J340" s="2">
        <f t="shared" si="161"/>
        <v>9457</v>
      </c>
      <c r="K340">
        <v>32760</v>
      </c>
      <c r="L340" s="3">
        <f t="shared" si="162"/>
        <v>0.288675213675214</v>
      </c>
      <c r="N340" s="4">
        <v>243.100670748695</v>
      </c>
      <c r="O340">
        <v>201.27</v>
      </c>
      <c r="P340" s="5">
        <f t="shared" si="163"/>
        <v>41.830670748695</v>
      </c>
      <c r="Q340">
        <v>79.69</v>
      </c>
      <c r="R340" s="3">
        <f t="shared" si="164"/>
        <v>0.524917439436504</v>
      </c>
      <c r="T340" s="4">
        <v>178.11018876537</v>
      </c>
      <c r="U340">
        <v>100.23</v>
      </c>
      <c r="V340" s="5">
        <f t="shared" si="165"/>
        <v>77.88018876537</v>
      </c>
      <c r="W340">
        <v>410.93</v>
      </c>
      <c r="X340" s="3">
        <f t="shared" si="166"/>
        <v>0.189521789028229</v>
      </c>
      <c r="Z340" s="4">
        <v>43.9597394425986</v>
      </c>
      <c r="AA340">
        <v>13.25</v>
      </c>
      <c r="AB340" s="5">
        <f t="shared" si="167"/>
        <v>30.7097394425986</v>
      </c>
      <c r="AC340">
        <v>33.93</v>
      </c>
      <c r="AD340" s="3">
        <f t="shared" si="168"/>
        <v>0.905091053421709</v>
      </c>
      <c r="AF340" s="4">
        <v>4.81</v>
      </c>
      <c r="AG340">
        <v>2.09</v>
      </c>
      <c r="AH340" s="5">
        <f t="shared" si="169"/>
        <v>2.72</v>
      </c>
      <c r="AI340">
        <v>3.85</v>
      </c>
      <c r="AJ340" s="3">
        <f t="shared" si="170"/>
        <v>0.706493506493506</v>
      </c>
      <c r="AL340" s="4">
        <v>7.98680357329007</v>
      </c>
      <c r="AM340">
        <v>6.1</v>
      </c>
      <c r="AN340" s="5">
        <f t="shared" si="171"/>
        <v>1.88680357329007</v>
      </c>
      <c r="AO340">
        <v>1.89</v>
      </c>
      <c r="AP340" s="3">
        <f t="shared" si="172"/>
        <v>0.998308768936545</v>
      </c>
      <c r="AR340" s="4">
        <v>0.399847871884158</v>
      </c>
      <c r="AS340">
        <v>0.02</v>
      </c>
      <c r="AT340" s="5">
        <f t="shared" si="173"/>
        <v>0.379847871884158</v>
      </c>
      <c r="AU340">
        <v>2.84</v>
      </c>
      <c r="AV340" s="3">
        <f t="shared" si="174"/>
        <v>0.133749250663436</v>
      </c>
      <c r="AX340" s="4">
        <v>13.9628666708333</v>
      </c>
      <c r="AY340">
        <v>3.44</v>
      </c>
      <c r="AZ340" s="5">
        <f t="shared" si="175"/>
        <v>10.5228666708333</v>
      </c>
      <c r="BA340">
        <v>29.17</v>
      </c>
      <c r="BB340" s="3">
        <f t="shared" si="176"/>
        <v>0.360742772397439</v>
      </c>
      <c r="BD340" s="4">
        <v>0.37025</v>
      </c>
      <c r="BE340">
        <v>0.17</v>
      </c>
      <c r="BF340" s="5">
        <f t="shared" si="177"/>
        <v>0.20025</v>
      </c>
      <c r="BG340">
        <v>4</v>
      </c>
      <c r="BH340" s="3">
        <f t="shared" si="178"/>
        <v>0.0500625</v>
      </c>
      <c r="BJ340" s="9">
        <v>11.3978333041667</v>
      </c>
      <c r="BK340">
        <v>4.8</v>
      </c>
      <c r="BL340" s="5">
        <f t="shared" si="179"/>
        <v>6.5978333041667</v>
      </c>
      <c r="BM340">
        <v>8.9</v>
      </c>
      <c r="BN340" s="3">
        <f t="shared" si="180"/>
        <v>0.741329584737831</v>
      </c>
      <c r="BP340" s="9">
        <v>0.278166666666667</v>
      </c>
      <c r="BQ340">
        <v>0.09</v>
      </c>
      <c r="BR340" s="5">
        <f t="shared" si="181"/>
        <v>0.188166666666667</v>
      </c>
      <c r="BS340">
        <v>0.43</v>
      </c>
      <c r="BT340" s="3">
        <f t="shared" si="182"/>
        <v>0.437596899224807</v>
      </c>
      <c r="BV340" s="4">
        <v>6.69585003333333</v>
      </c>
      <c r="BW340">
        <v>6.18</v>
      </c>
      <c r="BX340" s="5">
        <f t="shared" si="183"/>
        <v>0.51585003333333</v>
      </c>
      <c r="BY340">
        <v>1.68</v>
      </c>
      <c r="BZ340" s="3">
        <f t="shared" si="184"/>
        <v>0.307053591269839</v>
      </c>
      <c r="CB340" s="10">
        <v>78.9</v>
      </c>
      <c r="CC340">
        <v>54.3</v>
      </c>
      <c r="CD340" s="12">
        <f t="shared" si="185"/>
        <v>24.6</v>
      </c>
      <c r="CE340">
        <v>71.3</v>
      </c>
      <c r="CF340" s="3">
        <f t="shared" si="186"/>
        <v>0.345021037868163</v>
      </c>
      <c r="CH340" s="13">
        <v>41.9</v>
      </c>
      <c r="CI340">
        <v>22.6</v>
      </c>
      <c r="CJ340">
        <f t="shared" si="187"/>
        <v>19.3</v>
      </c>
      <c r="CK340">
        <v>25.1</v>
      </c>
      <c r="CL340">
        <f t="shared" si="188"/>
        <v>0.768924302788844</v>
      </c>
      <c r="CN340" s="10">
        <v>3.5</v>
      </c>
      <c r="CO340">
        <v>3</v>
      </c>
      <c r="CP340" s="12">
        <f t="shared" si="189"/>
        <v>0.5</v>
      </c>
      <c r="CQ340">
        <v>3.4</v>
      </c>
      <c r="CR340" s="3">
        <f t="shared" si="190"/>
        <v>0.147058823529412</v>
      </c>
    </row>
    <row r="341" spans="2:96">
      <c r="B341" s="1">
        <v>42329</v>
      </c>
      <c r="C341">
        <v>32416</v>
      </c>
      <c r="D341" s="2">
        <f t="shared" si="191"/>
        <v>9913</v>
      </c>
      <c r="E341">
        <v>31904</v>
      </c>
      <c r="F341" s="3">
        <f t="shared" si="160"/>
        <v>0.310713390170512</v>
      </c>
      <c r="H341" s="1">
        <v>47100</v>
      </c>
      <c r="I341">
        <v>31145</v>
      </c>
      <c r="J341" s="2">
        <f t="shared" si="161"/>
        <v>15955</v>
      </c>
      <c r="K341">
        <v>32760</v>
      </c>
      <c r="L341" s="3">
        <f t="shared" si="162"/>
        <v>0.487026862026862</v>
      </c>
      <c r="N341" s="4">
        <v>257.292481035312</v>
      </c>
      <c r="O341">
        <v>201.27</v>
      </c>
      <c r="P341" s="5">
        <f t="shared" si="163"/>
        <v>56.022481035312</v>
      </c>
      <c r="Q341">
        <v>79.69</v>
      </c>
      <c r="R341" s="3">
        <f t="shared" si="164"/>
        <v>0.703005157928372</v>
      </c>
      <c r="T341" s="4">
        <v>123.538453043104</v>
      </c>
      <c r="U341">
        <v>100.23</v>
      </c>
      <c r="V341" s="5">
        <f t="shared" si="165"/>
        <v>23.308453043104</v>
      </c>
      <c r="W341">
        <v>410.93</v>
      </c>
      <c r="X341" s="3">
        <f t="shared" si="166"/>
        <v>0.0567212251310539</v>
      </c>
      <c r="Z341" s="4">
        <v>28.3671316999873</v>
      </c>
      <c r="AA341">
        <v>13.25</v>
      </c>
      <c r="AB341" s="5">
        <f t="shared" si="167"/>
        <v>15.1171316999873</v>
      </c>
      <c r="AC341">
        <v>33.93</v>
      </c>
      <c r="AD341" s="3">
        <f t="shared" si="168"/>
        <v>0.445538806365673</v>
      </c>
      <c r="AF341" s="4">
        <v>3.93</v>
      </c>
      <c r="AG341">
        <v>2.09</v>
      </c>
      <c r="AH341" s="5">
        <f t="shared" si="169"/>
        <v>1.84</v>
      </c>
      <c r="AI341">
        <v>3.85</v>
      </c>
      <c r="AJ341" s="3">
        <f t="shared" si="170"/>
        <v>0.477922077922078</v>
      </c>
      <c r="AL341" s="4">
        <v>7.62851051189701</v>
      </c>
      <c r="AM341">
        <v>6.1</v>
      </c>
      <c r="AN341" s="5">
        <f t="shared" si="171"/>
        <v>1.52851051189701</v>
      </c>
      <c r="AO341">
        <v>1.89</v>
      </c>
      <c r="AP341" s="3">
        <f t="shared" si="172"/>
        <v>0.808735720580429</v>
      </c>
      <c r="AR341" s="4">
        <v>0.891862430113873</v>
      </c>
      <c r="AS341">
        <v>0.02</v>
      </c>
      <c r="AT341" s="5">
        <f t="shared" si="173"/>
        <v>0.871862430113873</v>
      </c>
      <c r="AU341">
        <v>2.84</v>
      </c>
      <c r="AV341" s="3">
        <f t="shared" si="174"/>
        <v>0.306993813420378</v>
      </c>
      <c r="AX341" s="4">
        <v>13.5018000208333</v>
      </c>
      <c r="AY341">
        <v>3.44</v>
      </c>
      <c r="AZ341" s="5">
        <f t="shared" si="175"/>
        <v>10.0618000208333</v>
      </c>
      <c r="BA341">
        <v>29.17</v>
      </c>
      <c r="BB341" s="3">
        <f t="shared" si="176"/>
        <v>0.344936579390926</v>
      </c>
      <c r="BD341" s="4">
        <v>0.408916666666667</v>
      </c>
      <c r="BE341">
        <v>0.17</v>
      </c>
      <c r="BF341" s="5">
        <f t="shared" si="177"/>
        <v>0.238916666666667</v>
      </c>
      <c r="BG341">
        <v>4</v>
      </c>
      <c r="BH341" s="3">
        <f t="shared" si="178"/>
        <v>0.0597291666666667</v>
      </c>
      <c r="BJ341" s="9">
        <v>12.0930832541667</v>
      </c>
      <c r="BK341">
        <v>4.8</v>
      </c>
      <c r="BL341" s="5">
        <f t="shared" si="179"/>
        <v>7.2930832541667</v>
      </c>
      <c r="BM341">
        <v>8.9</v>
      </c>
      <c r="BN341" s="3">
        <f t="shared" si="180"/>
        <v>0.819447556647944</v>
      </c>
      <c r="BP341" s="9">
        <v>0.280925</v>
      </c>
      <c r="BQ341">
        <v>0.09</v>
      </c>
      <c r="BR341" s="5">
        <f t="shared" si="181"/>
        <v>0.190925</v>
      </c>
      <c r="BS341">
        <v>0.43</v>
      </c>
      <c r="BT341" s="3">
        <f t="shared" si="182"/>
        <v>0.444011627906977</v>
      </c>
      <c r="BV341" s="4">
        <v>6.6815583125</v>
      </c>
      <c r="BW341">
        <v>6.18</v>
      </c>
      <c r="BX341" s="5">
        <f t="shared" si="183"/>
        <v>0.5015583125</v>
      </c>
      <c r="BY341">
        <v>1.68</v>
      </c>
      <c r="BZ341" s="3">
        <f t="shared" si="184"/>
        <v>0.298546614583333</v>
      </c>
      <c r="CB341" s="10">
        <v>79.3</v>
      </c>
      <c r="CC341">
        <v>54.3</v>
      </c>
      <c r="CD341" s="12">
        <f t="shared" si="185"/>
        <v>25</v>
      </c>
      <c r="CE341">
        <v>71.3</v>
      </c>
      <c r="CF341" s="3">
        <f t="shared" si="186"/>
        <v>0.350631136044881</v>
      </c>
      <c r="CH341" s="13">
        <v>43.6</v>
      </c>
      <c r="CI341">
        <v>22.6</v>
      </c>
      <c r="CJ341">
        <f t="shared" si="187"/>
        <v>21</v>
      </c>
      <c r="CK341">
        <v>25.1</v>
      </c>
      <c r="CL341">
        <f t="shared" si="188"/>
        <v>0.836653386454183</v>
      </c>
      <c r="CN341" s="10">
        <v>3.3</v>
      </c>
      <c r="CO341">
        <v>3</v>
      </c>
      <c r="CP341" s="12">
        <f t="shared" si="189"/>
        <v>0.3</v>
      </c>
      <c r="CQ341">
        <v>3.4</v>
      </c>
      <c r="CR341" s="3">
        <f t="shared" si="190"/>
        <v>0.088235294117647</v>
      </c>
    </row>
    <row r="342" spans="2:96">
      <c r="B342" s="1">
        <v>42624</v>
      </c>
      <c r="C342">
        <v>32416</v>
      </c>
      <c r="D342" s="2">
        <f t="shared" si="191"/>
        <v>10208</v>
      </c>
      <c r="E342">
        <v>31904</v>
      </c>
      <c r="F342" s="3">
        <f t="shared" si="160"/>
        <v>0.319959879638917</v>
      </c>
      <c r="H342" s="1">
        <v>37777</v>
      </c>
      <c r="I342">
        <v>31145</v>
      </c>
      <c r="J342" s="2">
        <f t="shared" si="161"/>
        <v>6632</v>
      </c>
      <c r="K342">
        <v>32760</v>
      </c>
      <c r="L342" s="3">
        <f t="shared" si="162"/>
        <v>0.202442002442002</v>
      </c>
      <c r="N342" s="4">
        <v>250.55857551241</v>
      </c>
      <c r="O342">
        <v>201.27</v>
      </c>
      <c r="P342" s="5">
        <f t="shared" si="163"/>
        <v>49.28857551241</v>
      </c>
      <c r="Q342">
        <v>79.69</v>
      </c>
      <c r="R342" s="3">
        <f t="shared" si="164"/>
        <v>0.618503896504078</v>
      </c>
      <c r="T342" s="4">
        <v>128.061817060563</v>
      </c>
      <c r="U342">
        <v>100.23</v>
      </c>
      <c r="V342" s="5">
        <f t="shared" si="165"/>
        <v>27.831817060563</v>
      </c>
      <c r="W342">
        <v>410.93</v>
      </c>
      <c r="X342" s="3">
        <f t="shared" si="166"/>
        <v>0.0677288517766115</v>
      </c>
      <c r="Z342" s="4">
        <v>36.6561929894612</v>
      </c>
      <c r="AA342">
        <v>13.25</v>
      </c>
      <c r="AB342" s="5">
        <f t="shared" si="167"/>
        <v>23.4061929894612</v>
      </c>
      <c r="AC342">
        <v>33.93</v>
      </c>
      <c r="AD342" s="3">
        <f t="shared" si="168"/>
        <v>0.689837694944333</v>
      </c>
      <c r="AF342" s="4">
        <v>4.23</v>
      </c>
      <c r="AG342">
        <v>2.09</v>
      </c>
      <c r="AH342" s="5">
        <f t="shared" si="169"/>
        <v>2.14</v>
      </c>
      <c r="AI342">
        <v>3.85</v>
      </c>
      <c r="AJ342" s="3">
        <f t="shared" si="170"/>
        <v>0.555844155844156</v>
      </c>
      <c r="AL342" s="4">
        <v>7.70968360470522</v>
      </c>
      <c r="AM342">
        <v>6.1</v>
      </c>
      <c r="AN342" s="5">
        <f t="shared" si="171"/>
        <v>1.60968360470522</v>
      </c>
      <c r="AO342">
        <v>1.89</v>
      </c>
      <c r="AP342" s="3">
        <f t="shared" si="172"/>
        <v>0.851684446933979</v>
      </c>
      <c r="AR342" s="4">
        <v>1.01428079007825</v>
      </c>
      <c r="AS342">
        <v>0.02</v>
      </c>
      <c r="AT342" s="5">
        <f t="shared" si="173"/>
        <v>0.99428079007825</v>
      </c>
      <c r="AU342">
        <v>2.84</v>
      </c>
      <c r="AV342" s="3">
        <f t="shared" si="174"/>
        <v>0.350098869745863</v>
      </c>
      <c r="AX342" s="4">
        <v>13.1958667125</v>
      </c>
      <c r="AY342">
        <v>3.44</v>
      </c>
      <c r="AZ342" s="5">
        <f t="shared" si="175"/>
        <v>9.7558667125</v>
      </c>
      <c r="BA342">
        <v>29.17</v>
      </c>
      <c r="BB342" s="3">
        <f t="shared" si="176"/>
        <v>0.334448636013027</v>
      </c>
      <c r="BD342" s="4">
        <v>0.468916666666667</v>
      </c>
      <c r="BE342">
        <v>0.17</v>
      </c>
      <c r="BF342" s="5">
        <f t="shared" si="177"/>
        <v>0.298916666666667</v>
      </c>
      <c r="BG342">
        <v>4</v>
      </c>
      <c r="BH342" s="3">
        <f t="shared" si="178"/>
        <v>0.0747291666666667</v>
      </c>
      <c r="BJ342" s="9">
        <v>11.8225000333333</v>
      </c>
      <c r="BK342">
        <v>4.8</v>
      </c>
      <c r="BL342" s="5">
        <f t="shared" si="179"/>
        <v>7.0225000333333</v>
      </c>
      <c r="BM342">
        <v>8.9</v>
      </c>
      <c r="BN342" s="3">
        <f t="shared" si="180"/>
        <v>0.789044947565539</v>
      </c>
      <c r="BP342" s="9">
        <v>0.253475</v>
      </c>
      <c r="BQ342">
        <v>0.09</v>
      </c>
      <c r="BR342" s="5">
        <f t="shared" si="181"/>
        <v>0.163475</v>
      </c>
      <c r="BS342">
        <v>0.43</v>
      </c>
      <c r="BT342" s="3">
        <f t="shared" si="182"/>
        <v>0.380174418604651</v>
      </c>
      <c r="BV342" s="4">
        <v>6.69725005833333</v>
      </c>
      <c r="BW342">
        <v>6.18</v>
      </c>
      <c r="BX342" s="5">
        <f t="shared" si="183"/>
        <v>0.51725005833333</v>
      </c>
      <c r="BY342">
        <v>1.68</v>
      </c>
      <c r="BZ342" s="3">
        <f t="shared" si="184"/>
        <v>0.307886939484125</v>
      </c>
      <c r="CB342" s="10">
        <v>78.8</v>
      </c>
      <c r="CC342">
        <v>54.3</v>
      </c>
      <c r="CD342" s="12">
        <f t="shared" si="185"/>
        <v>24.5</v>
      </c>
      <c r="CE342">
        <v>71.3</v>
      </c>
      <c r="CF342" s="3">
        <f t="shared" si="186"/>
        <v>0.343618513323983</v>
      </c>
      <c r="CH342" s="13">
        <v>44.8</v>
      </c>
      <c r="CI342">
        <v>22.6</v>
      </c>
      <c r="CJ342">
        <f t="shared" si="187"/>
        <v>22.2</v>
      </c>
      <c r="CK342">
        <v>25.1</v>
      </c>
      <c r="CL342">
        <f t="shared" si="188"/>
        <v>0.884462151394422</v>
      </c>
      <c r="CN342" s="10">
        <v>3.6</v>
      </c>
      <c r="CO342">
        <v>3</v>
      </c>
      <c r="CP342" s="12">
        <f t="shared" si="189"/>
        <v>0.6</v>
      </c>
      <c r="CQ342">
        <v>3.4</v>
      </c>
      <c r="CR342" s="3">
        <f t="shared" si="190"/>
        <v>0.176470588235294</v>
      </c>
    </row>
    <row r="343" spans="2:96">
      <c r="B343" s="1">
        <v>39848</v>
      </c>
      <c r="C343">
        <v>32416</v>
      </c>
      <c r="D343" s="2">
        <f t="shared" si="191"/>
        <v>7432</v>
      </c>
      <c r="E343">
        <v>31904</v>
      </c>
      <c r="F343" s="3">
        <f t="shared" si="160"/>
        <v>0.232948846539619</v>
      </c>
      <c r="H343" s="1">
        <v>38759</v>
      </c>
      <c r="I343">
        <v>31145</v>
      </c>
      <c r="J343" s="2">
        <f t="shared" si="161"/>
        <v>7614</v>
      </c>
      <c r="K343">
        <v>32760</v>
      </c>
      <c r="L343" s="3">
        <f t="shared" si="162"/>
        <v>0.232417582417582</v>
      </c>
      <c r="N343" s="4">
        <v>231.203244583729</v>
      </c>
      <c r="O343">
        <v>201.27</v>
      </c>
      <c r="P343" s="5">
        <f t="shared" si="163"/>
        <v>29.933244583729</v>
      </c>
      <c r="Q343">
        <v>79.69</v>
      </c>
      <c r="R343" s="3">
        <f t="shared" si="164"/>
        <v>0.375621089016552</v>
      </c>
      <c r="T343" s="4">
        <v>161.771034640163</v>
      </c>
      <c r="U343">
        <v>100.23</v>
      </c>
      <c r="V343" s="5">
        <f t="shared" si="165"/>
        <v>61.541034640163</v>
      </c>
      <c r="W343">
        <v>410.93</v>
      </c>
      <c r="X343" s="3">
        <f t="shared" si="166"/>
        <v>0.149760384104745</v>
      </c>
      <c r="Z343" s="4">
        <v>30.8021468355105</v>
      </c>
      <c r="AA343">
        <v>13.25</v>
      </c>
      <c r="AB343" s="5">
        <f t="shared" si="167"/>
        <v>17.5521468355105</v>
      </c>
      <c r="AC343">
        <v>33.93</v>
      </c>
      <c r="AD343" s="3">
        <f t="shared" si="168"/>
        <v>0.517304651798128</v>
      </c>
      <c r="AF343" s="4">
        <v>4.43</v>
      </c>
      <c r="AG343">
        <v>2.09</v>
      </c>
      <c r="AH343" s="5">
        <f t="shared" si="169"/>
        <v>2.34</v>
      </c>
      <c r="AI343">
        <v>3.85</v>
      </c>
      <c r="AJ343" s="3">
        <f t="shared" si="170"/>
        <v>0.607792207792208</v>
      </c>
      <c r="AL343" s="4">
        <v>7.31764277856641</v>
      </c>
      <c r="AM343">
        <v>6.1</v>
      </c>
      <c r="AN343" s="5">
        <f t="shared" si="171"/>
        <v>1.21764277856641</v>
      </c>
      <c r="AO343">
        <v>1.89</v>
      </c>
      <c r="AP343" s="3">
        <f t="shared" si="172"/>
        <v>0.644255438394926</v>
      </c>
      <c r="AR343" s="4">
        <v>0.815480636090011</v>
      </c>
      <c r="AS343">
        <v>0.02</v>
      </c>
      <c r="AT343" s="5">
        <f t="shared" si="173"/>
        <v>0.795480636090011</v>
      </c>
      <c r="AU343">
        <v>2.84</v>
      </c>
      <c r="AV343" s="3">
        <f t="shared" si="174"/>
        <v>0.280098815524652</v>
      </c>
      <c r="AX343" s="4">
        <v>13.5728665666667</v>
      </c>
      <c r="AY343">
        <v>3.44</v>
      </c>
      <c r="AZ343" s="5">
        <f t="shared" si="175"/>
        <v>10.1328665666667</v>
      </c>
      <c r="BA343">
        <v>29.17</v>
      </c>
      <c r="BB343" s="3">
        <f t="shared" si="176"/>
        <v>0.34737286824363</v>
      </c>
      <c r="BD343" s="4">
        <v>0.42275</v>
      </c>
      <c r="BE343">
        <v>0.17</v>
      </c>
      <c r="BF343" s="5">
        <f t="shared" si="177"/>
        <v>0.25275</v>
      </c>
      <c r="BG343">
        <v>4</v>
      </c>
      <c r="BH343" s="3">
        <f t="shared" si="178"/>
        <v>0.0631875</v>
      </c>
      <c r="BJ343" s="9">
        <v>11.0424166875</v>
      </c>
      <c r="BK343">
        <v>4.8</v>
      </c>
      <c r="BL343" s="5">
        <f t="shared" si="179"/>
        <v>6.2424166875</v>
      </c>
      <c r="BM343">
        <v>8.9</v>
      </c>
      <c r="BN343" s="3">
        <f t="shared" si="180"/>
        <v>0.701395133426966</v>
      </c>
      <c r="BP343" s="9">
        <v>0.23955</v>
      </c>
      <c r="BQ343">
        <v>0.09</v>
      </c>
      <c r="BR343" s="5">
        <f t="shared" si="181"/>
        <v>0.14955</v>
      </c>
      <c r="BS343">
        <v>0.43</v>
      </c>
      <c r="BT343" s="3">
        <f t="shared" si="182"/>
        <v>0.347790697674419</v>
      </c>
      <c r="BV343" s="4">
        <v>6.71842512083333</v>
      </c>
      <c r="BW343">
        <v>6.18</v>
      </c>
      <c r="BX343" s="5">
        <f t="shared" si="183"/>
        <v>0.53842512083333</v>
      </c>
      <c r="BY343">
        <v>1.68</v>
      </c>
      <c r="BZ343" s="3">
        <f t="shared" si="184"/>
        <v>0.320491143353173</v>
      </c>
      <c r="CB343" s="10">
        <v>77.1</v>
      </c>
      <c r="CC343">
        <v>54.3</v>
      </c>
      <c r="CD343" s="12">
        <f t="shared" si="185"/>
        <v>22.8</v>
      </c>
      <c r="CE343">
        <v>71.3</v>
      </c>
      <c r="CF343" s="3">
        <f t="shared" si="186"/>
        <v>0.319775596072931</v>
      </c>
      <c r="CH343" s="13">
        <v>45.6</v>
      </c>
      <c r="CI343">
        <v>22.6</v>
      </c>
      <c r="CJ343">
        <f t="shared" si="187"/>
        <v>23</v>
      </c>
      <c r="CK343">
        <v>25.1</v>
      </c>
      <c r="CL343">
        <f t="shared" si="188"/>
        <v>0.916334661354582</v>
      </c>
      <c r="CN343" s="11">
        <v>3.9</v>
      </c>
      <c r="CO343">
        <v>3</v>
      </c>
      <c r="CP343" s="12">
        <f t="shared" si="189"/>
        <v>0.9</v>
      </c>
      <c r="CQ343">
        <v>3.4</v>
      </c>
      <c r="CR343" s="3">
        <f t="shared" si="190"/>
        <v>0.264705882352941</v>
      </c>
    </row>
    <row r="344" spans="2:96">
      <c r="B344" s="1">
        <v>38409</v>
      </c>
      <c r="C344">
        <v>32416</v>
      </c>
      <c r="D344" s="2">
        <f t="shared" si="191"/>
        <v>5993</v>
      </c>
      <c r="E344">
        <v>31904</v>
      </c>
      <c r="F344" s="3">
        <f t="shared" si="160"/>
        <v>0.187844784353059</v>
      </c>
      <c r="H344" s="1">
        <v>36253</v>
      </c>
      <c r="I344">
        <v>31145</v>
      </c>
      <c r="J344" s="2">
        <f t="shared" si="161"/>
        <v>5108</v>
      </c>
      <c r="K344">
        <v>32760</v>
      </c>
      <c r="L344" s="3">
        <f t="shared" si="162"/>
        <v>0.155921855921856</v>
      </c>
      <c r="N344" s="4">
        <v>208.648373686082</v>
      </c>
      <c r="O344">
        <v>201.27</v>
      </c>
      <c r="P344" s="5">
        <f t="shared" si="163"/>
        <v>7.378373686082</v>
      </c>
      <c r="Q344">
        <v>79.69</v>
      </c>
      <c r="R344" s="3">
        <f t="shared" si="164"/>
        <v>0.092588451324909</v>
      </c>
      <c r="T344" s="4">
        <v>155.559097258277</v>
      </c>
      <c r="U344">
        <v>100.23</v>
      </c>
      <c r="V344" s="5">
        <f t="shared" si="165"/>
        <v>55.329097258277</v>
      </c>
      <c r="W344">
        <v>410.93</v>
      </c>
      <c r="X344" s="3">
        <f t="shared" si="166"/>
        <v>0.134643606595471</v>
      </c>
      <c r="Z344" s="4">
        <v>43.0574946494164</v>
      </c>
      <c r="AA344">
        <v>13.25</v>
      </c>
      <c r="AB344" s="5">
        <f t="shared" si="167"/>
        <v>29.8074946494164</v>
      </c>
      <c r="AC344">
        <v>33.93</v>
      </c>
      <c r="AD344" s="3">
        <f t="shared" si="168"/>
        <v>0.878499694943012</v>
      </c>
      <c r="AF344" s="4">
        <v>4.63</v>
      </c>
      <c r="AG344">
        <v>2.09</v>
      </c>
      <c r="AH344" s="5">
        <f t="shared" si="169"/>
        <v>2.54</v>
      </c>
      <c r="AI344">
        <v>3.85</v>
      </c>
      <c r="AJ344" s="3">
        <f t="shared" si="170"/>
        <v>0.65974025974026</v>
      </c>
      <c r="AL344" s="4">
        <v>7.73652004387257</v>
      </c>
      <c r="AM344">
        <v>6.1</v>
      </c>
      <c r="AN344" s="5">
        <f t="shared" si="171"/>
        <v>1.63652004387257</v>
      </c>
      <c r="AO344">
        <v>1.89</v>
      </c>
      <c r="AP344" s="3">
        <f t="shared" si="172"/>
        <v>0.865883621096598</v>
      </c>
      <c r="AR344" s="4">
        <v>0.19091046359663</v>
      </c>
      <c r="AS344">
        <v>0.02</v>
      </c>
      <c r="AT344" s="5">
        <f t="shared" si="173"/>
        <v>0.17091046359663</v>
      </c>
      <c r="AU344">
        <v>2.84</v>
      </c>
      <c r="AV344" s="3">
        <f t="shared" si="174"/>
        <v>0.0601797407030387</v>
      </c>
      <c r="AX344" s="4">
        <v>14.6691998666667</v>
      </c>
      <c r="AY344">
        <v>3.44</v>
      </c>
      <c r="AZ344" s="5">
        <f t="shared" si="175"/>
        <v>11.2291998666667</v>
      </c>
      <c r="BA344">
        <v>29.17</v>
      </c>
      <c r="BB344" s="3">
        <f t="shared" si="176"/>
        <v>0.384957143183637</v>
      </c>
      <c r="BD344" s="4">
        <v>0.6349166625</v>
      </c>
      <c r="BE344">
        <v>0.17</v>
      </c>
      <c r="BF344" s="5">
        <f t="shared" si="177"/>
        <v>0.4649166625</v>
      </c>
      <c r="BG344">
        <v>4</v>
      </c>
      <c r="BH344" s="3">
        <f t="shared" si="178"/>
        <v>0.116229165625</v>
      </c>
      <c r="BJ344" s="9">
        <v>11.4349166958333</v>
      </c>
      <c r="BK344">
        <v>4.8</v>
      </c>
      <c r="BL344" s="5">
        <f t="shared" si="179"/>
        <v>6.6349166958333</v>
      </c>
      <c r="BM344">
        <v>8.9</v>
      </c>
      <c r="BN344" s="3">
        <f t="shared" si="180"/>
        <v>0.745496257958798</v>
      </c>
      <c r="BP344" s="9">
        <v>0.228975</v>
      </c>
      <c r="BQ344">
        <v>0.09</v>
      </c>
      <c r="BR344" s="5">
        <f t="shared" si="181"/>
        <v>0.138975</v>
      </c>
      <c r="BS344">
        <v>0.43</v>
      </c>
      <c r="BT344" s="3">
        <f t="shared" si="182"/>
        <v>0.323197674418605</v>
      </c>
      <c r="BV344" s="4">
        <v>6.70448332083333</v>
      </c>
      <c r="BW344">
        <v>6.18</v>
      </c>
      <c r="BX344" s="5">
        <f t="shared" si="183"/>
        <v>0.524483320833331</v>
      </c>
      <c r="BY344">
        <v>1.68</v>
      </c>
      <c r="BZ344" s="3">
        <f t="shared" si="184"/>
        <v>0.312192452876982</v>
      </c>
      <c r="CB344" s="10">
        <v>75.4</v>
      </c>
      <c r="CC344">
        <v>54.3</v>
      </c>
      <c r="CD344" s="12">
        <f t="shared" si="185"/>
        <v>21.1</v>
      </c>
      <c r="CE344">
        <v>71.3</v>
      </c>
      <c r="CF344" s="3">
        <f t="shared" si="186"/>
        <v>0.29593267882188</v>
      </c>
      <c r="CH344" s="13">
        <v>44.2</v>
      </c>
      <c r="CI344">
        <v>22.6</v>
      </c>
      <c r="CJ344">
        <f t="shared" si="187"/>
        <v>21.6</v>
      </c>
      <c r="CK344">
        <v>25.1</v>
      </c>
      <c r="CL344">
        <f t="shared" si="188"/>
        <v>0.860557768924303</v>
      </c>
      <c r="CN344" s="10">
        <v>3.5</v>
      </c>
      <c r="CO344">
        <v>3</v>
      </c>
      <c r="CP344" s="12">
        <f t="shared" si="189"/>
        <v>0.5</v>
      </c>
      <c r="CQ344">
        <v>3.4</v>
      </c>
      <c r="CR344" s="3">
        <f t="shared" si="190"/>
        <v>0.147058823529412</v>
      </c>
    </row>
    <row r="345" spans="2:96">
      <c r="B345" s="1">
        <v>40494</v>
      </c>
      <c r="C345">
        <v>32416</v>
      </c>
      <c r="D345" s="2">
        <f t="shared" si="191"/>
        <v>8078</v>
      </c>
      <c r="E345">
        <v>31904</v>
      </c>
      <c r="F345" s="3">
        <f t="shared" si="160"/>
        <v>0.253197091273821</v>
      </c>
      <c r="H345" s="1">
        <v>39149</v>
      </c>
      <c r="I345">
        <v>31145</v>
      </c>
      <c r="J345" s="2">
        <f t="shared" si="161"/>
        <v>8004</v>
      </c>
      <c r="K345">
        <v>32760</v>
      </c>
      <c r="L345" s="3">
        <f t="shared" si="162"/>
        <v>0.244322344322344</v>
      </c>
      <c r="N345" s="4">
        <v>213.701243203827</v>
      </c>
      <c r="O345">
        <v>201.27</v>
      </c>
      <c r="P345" s="5">
        <f t="shared" si="163"/>
        <v>12.431243203827</v>
      </c>
      <c r="Q345">
        <v>79.69</v>
      </c>
      <c r="R345" s="3">
        <f t="shared" si="164"/>
        <v>0.155995020753256</v>
      </c>
      <c r="T345" s="4">
        <v>101.498008428675</v>
      </c>
      <c r="U345">
        <v>100.23</v>
      </c>
      <c r="V345" s="5">
        <f t="shared" si="165"/>
        <v>1.268008428675</v>
      </c>
      <c r="W345">
        <v>410.93</v>
      </c>
      <c r="X345" s="3">
        <f t="shared" si="166"/>
        <v>0.00308570420430488</v>
      </c>
      <c r="Z345" s="4">
        <v>29.6776444635124</v>
      </c>
      <c r="AA345">
        <v>13.25</v>
      </c>
      <c r="AB345" s="5">
        <f t="shared" si="167"/>
        <v>16.4276444635124</v>
      </c>
      <c r="AC345">
        <v>33.93</v>
      </c>
      <c r="AD345" s="3">
        <f t="shared" si="168"/>
        <v>0.484162819437442</v>
      </c>
      <c r="AF345" s="4">
        <v>4.17</v>
      </c>
      <c r="AG345">
        <v>2.09</v>
      </c>
      <c r="AH345" s="5">
        <f t="shared" si="169"/>
        <v>2.08</v>
      </c>
      <c r="AI345">
        <v>3.85</v>
      </c>
      <c r="AJ345" s="3">
        <f t="shared" si="170"/>
        <v>0.54025974025974</v>
      </c>
      <c r="AL345" s="4">
        <v>7.86186673166827</v>
      </c>
      <c r="AM345">
        <v>6.1</v>
      </c>
      <c r="AN345" s="5">
        <f t="shared" si="171"/>
        <v>1.76186673166827</v>
      </c>
      <c r="AO345">
        <v>1.89</v>
      </c>
      <c r="AP345" s="3">
        <f t="shared" si="172"/>
        <v>0.932204619930302</v>
      </c>
      <c r="AR345" s="4">
        <v>1.55106846946929</v>
      </c>
      <c r="AS345">
        <v>0.02</v>
      </c>
      <c r="AT345" s="5">
        <f t="shared" si="173"/>
        <v>1.53106846946929</v>
      </c>
      <c r="AU345">
        <v>2.84</v>
      </c>
      <c r="AV345" s="3">
        <f t="shared" si="174"/>
        <v>0.539108616010313</v>
      </c>
      <c r="AX345" s="4">
        <v>14.1491997375</v>
      </c>
      <c r="AY345">
        <v>3.44</v>
      </c>
      <c r="AZ345" s="5">
        <f t="shared" si="175"/>
        <v>10.7091997375</v>
      </c>
      <c r="BA345">
        <v>29.17</v>
      </c>
      <c r="BB345" s="3">
        <f t="shared" si="176"/>
        <v>0.367130604645183</v>
      </c>
      <c r="BD345" s="4">
        <v>0.355666666666667</v>
      </c>
      <c r="BE345">
        <v>0.17</v>
      </c>
      <c r="BF345" s="5">
        <f t="shared" si="177"/>
        <v>0.185666666666667</v>
      </c>
      <c r="BG345">
        <v>4</v>
      </c>
      <c r="BH345" s="3">
        <f t="shared" si="178"/>
        <v>0.0464166666666668</v>
      </c>
      <c r="BJ345" s="9">
        <v>11.2166666166667</v>
      </c>
      <c r="BK345">
        <v>4.8</v>
      </c>
      <c r="BL345" s="5">
        <f t="shared" si="179"/>
        <v>6.4166666166667</v>
      </c>
      <c r="BM345">
        <v>8.9</v>
      </c>
      <c r="BN345" s="3">
        <f t="shared" si="180"/>
        <v>0.720973777153562</v>
      </c>
      <c r="BP345" s="9">
        <v>0.225425</v>
      </c>
      <c r="BQ345">
        <v>0.09</v>
      </c>
      <c r="BR345" s="5">
        <f t="shared" si="181"/>
        <v>0.135425</v>
      </c>
      <c r="BS345">
        <v>0.43</v>
      </c>
      <c r="BT345" s="3">
        <f t="shared" si="182"/>
        <v>0.314941860465116</v>
      </c>
      <c r="BV345" s="4">
        <v>6.70384167083333</v>
      </c>
      <c r="BW345">
        <v>6.18</v>
      </c>
      <c r="BX345" s="5">
        <f t="shared" si="183"/>
        <v>0.52384167083333</v>
      </c>
      <c r="BY345">
        <v>1.68</v>
      </c>
      <c r="BZ345" s="3">
        <f t="shared" si="184"/>
        <v>0.311810518353173</v>
      </c>
      <c r="CB345" s="10">
        <v>76.6</v>
      </c>
      <c r="CC345">
        <v>54.3</v>
      </c>
      <c r="CD345" s="12">
        <f t="shared" si="185"/>
        <v>22.3</v>
      </c>
      <c r="CE345">
        <v>71.3</v>
      </c>
      <c r="CF345" s="3">
        <f t="shared" si="186"/>
        <v>0.312762973352034</v>
      </c>
      <c r="CH345" s="13">
        <v>43.2</v>
      </c>
      <c r="CI345">
        <v>22.6</v>
      </c>
      <c r="CJ345">
        <f t="shared" si="187"/>
        <v>20.6</v>
      </c>
      <c r="CK345">
        <v>25.1</v>
      </c>
      <c r="CL345">
        <f t="shared" si="188"/>
        <v>0.820717131474104</v>
      </c>
      <c r="CN345" s="10">
        <v>3.2</v>
      </c>
      <c r="CO345">
        <v>3</v>
      </c>
      <c r="CP345" s="12">
        <f t="shared" si="189"/>
        <v>0.2</v>
      </c>
      <c r="CQ345">
        <v>3.4</v>
      </c>
      <c r="CR345" s="3">
        <f t="shared" si="190"/>
        <v>0.0588235294117648</v>
      </c>
    </row>
    <row r="346" spans="2:96">
      <c r="B346" s="1">
        <v>43610</v>
      </c>
      <c r="C346">
        <v>32416</v>
      </c>
      <c r="D346" s="2">
        <f t="shared" si="191"/>
        <v>11194</v>
      </c>
      <c r="E346">
        <v>31904</v>
      </c>
      <c r="F346" s="3">
        <f t="shared" si="160"/>
        <v>0.350865095285858</v>
      </c>
      <c r="H346" s="1">
        <v>43183</v>
      </c>
      <c r="I346">
        <v>31145</v>
      </c>
      <c r="J346" s="2">
        <f t="shared" si="161"/>
        <v>12038</v>
      </c>
      <c r="K346">
        <v>32760</v>
      </c>
      <c r="L346" s="3">
        <f t="shared" si="162"/>
        <v>0.367460317460317</v>
      </c>
      <c r="N346" s="4">
        <v>259.899844063981</v>
      </c>
      <c r="O346">
        <v>201.27</v>
      </c>
      <c r="P346" s="5">
        <f t="shared" si="163"/>
        <v>58.629844063981</v>
      </c>
      <c r="Q346">
        <v>79.69</v>
      </c>
      <c r="R346" s="3">
        <f t="shared" si="164"/>
        <v>0.735723981227017</v>
      </c>
      <c r="T346" s="4">
        <v>161.223211362563</v>
      </c>
      <c r="U346">
        <v>100.23</v>
      </c>
      <c r="V346" s="5">
        <f t="shared" si="165"/>
        <v>60.993211362563</v>
      </c>
      <c r="W346">
        <v>410.93</v>
      </c>
      <c r="X346" s="3">
        <f t="shared" si="166"/>
        <v>0.14842725369908</v>
      </c>
      <c r="Z346" s="4">
        <v>39.6998390905888</v>
      </c>
      <c r="AA346">
        <v>13.25</v>
      </c>
      <c r="AB346" s="5">
        <f t="shared" si="167"/>
        <v>26.4498390905888</v>
      </c>
      <c r="AC346">
        <v>33.93</v>
      </c>
      <c r="AD346" s="3">
        <f t="shared" si="168"/>
        <v>0.779541381980218</v>
      </c>
      <c r="AF346" s="4">
        <v>4.19</v>
      </c>
      <c r="AG346">
        <v>2.09</v>
      </c>
      <c r="AH346" s="5">
        <f t="shared" si="169"/>
        <v>2.1</v>
      </c>
      <c r="AI346">
        <v>3.85</v>
      </c>
      <c r="AJ346" s="3">
        <f t="shared" si="170"/>
        <v>0.545454545454546</v>
      </c>
      <c r="AL346" s="4">
        <v>7.21585199981473</v>
      </c>
      <c r="AM346">
        <v>6.1</v>
      </c>
      <c r="AN346" s="5">
        <f t="shared" si="171"/>
        <v>1.11585199981473</v>
      </c>
      <c r="AO346">
        <v>1.89</v>
      </c>
      <c r="AP346" s="3">
        <f t="shared" si="172"/>
        <v>0.590397883499858</v>
      </c>
      <c r="AR346" s="4">
        <v>0.553402635909078</v>
      </c>
      <c r="AS346">
        <v>0.02</v>
      </c>
      <c r="AT346" s="5">
        <f t="shared" si="173"/>
        <v>0.533402635909078</v>
      </c>
      <c r="AU346">
        <v>2.84</v>
      </c>
      <c r="AV346" s="3">
        <f t="shared" si="174"/>
        <v>0.18781782954545</v>
      </c>
      <c r="AX346" s="4">
        <v>14.6934667041667</v>
      </c>
      <c r="AY346">
        <v>3.44</v>
      </c>
      <c r="AZ346" s="5">
        <f t="shared" si="175"/>
        <v>11.2534667041667</v>
      </c>
      <c r="BA346">
        <v>29.17</v>
      </c>
      <c r="BB346" s="3">
        <f t="shared" si="176"/>
        <v>0.385789053965262</v>
      </c>
      <c r="BD346" s="4">
        <v>0.234833333333333</v>
      </c>
      <c r="BE346">
        <v>0.17</v>
      </c>
      <c r="BF346" s="5">
        <f t="shared" si="177"/>
        <v>0.064833333333333</v>
      </c>
      <c r="BG346">
        <v>4</v>
      </c>
      <c r="BH346" s="3">
        <f t="shared" si="178"/>
        <v>0.0162083333333332</v>
      </c>
      <c r="BJ346" s="9">
        <v>11.0642499875</v>
      </c>
      <c r="BK346">
        <v>4.8</v>
      </c>
      <c r="BL346" s="5">
        <f t="shared" si="179"/>
        <v>6.2642499875</v>
      </c>
      <c r="BM346">
        <v>8.9</v>
      </c>
      <c r="BN346" s="3">
        <f t="shared" si="180"/>
        <v>0.703848313202247</v>
      </c>
      <c r="BP346" s="9">
        <v>0.218925</v>
      </c>
      <c r="BQ346">
        <v>0.09</v>
      </c>
      <c r="BR346" s="5">
        <f t="shared" si="181"/>
        <v>0.128925</v>
      </c>
      <c r="BS346">
        <v>0.43</v>
      </c>
      <c r="BT346" s="3">
        <f t="shared" si="182"/>
        <v>0.299825581395349</v>
      </c>
      <c r="BV346" s="4">
        <v>6.6487166625</v>
      </c>
      <c r="BW346">
        <v>6.18</v>
      </c>
      <c r="BX346" s="5">
        <f t="shared" si="183"/>
        <v>0.4687166625</v>
      </c>
      <c r="BY346">
        <v>1.68</v>
      </c>
      <c r="BZ346" s="3">
        <f t="shared" si="184"/>
        <v>0.278998013392857</v>
      </c>
      <c r="CB346" s="10">
        <v>74.1</v>
      </c>
      <c r="CC346">
        <v>54.3</v>
      </c>
      <c r="CD346" s="12">
        <f t="shared" si="185"/>
        <v>19.8</v>
      </c>
      <c r="CE346">
        <v>71.3</v>
      </c>
      <c r="CF346" s="3">
        <f t="shared" si="186"/>
        <v>0.277699859747546</v>
      </c>
      <c r="CH346" s="13">
        <v>40.6</v>
      </c>
      <c r="CI346">
        <v>22.6</v>
      </c>
      <c r="CJ346">
        <f t="shared" si="187"/>
        <v>18</v>
      </c>
      <c r="CK346">
        <v>25.1</v>
      </c>
      <c r="CL346">
        <f t="shared" si="188"/>
        <v>0.717131474103586</v>
      </c>
      <c r="CN346" s="10">
        <v>3.4</v>
      </c>
      <c r="CO346">
        <v>3</v>
      </c>
      <c r="CP346" s="12">
        <f t="shared" si="189"/>
        <v>0.4</v>
      </c>
      <c r="CQ346">
        <v>3.4</v>
      </c>
      <c r="CR346" s="3">
        <f t="shared" si="190"/>
        <v>0.117647058823529</v>
      </c>
    </row>
    <row r="347" spans="2:96">
      <c r="B347" s="1">
        <v>41163</v>
      </c>
      <c r="C347">
        <v>32416</v>
      </c>
      <c r="D347" s="2">
        <f t="shared" si="191"/>
        <v>8747</v>
      </c>
      <c r="E347">
        <v>31904</v>
      </c>
      <c r="F347" s="3">
        <f t="shared" si="160"/>
        <v>0.274166248746239</v>
      </c>
      <c r="H347" s="1">
        <v>42829</v>
      </c>
      <c r="I347">
        <v>31145</v>
      </c>
      <c r="J347" s="2">
        <f t="shared" si="161"/>
        <v>11684</v>
      </c>
      <c r="K347">
        <v>32760</v>
      </c>
      <c r="L347" s="3">
        <f t="shared" si="162"/>
        <v>0.356654456654457</v>
      </c>
      <c r="N347" s="4">
        <v>226.790197027195</v>
      </c>
      <c r="O347">
        <v>201.27</v>
      </c>
      <c r="P347" s="5">
        <f t="shared" si="163"/>
        <v>25.520197027195</v>
      </c>
      <c r="Q347">
        <v>79.69</v>
      </c>
      <c r="R347" s="3">
        <f t="shared" si="164"/>
        <v>0.320243406038336</v>
      </c>
      <c r="T347" s="4">
        <v>152.113402983576</v>
      </c>
      <c r="U347">
        <v>100.23</v>
      </c>
      <c r="V347" s="5">
        <f t="shared" si="165"/>
        <v>51.883402983576</v>
      </c>
      <c r="W347">
        <v>410.93</v>
      </c>
      <c r="X347" s="3">
        <f t="shared" si="166"/>
        <v>0.126258494107454</v>
      </c>
      <c r="Z347" s="4">
        <v>44.6099848694554</v>
      </c>
      <c r="AA347">
        <v>13.25</v>
      </c>
      <c r="AB347" s="5">
        <f t="shared" si="167"/>
        <v>31.3599848694554</v>
      </c>
      <c r="AC347">
        <v>33.93</v>
      </c>
      <c r="AD347" s="3">
        <f t="shared" si="168"/>
        <v>0.924255374873428</v>
      </c>
      <c r="AF347" s="4">
        <v>3.71</v>
      </c>
      <c r="AG347">
        <v>2.09</v>
      </c>
      <c r="AH347" s="5">
        <f t="shared" si="169"/>
        <v>1.62</v>
      </c>
      <c r="AI347">
        <v>3.85</v>
      </c>
      <c r="AJ347" s="3">
        <f t="shared" si="170"/>
        <v>0.420779220779221</v>
      </c>
      <c r="AL347" s="4">
        <v>7.49117258673577</v>
      </c>
      <c r="AM347">
        <v>6.1</v>
      </c>
      <c r="AN347" s="5">
        <f t="shared" si="171"/>
        <v>1.39117258673577</v>
      </c>
      <c r="AO347">
        <v>1.89</v>
      </c>
      <c r="AP347" s="3">
        <f t="shared" si="172"/>
        <v>0.736070151712048</v>
      </c>
      <c r="AR347" s="4">
        <v>1.56765857464048</v>
      </c>
      <c r="AS347">
        <v>0.02</v>
      </c>
      <c r="AT347" s="5">
        <f t="shared" si="173"/>
        <v>1.54765857464048</v>
      </c>
      <c r="AU347">
        <v>2.84</v>
      </c>
      <c r="AV347" s="3">
        <f t="shared" si="174"/>
        <v>0.544950202338197</v>
      </c>
      <c r="AX347" s="4">
        <v>17.2804667958333</v>
      </c>
      <c r="AY347">
        <v>3.44</v>
      </c>
      <c r="AZ347" s="5">
        <f t="shared" si="175"/>
        <v>13.8404667958333</v>
      </c>
      <c r="BA347">
        <v>29.17</v>
      </c>
      <c r="BB347" s="3">
        <f t="shared" si="176"/>
        <v>0.474476064306935</v>
      </c>
      <c r="BD347" s="4">
        <v>0.8170000125</v>
      </c>
      <c r="BE347">
        <v>0.17</v>
      </c>
      <c r="BF347" s="5">
        <f t="shared" si="177"/>
        <v>0.6470000125</v>
      </c>
      <c r="BG347">
        <v>4</v>
      </c>
      <c r="BH347" s="3">
        <f t="shared" si="178"/>
        <v>0.161750003125</v>
      </c>
      <c r="BJ347" s="9">
        <v>10.2221666583333</v>
      </c>
      <c r="BK347">
        <v>4.8</v>
      </c>
      <c r="BL347" s="5">
        <f t="shared" si="179"/>
        <v>5.4221666583333</v>
      </c>
      <c r="BM347">
        <v>8.9</v>
      </c>
      <c r="BN347" s="3">
        <f t="shared" si="180"/>
        <v>0.609232208801494</v>
      </c>
      <c r="BP347" s="9">
        <v>0.2376</v>
      </c>
      <c r="BQ347">
        <v>0.09</v>
      </c>
      <c r="BR347" s="5">
        <f t="shared" si="181"/>
        <v>0.1476</v>
      </c>
      <c r="BS347">
        <v>0.43</v>
      </c>
      <c r="BT347" s="3">
        <f t="shared" si="182"/>
        <v>0.343255813953488</v>
      </c>
      <c r="BV347" s="4">
        <v>6.64183335833333</v>
      </c>
      <c r="BW347">
        <v>6.18</v>
      </c>
      <c r="BX347" s="5">
        <f t="shared" si="183"/>
        <v>0.461833358333331</v>
      </c>
      <c r="BY347">
        <v>1.68</v>
      </c>
      <c r="BZ347" s="3">
        <f t="shared" si="184"/>
        <v>0.274900808531744</v>
      </c>
      <c r="CB347" s="10">
        <v>74.2</v>
      </c>
      <c r="CC347">
        <v>54.3</v>
      </c>
      <c r="CD347" s="12">
        <f t="shared" si="185"/>
        <v>19.9</v>
      </c>
      <c r="CE347">
        <v>71.3</v>
      </c>
      <c r="CF347" s="3">
        <f t="shared" si="186"/>
        <v>0.279102384291725</v>
      </c>
      <c r="CH347" s="13">
        <v>43.3</v>
      </c>
      <c r="CI347">
        <v>22.6</v>
      </c>
      <c r="CJ347">
        <f t="shared" si="187"/>
        <v>20.7</v>
      </c>
      <c r="CK347">
        <v>25.1</v>
      </c>
      <c r="CL347">
        <f t="shared" si="188"/>
        <v>0.824701195219123</v>
      </c>
      <c r="CN347" s="10">
        <v>3.1</v>
      </c>
      <c r="CO347">
        <v>3</v>
      </c>
      <c r="CP347" s="12">
        <f t="shared" si="189"/>
        <v>0.1</v>
      </c>
      <c r="CQ347">
        <v>3.4</v>
      </c>
      <c r="CR347" s="3">
        <f t="shared" si="190"/>
        <v>0.0294117647058824</v>
      </c>
    </row>
    <row r="348" spans="2:96">
      <c r="B348" s="1">
        <v>34122</v>
      </c>
      <c r="C348">
        <v>32416</v>
      </c>
      <c r="D348" s="2">
        <f t="shared" si="191"/>
        <v>1706</v>
      </c>
      <c r="E348">
        <v>31904</v>
      </c>
      <c r="F348" s="3">
        <f t="shared" si="160"/>
        <v>0.0534729187562688</v>
      </c>
      <c r="H348" s="1">
        <v>31958</v>
      </c>
      <c r="I348">
        <v>31145</v>
      </c>
      <c r="J348" s="2">
        <f t="shared" si="161"/>
        <v>813</v>
      </c>
      <c r="K348">
        <v>32760</v>
      </c>
      <c r="L348" s="3">
        <f t="shared" si="162"/>
        <v>0.0248168498168498</v>
      </c>
      <c r="N348" s="4">
        <v>231.053458707574</v>
      </c>
      <c r="O348">
        <v>201.27</v>
      </c>
      <c r="P348" s="5">
        <f t="shared" si="163"/>
        <v>29.783458707574</v>
      </c>
      <c r="Q348">
        <v>79.69</v>
      </c>
      <c r="R348" s="3">
        <f t="shared" si="164"/>
        <v>0.373741482087765</v>
      </c>
      <c r="T348" s="4">
        <v>113.393480963739</v>
      </c>
      <c r="U348">
        <v>100.23</v>
      </c>
      <c r="V348" s="5">
        <f t="shared" si="165"/>
        <v>13.163480963739</v>
      </c>
      <c r="W348">
        <v>410.93</v>
      </c>
      <c r="X348" s="3">
        <f t="shared" si="166"/>
        <v>0.0320333900268634</v>
      </c>
      <c r="Z348" s="4">
        <v>33.4566175260648</v>
      </c>
      <c r="AA348">
        <v>13.25</v>
      </c>
      <c r="AB348" s="5">
        <f t="shared" si="167"/>
        <v>20.2066175260648</v>
      </c>
      <c r="AC348">
        <v>33.93</v>
      </c>
      <c r="AD348" s="3">
        <f t="shared" si="168"/>
        <v>0.595538388625547</v>
      </c>
      <c r="AF348" s="4">
        <v>4.52</v>
      </c>
      <c r="AG348">
        <v>2.09</v>
      </c>
      <c r="AH348" s="5">
        <f t="shared" si="169"/>
        <v>2.43</v>
      </c>
      <c r="AI348">
        <v>3.85</v>
      </c>
      <c r="AJ348" s="3">
        <f t="shared" si="170"/>
        <v>0.631168831168831</v>
      </c>
      <c r="AL348" s="4">
        <v>7.308323377002</v>
      </c>
      <c r="AM348">
        <v>6.1</v>
      </c>
      <c r="AN348" s="5">
        <f t="shared" si="171"/>
        <v>1.208323377002</v>
      </c>
      <c r="AO348">
        <v>1.89</v>
      </c>
      <c r="AP348" s="3">
        <f t="shared" si="172"/>
        <v>0.639324538096297</v>
      </c>
      <c r="AR348" s="4">
        <v>0.51743427326214</v>
      </c>
      <c r="AS348">
        <v>0.02</v>
      </c>
      <c r="AT348" s="5">
        <f t="shared" si="173"/>
        <v>0.49743427326214</v>
      </c>
      <c r="AU348">
        <v>2.84</v>
      </c>
      <c r="AV348" s="3">
        <f t="shared" si="174"/>
        <v>0.175152913120472</v>
      </c>
      <c r="AX348" s="4">
        <v>13.630933325</v>
      </c>
      <c r="AY348">
        <v>3.44</v>
      </c>
      <c r="AZ348" s="5">
        <f t="shared" si="175"/>
        <v>10.190933325</v>
      </c>
      <c r="BA348">
        <v>29.17</v>
      </c>
      <c r="BB348" s="3">
        <f t="shared" si="176"/>
        <v>0.349363501028454</v>
      </c>
      <c r="BD348" s="4">
        <v>0.4045</v>
      </c>
      <c r="BE348">
        <v>0.17</v>
      </c>
      <c r="BF348" s="5">
        <f t="shared" si="177"/>
        <v>0.2345</v>
      </c>
      <c r="BG348">
        <v>4</v>
      </c>
      <c r="BH348" s="3">
        <f t="shared" si="178"/>
        <v>0.058625</v>
      </c>
      <c r="BJ348" s="9">
        <v>11.0878334083333</v>
      </c>
      <c r="BK348">
        <v>4.8</v>
      </c>
      <c r="BL348" s="5">
        <f t="shared" si="179"/>
        <v>6.2878334083333</v>
      </c>
      <c r="BM348">
        <v>8.9</v>
      </c>
      <c r="BN348" s="3">
        <f t="shared" si="180"/>
        <v>0.706498135767786</v>
      </c>
      <c r="BP348" s="9">
        <v>0.197883333333333</v>
      </c>
      <c r="BQ348">
        <v>0.09</v>
      </c>
      <c r="BR348" s="5">
        <f t="shared" si="181"/>
        <v>0.107883333333333</v>
      </c>
      <c r="BS348">
        <v>0.43</v>
      </c>
      <c r="BT348" s="3">
        <f t="shared" si="182"/>
        <v>0.250891472868216</v>
      </c>
      <c r="BV348" s="4">
        <v>6.7240833</v>
      </c>
      <c r="BW348">
        <v>6.18</v>
      </c>
      <c r="BX348" s="5">
        <f t="shared" si="183"/>
        <v>0.5440833</v>
      </c>
      <c r="BY348">
        <v>1.68</v>
      </c>
      <c r="BZ348" s="3">
        <f t="shared" si="184"/>
        <v>0.323859107142857</v>
      </c>
      <c r="CB348" s="10">
        <v>75.6</v>
      </c>
      <c r="CC348">
        <v>54.3</v>
      </c>
      <c r="CD348" s="12">
        <f t="shared" si="185"/>
        <v>21.3</v>
      </c>
      <c r="CE348">
        <v>71.3</v>
      </c>
      <c r="CF348" s="3">
        <f t="shared" si="186"/>
        <v>0.298737727910238</v>
      </c>
      <c r="CH348" s="13">
        <v>41.8</v>
      </c>
      <c r="CI348">
        <v>22.6</v>
      </c>
      <c r="CJ348">
        <f t="shared" si="187"/>
        <v>19.2</v>
      </c>
      <c r="CK348">
        <v>25.1</v>
      </c>
      <c r="CL348">
        <f t="shared" si="188"/>
        <v>0.764940239043824</v>
      </c>
      <c r="CN348" s="10">
        <v>3.5</v>
      </c>
      <c r="CO348">
        <v>3</v>
      </c>
      <c r="CP348" s="12">
        <f t="shared" si="189"/>
        <v>0.5</v>
      </c>
      <c r="CQ348">
        <v>3.4</v>
      </c>
      <c r="CR348" s="3">
        <f t="shared" si="190"/>
        <v>0.147058823529412</v>
      </c>
    </row>
    <row r="349" spans="2:96">
      <c r="B349" s="1">
        <v>45170</v>
      </c>
      <c r="C349">
        <v>32416</v>
      </c>
      <c r="D349" s="2">
        <f t="shared" si="191"/>
        <v>12754</v>
      </c>
      <c r="E349">
        <v>31904</v>
      </c>
      <c r="F349" s="3">
        <f t="shared" si="160"/>
        <v>0.399761785356068</v>
      </c>
      <c r="H349" s="1">
        <v>43522</v>
      </c>
      <c r="I349">
        <v>31145</v>
      </c>
      <c r="J349" s="2">
        <f t="shared" si="161"/>
        <v>12377</v>
      </c>
      <c r="K349">
        <v>32760</v>
      </c>
      <c r="L349" s="3">
        <f t="shared" si="162"/>
        <v>0.377808302808303</v>
      </c>
      <c r="N349" s="4">
        <v>249.039139405807</v>
      </c>
      <c r="O349">
        <v>201.27</v>
      </c>
      <c r="P349" s="5">
        <f t="shared" si="163"/>
        <v>47.769139405807</v>
      </c>
      <c r="Q349">
        <v>79.69</v>
      </c>
      <c r="R349" s="3">
        <f t="shared" si="164"/>
        <v>0.599437061184678</v>
      </c>
      <c r="T349" s="4">
        <v>155.856809611361</v>
      </c>
      <c r="U349">
        <v>100.23</v>
      </c>
      <c r="V349" s="5">
        <f t="shared" si="165"/>
        <v>55.626809611361</v>
      </c>
      <c r="W349">
        <v>410.93</v>
      </c>
      <c r="X349" s="3">
        <f t="shared" si="166"/>
        <v>0.135368090943375</v>
      </c>
      <c r="Z349" s="4">
        <v>25.5900331843009</v>
      </c>
      <c r="AA349">
        <v>13.25</v>
      </c>
      <c r="AB349" s="5">
        <f t="shared" si="167"/>
        <v>12.3400331843009</v>
      </c>
      <c r="AC349">
        <v>33.93</v>
      </c>
      <c r="AD349" s="3">
        <f t="shared" si="168"/>
        <v>0.363690927919272</v>
      </c>
      <c r="AF349" s="4">
        <v>4.14</v>
      </c>
      <c r="AG349">
        <v>2.09</v>
      </c>
      <c r="AH349" s="5">
        <f t="shared" si="169"/>
        <v>2.05</v>
      </c>
      <c r="AI349">
        <v>3.85</v>
      </c>
      <c r="AJ349" s="3">
        <f t="shared" si="170"/>
        <v>0.532467532467532</v>
      </c>
      <c r="AL349" s="4">
        <v>7.93958510343464</v>
      </c>
      <c r="AM349">
        <v>6.1</v>
      </c>
      <c r="AN349" s="5">
        <f t="shared" si="171"/>
        <v>1.83958510343464</v>
      </c>
      <c r="AO349">
        <v>1.89</v>
      </c>
      <c r="AP349" s="3">
        <f t="shared" si="172"/>
        <v>0.97332545155272</v>
      </c>
      <c r="AR349" s="4">
        <v>1.60140884834339</v>
      </c>
      <c r="AS349">
        <v>0.02</v>
      </c>
      <c r="AT349" s="5">
        <f t="shared" si="173"/>
        <v>1.58140884834339</v>
      </c>
      <c r="AU349">
        <v>2.84</v>
      </c>
      <c r="AV349" s="3">
        <f t="shared" si="174"/>
        <v>0.556834101529363</v>
      </c>
      <c r="AX349" s="4">
        <v>10.6425333166666</v>
      </c>
      <c r="AY349">
        <v>3.44</v>
      </c>
      <c r="AZ349" s="5">
        <f t="shared" si="175"/>
        <v>7.2025333166666</v>
      </c>
      <c r="BA349">
        <v>29.17</v>
      </c>
      <c r="BB349" s="3">
        <f t="shared" si="176"/>
        <v>0.246915780482228</v>
      </c>
      <c r="BD349" s="4">
        <v>0.24125</v>
      </c>
      <c r="BE349">
        <v>0.17</v>
      </c>
      <c r="BF349" s="5">
        <f t="shared" si="177"/>
        <v>0.07125</v>
      </c>
      <c r="BG349">
        <v>4</v>
      </c>
      <c r="BH349" s="3">
        <f t="shared" si="178"/>
        <v>0.0178125</v>
      </c>
      <c r="BJ349" s="9">
        <v>10.33749985</v>
      </c>
      <c r="BK349">
        <v>4.8</v>
      </c>
      <c r="BL349" s="5">
        <f t="shared" si="179"/>
        <v>5.53749985</v>
      </c>
      <c r="BM349">
        <v>8.9</v>
      </c>
      <c r="BN349" s="3">
        <f t="shared" si="180"/>
        <v>0.622190994382023</v>
      </c>
      <c r="BP349" s="9">
        <v>0.169375</v>
      </c>
      <c r="BQ349">
        <v>0.09</v>
      </c>
      <c r="BR349" s="5">
        <f t="shared" si="181"/>
        <v>0.079375</v>
      </c>
      <c r="BS349">
        <v>0.43</v>
      </c>
      <c r="BT349" s="3">
        <f t="shared" si="182"/>
        <v>0.184593023255814</v>
      </c>
      <c r="BV349" s="4">
        <v>6.77413340416667</v>
      </c>
      <c r="BW349">
        <v>6.18</v>
      </c>
      <c r="BX349" s="5">
        <f t="shared" si="183"/>
        <v>0.59413340416667</v>
      </c>
      <c r="BY349">
        <v>1.68</v>
      </c>
      <c r="BZ349" s="3">
        <f t="shared" si="184"/>
        <v>0.353650835813494</v>
      </c>
      <c r="CB349" s="10">
        <v>77.8</v>
      </c>
      <c r="CC349">
        <v>54.3</v>
      </c>
      <c r="CD349" s="12">
        <f t="shared" si="185"/>
        <v>23.5</v>
      </c>
      <c r="CE349">
        <v>71.3</v>
      </c>
      <c r="CF349" s="3">
        <f t="shared" si="186"/>
        <v>0.329593267882188</v>
      </c>
      <c r="CH349" s="13">
        <v>45.6</v>
      </c>
      <c r="CI349">
        <v>22.6</v>
      </c>
      <c r="CJ349">
        <f t="shared" si="187"/>
        <v>23</v>
      </c>
      <c r="CK349">
        <v>25.1</v>
      </c>
      <c r="CL349">
        <f t="shared" si="188"/>
        <v>0.916334661354582</v>
      </c>
      <c r="CN349" s="10">
        <v>3</v>
      </c>
      <c r="CO349">
        <v>3</v>
      </c>
      <c r="CP349" s="12">
        <f t="shared" si="189"/>
        <v>0</v>
      </c>
      <c r="CQ349">
        <v>3.4</v>
      </c>
      <c r="CR349" s="3">
        <f t="shared" si="190"/>
        <v>0</v>
      </c>
    </row>
    <row r="350" spans="2:96">
      <c r="B350" s="1">
        <v>41312</v>
      </c>
      <c r="C350">
        <v>32416</v>
      </c>
      <c r="D350" s="2">
        <f t="shared" si="191"/>
        <v>8896</v>
      </c>
      <c r="E350">
        <v>31904</v>
      </c>
      <c r="F350" s="3">
        <f t="shared" si="160"/>
        <v>0.278836509528586</v>
      </c>
      <c r="H350" s="1">
        <v>37486</v>
      </c>
      <c r="I350">
        <v>31145</v>
      </c>
      <c r="J350" s="2">
        <f t="shared" si="161"/>
        <v>6341</v>
      </c>
      <c r="K350">
        <v>32760</v>
      </c>
      <c r="L350" s="3">
        <f t="shared" si="162"/>
        <v>0.193559218559219</v>
      </c>
      <c r="N350" s="4">
        <v>211.894688215333</v>
      </c>
      <c r="O350">
        <v>201.27</v>
      </c>
      <c r="P350" s="5">
        <f t="shared" si="163"/>
        <v>10.624688215333</v>
      </c>
      <c r="Q350">
        <v>79.69</v>
      </c>
      <c r="R350" s="3">
        <f t="shared" si="164"/>
        <v>0.133325237988869</v>
      </c>
      <c r="T350" s="4">
        <v>122.510582630955</v>
      </c>
      <c r="U350">
        <v>100.23</v>
      </c>
      <c r="V350" s="5">
        <f t="shared" si="165"/>
        <v>22.280582630955</v>
      </c>
      <c r="W350">
        <v>410.93</v>
      </c>
      <c r="X350" s="3">
        <f t="shared" si="166"/>
        <v>0.0542198978681405</v>
      </c>
      <c r="Z350" s="4">
        <v>31.0738571435121</v>
      </c>
      <c r="AA350">
        <v>13.25</v>
      </c>
      <c r="AB350" s="5">
        <f t="shared" si="167"/>
        <v>17.8238571435121</v>
      </c>
      <c r="AC350">
        <v>33.93</v>
      </c>
      <c r="AD350" s="3">
        <f t="shared" si="168"/>
        <v>0.52531261843537</v>
      </c>
      <c r="AF350" s="4">
        <v>4.43</v>
      </c>
      <c r="AG350">
        <v>2.09</v>
      </c>
      <c r="AH350" s="5">
        <f t="shared" si="169"/>
        <v>2.34</v>
      </c>
      <c r="AI350">
        <v>3.85</v>
      </c>
      <c r="AJ350" s="3">
        <f t="shared" si="170"/>
        <v>0.607792207792208</v>
      </c>
      <c r="AL350" s="4">
        <v>7.08064927778527</v>
      </c>
      <c r="AM350">
        <v>6.1</v>
      </c>
      <c r="AN350" s="5">
        <f t="shared" si="171"/>
        <v>0.98064927778527</v>
      </c>
      <c r="AO350">
        <v>1.89</v>
      </c>
      <c r="AP350" s="3">
        <f t="shared" si="172"/>
        <v>0.518862051738238</v>
      </c>
      <c r="AR350" s="4">
        <v>1.30543241485035</v>
      </c>
      <c r="AS350">
        <v>0.02</v>
      </c>
      <c r="AT350" s="5">
        <f t="shared" si="173"/>
        <v>1.28543241485035</v>
      </c>
      <c r="AU350">
        <v>2.84</v>
      </c>
      <c r="AV350" s="3">
        <f t="shared" si="174"/>
        <v>0.452617047482518</v>
      </c>
      <c r="AX350" s="4">
        <v>13.1494666708333</v>
      </c>
      <c r="AY350">
        <v>3.44</v>
      </c>
      <c r="AZ350" s="5">
        <f t="shared" si="175"/>
        <v>9.7094666708333</v>
      </c>
      <c r="BA350">
        <v>29.17</v>
      </c>
      <c r="BB350" s="3">
        <f t="shared" si="176"/>
        <v>0.332857959233229</v>
      </c>
      <c r="BD350" s="4">
        <v>0.224583333333333</v>
      </c>
      <c r="BE350">
        <v>0.17</v>
      </c>
      <c r="BF350" s="5">
        <f t="shared" si="177"/>
        <v>0.054583333333333</v>
      </c>
      <c r="BG350">
        <v>4</v>
      </c>
      <c r="BH350" s="3">
        <f t="shared" si="178"/>
        <v>0.0136458333333332</v>
      </c>
      <c r="BJ350" s="9">
        <v>10.9786666708333</v>
      </c>
      <c r="BK350">
        <v>4.8</v>
      </c>
      <c r="BL350" s="5">
        <f t="shared" si="179"/>
        <v>6.1786666708333</v>
      </c>
      <c r="BM350">
        <v>8.9</v>
      </c>
      <c r="BN350" s="3">
        <f t="shared" si="180"/>
        <v>0.694232210205989</v>
      </c>
      <c r="BP350" s="9">
        <v>0.182733333333333</v>
      </c>
      <c r="BQ350">
        <v>0.09</v>
      </c>
      <c r="BR350" s="5">
        <f t="shared" si="181"/>
        <v>0.092733333333333</v>
      </c>
      <c r="BS350">
        <v>0.43</v>
      </c>
      <c r="BT350" s="3">
        <f t="shared" si="182"/>
        <v>0.215658914728681</v>
      </c>
      <c r="BV350" s="4">
        <v>6.79577498333333</v>
      </c>
      <c r="BW350">
        <v>6.18</v>
      </c>
      <c r="BX350" s="5">
        <f t="shared" si="183"/>
        <v>0.61577498333333</v>
      </c>
      <c r="BY350">
        <v>1.68</v>
      </c>
      <c r="BZ350" s="3">
        <f t="shared" si="184"/>
        <v>0.366532728174601</v>
      </c>
      <c r="CB350" s="10">
        <v>79.1</v>
      </c>
      <c r="CC350">
        <v>54.3</v>
      </c>
      <c r="CD350" s="12">
        <f t="shared" si="185"/>
        <v>24.8</v>
      </c>
      <c r="CE350">
        <v>71.3</v>
      </c>
      <c r="CF350" s="3">
        <f t="shared" si="186"/>
        <v>0.347826086956522</v>
      </c>
      <c r="CH350" s="13">
        <v>43.7</v>
      </c>
      <c r="CI350">
        <v>22.6</v>
      </c>
      <c r="CJ350">
        <f t="shared" si="187"/>
        <v>21.1</v>
      </c>
      <c r="CK350">
        <v>25.1</v>
      </c>
      <c r="CL350">
        <f t="shared" si="188"/>
        <v>0.840637450199203</v>
      </c>
      <c r="CN350" s="11">
        <v>3.9</v>
      </c>
      <c r="CO350">
        <v>3</v>
      </c>
      <c r="CP350" s="12">
        <f t="shared" si="189"/>
        <v>0.9</v>
      </c>
      <c r="CQ350">
        <v>3.4</v>
      </c>
      <c r="CR350" s="3">
        <f t="shared" si="190"/>
        <v>0.264705882352941</v>
      </c>
    </row>
    <row r="351" spans="2:96">
      <c r="B351" s="1">
        <v>36344</v>
      </c>
      <c r="C351">
        <v>32416</v>
      </c>
      <c r="D351" s="2">
        <f t="shared" si="191"/>
        <v>3928</v>
      </c>
      <c r="E351">
        <v>31904</v>
      </c>
      <c r="F351" s="3">
        <f t="shared" si="160"/>
        <v>0.123119358074223</v>
      </c>
      <c r="H351" s="1">
        <v>37278</v>
      </c>
      <c r="I351">
        <v>31145</v>
      </c>
      <c r="J351" s="2">
        <f t="shared" si="161"/>
        <v>6133</v>
      </c>
      <c r="K351">
        <v>32760</v>
      </c>
      <c r="L351" s="3">
        <f t="shared" si="162"/>
        <v>0.187210012210012</v>
      </c>
      <c r="N351" s="4">
        <v>237.409606222311</v>
      </c>
      <c r="O351">
        <v>201.27</v>
      </c>
      <c r="P351" s="5">
        <f t="shared" si="163"/>
        <v>36.139606222311</v>
      </c>
      <c r="Q351">
        <v>79.69</v>
      </c>
      <c r="R351" s="3">
        <f t="shared" si="164"/>
        <v>0.453502399577249</v>
      </c>
      <c r="T351" s="4">
        <v>107.098449405238</v>
      </c>
      <c r="U351">
        <v>100.23</v>
      </c>
      <c r="V351" s="5">
        <f t="shared" si="165"/>
        <v>6.868449405238</v>
      </c>
      <c r="W351">
        <v>410.93</v>
      </c>
      <c r="X351" s="3">
        <f t="shared" si="166"/>
        <v>0.0167144024657192</v>
      </c>
      <c r="Z351" s="4">
        <v>35.0888658063859</v>
      </c>
      <c r="AA351">
        <v>13.25</v>
      </c>
      <c r="AB351" s="5">
        <f t="shared" si="167"/>
        <v>21.8388658063859</v>
      </c>
      <c r="AC351">
        <v>33.93</v>
      </c>
      <c r="AD351" s="3">
        <f t="shared" si="168"/>
        <v>0.643644733462596</v>
      </c>
      <c r="AF351" s="4">
        <v>4.69</v>
      </c>
      <c r="AG351">
        <v>2.09</v>
      </c>
      <c r="AH351" s="5">
        <f t="shared" si="169"/>
        <v>2.6</v>
      </c>
      <c r="AI351">
        <v>3.85</v>
      </c>
      <c r="AJ351" s="3">
        <f t="shared" si="170"/>
        <v>0.675324675324675</v>
      </c>
      <c r="AL351" s="4">
        <v>7.59613056824234</v>
      </c>
      <c r="AM351">
        <v>6.1</v>
      </c>
      <c r="AN351" s="5">
        <f t="shared" si="171"/>
        <v>1.49613056824234</v>
      </c>
      <c r="AO351">
        <v>1.89</v>
      </c>
      <c r="AP351" s="3">
        <f t="shared" si="172"/>
        <v>0.791603475260498</v>
      </c>
      <c r="AR351" s="4">
        <v>0.795800646441492</v>
      </c>
      <c r="AS351">
        <v>0.02</v>
      </c>
      <c r="AT351" s="5">
        <f t="shared" si="173"/>
        <v>0.775800646441492</v>
      </c>
      <c r="AU351">
        <v>2.84</v>
      </c>
      <c r="AV351" s="3">
        <f t="shared" si="174"/>
        <v>0.273169241704751</v>
      </c>
      <c r="AX351" s="4">
        <v>18.6112001421052</v>
      </c>
      <c r="AY351">
        <v>3.44</v>
      </c>
      <c r="AZ351" s="5">
        <f t="shared" si="175"/>
        <v>15.1712001421052</v>
      </c>
      <c r="BA351">
        <v>29.17</v>
      </c>
      <c r="BB351" s="3">
        <f t="shared" si="176"/>
        <v>0.520095993901447</v>
      </c>
      <c r="BD351" s="4">
        <v>0.592526321052632</v>
      </c>
      <c r="BE351">
        <v>0.17</v>
      </c>
      <c r="BF351" s="5">
        <f t="shared" si="177"/>
        <v>0.422526321052632</v>
      </c>
      <c r="BG351">
        <v>4</v>
      </c>
      <c r="BH351" s="3">
        <f t="shared" si="178"/>
        <v>0.105631580263158</v>
      </c>
      <c r="BJ351" s="9">
        <v>10.4895789578947</v>
      </c>
      <c r="BK351">
        <v>4.8</v>
      </c>
      <c r="BL351" s="5">
        <f t="shared" si="179"/>
        <v>5.6895789578947</v>
      </c>
      <c r="BM351">
        <v>8.9</v>
      </c>
      <c r="BN351" s="3">
        <f t="shared" si="180"/>
        <v>0.63927853459491</v>
      </c>
      <c r="BP351" s="9">
        <v>0.168852631578947</v>
      </c>
      <c r="BQ351">
        <v>0.09</v>
      </c>
      <c r="BR351" s="5">
        <f t="shared" si="181"/>
        <v>0.078852631578947</v>
      </c>
      <c r="BS351">
        <v>0.43</v>
      </c>
      <c r="BT351" s="3">
        <f t="shared" si="182"/>
        <v>0.183378212974295</v>
      </c>
      <c r="BV351" s="4">
        <v>6.81247363157895</v>
      </c>
      <c r="BW351">
        <v>6.18</v>
      </c>
      <c r="BX351" s="5">
        <f t="shared" si="183"/>
        <v>0.63247363157895</v>
      </c>
      <c r="BY351">
        <v>1.68</v>
      </c>
      <c r="BZ351" s="3">
        <f t="shared" si="184"/>
        <v>0.376472399749375</v>
      </c>
      <c r="CB351" s="10">
        <v>80.5</v>
      </c>
      <c r="CC351">
        <v>54.3</v>
      </c>
      <c r="CD351" s="12">
        <f t="shared" si="185"/>
        <v>26.2</v>
      </c>
      <c r="CE351">
        <v>71.3</v>
      </c>
      <c r="CF351" s="3">
        <f t="shared" si="186"/>
        <v>0.367461430575035</v>
      </c>
      <c r="CH351" s="13">
        <v>41.7</v>
      </c>
      <c r="CI351">
        <v>22.6</v>
      </c>
      <c r="CJ351">
        <f t="shared" si="187"/>
        <v>19.1</v>
      </c>
      <c r="CK351">
        <v>25.1</v>
      </c>
      <c r="CL351">
        <f t="shared" si="188"/>
        <v>0.760956175298805</v>
      </c>
      <c r="CN351" s="10">
        <v>3.8</v>
      </c>
      <c r="CO351">
        <v>3</v>
      </c>
      <c r="CP351" s="12">
        <f t="shared" si="189"/>
        <v>0.8</v>
      </c>
      <c r="CQ351">
        <v>3.4</v>
      </c>
      <c r="CR351" s="3">
        <f t="shared" si="190"/>
        <v>0.235294117647059</v>
      </c>
    </row>
    <row r="352" spans="2:96">
      <c r="B352" s="1">
        <v>42170</v>
      </c>
      <c r="C352">
        <v>32416</v>
      </c>
      <c r="D352" s="2">
        <f t="shared" si="191"/>
        <v>9754</v>
      </c>
      <c r="E352">
        <v>31904</v>
      </c>
      <c r="F352" s="3">
        <f t="shared" si="160"/>
        <v>0.305729689067202</v>
      </c>
      <c r="H352" s="1">
        <v>38021</v>
      </c>
      <c r="I352">
        <v>31145</v>
      </c>
      <c r="J352" s="2">
        <f t="shared" si="161"/>
        <v>6876</v>
      </c>
      <c r="K352">
        <v>32760</v>
      </c>
      <c r="L352" s="3">
        <f t="shared" si="162"/>
        <v>0.20989010989011</v>
      </c>
      <c r="N352" s="4">
        <v>211.962563532381</v>
      </c>
      <c r="O352">
        <v>201.27</v>
      </c>
      <c r="P352" s="5">
        <f t="shared" si="163"/>
        <v>10.692563532381</v>
      </c>
      <c r="Q352">
        <v>79.69</v>
      </c>
      <c r="R352" s="3">
        <f t="shared" si="164"/>
        <v>0.134176979952077</v>
      </c>
      <c r="T352" s="4">
        <v>164.662582268101</v>
      </c>
      <c r="U352">
        <v>100.23</v>
      </c>
      <c r="V352" s="5">
        <f t="shared" si="165"/>
        <v>64.432582268101</v>
      </c>
      <c r="W352">
        <v>410.93</v>
      </c>
      <c r="X352" s="3">
        <f t="shared" si="166"/>
        <v>0.156796978239849</v>
      </c>
      <c r="Z352" s="4">
        <v>40.2848687341995</v>
      </c>
      <c r="AA352">
        <v>13.25</v>
      </c>
      <c r="AB352" s="5">
        <f t="shared" si="167"/>
        <v>27.0348687341995</v>
      </c>
      <c r="AC352">
        <v>33.93</v>
      </c>
      <c r="AD352" s="3">
        <f t="shared" si="168"/>
        <v>0.796783634960197</v>
      </c>
      <c r="AF352" s="4">
        <v>4.19</v>
      </c>
      <c r="AG352">
        <v>2.09</v>
      </c>
      <c r="AH352" s="5">
        <f t="shared" si="169"/>
        <v>2.1</v>
      </c>
      <c r="AI352">
        <v>3.85</v>
      </c>
      <c r="AJ352" s="3">
        <f t="shared" si="170"/>
        <v>0.545454545454546</v>
      </c>
      <c r="AL352" s="4">
        <v>7.85281465577124</v>
      </c>
      <c r="AM352">
        <v>6.1</v>
      </c>
      <c r="AN352" s="5">
        <f t="shared" si="171"/>
        <v>1.75281465577124</v>
      </c>
      <c r="AO352">
        <v>1.89</v>
      </c>
      <c r="AP352" s="3">
        <f t="shared" si="172"/>
        <v>0.927415161783725</v>
      </c>
      <c r="AR352" s="4">
        <v>0.671145602190297</v>
      </c>
      <c r="AS352">
        <v>0.02</v>
      </c>
      <c r="AT352" s="5">
        <f t="shared" si="173"/>
        <v>0.651145602190297</v>
      </c>
      <c r="AU352">
        <v>2.84</v>
      </c>
      <c r="AV352" s="3">
        <f t="shared" si="174"/>
        <v>0.229276620489541</v>
      </c>
      <c r="AX352" s="4">
        <v>15.5484953809524</v>
      </c>
      <c r="AY352">
        <v>3.44</v>
      </c>
      <c r="AZ352" s="5">
        <f t="shared" si="175"/>
        <v>12.1084953809524</v>
      </c>
      <c r="BA352">
        <v>29.17</v>
      </c>
      <c r="BB352" s="3">
        <f t="shared" si="176"/>
        <v>0.415100972950031</v>
      </c>
      <c r="BD352" s="4">
        <v>0.381809523809524</v>
      </c>
      <c r="BE352">
        <v>0.17</v>
      </c>
      <c r="BF352" s="5">
        <f t="shared" si="177"/>
        <v>0.211809523809524</v>
      </c>
      <c r="BG352">
        <v>4</v>
      </c>
      <c r="BH352" s="3">
        <f t="shared" si="178"/>
        <v>0.052952380952381</v>
      </c>
      <c r="BJ352" s="9">
        <v>8.77809526666666</v>
      </c>
      <c r="BK352">
        <v>4.8</v>
      </c>
      <c r="BL352" s="5">
        <f t="shared" si="179"/>
        <v>3.97809526666666</v>
      </c>
      <c r="BM352">
        <v>8.9</v>
      </c>
      <c r="BN352" s="3">
        <f t="shared" si="180"/>
        <v>0.446976996254681</v>
      </c>
      <c r="BP352" s="9">
        <v>0.220895238095238</v>
      </c>
      <c r="BQ352">
        <v>0.09</v>
      </c>
      <c r="BR352" s="5">
        <f t="shared" si="181"/>
        <v>0.130895238095238</v>
      </c>
      <c r="BS352">
        <v>0.43</v>
      </c>
      <c r="BT352" s="3">
        <f t="shared" si="182"/>
        <v>0.304407530454042</v>
      </c>
      <c r="BV352" s="4">
        <v>6.82906666190476</v>
      </c>
      <c r="BW352">
        <v>6.18</v>
      </c>
      <c r="BX352" s="5">
        <f t="shared" si="183"/>
        <v>0.649066661904761</v>
      </c>
      <c r="BY352">
        <v>1.68</v>
      </c>
      <c r="BZ352" s="3">
        <f t="shared" si="184"/>
        <v>0.386349203514739</v>
      </c>
      <c r="CB352" s="10">
        <v>80.3</v>
      </c>
      <c r="CC352">
        <v>54.3</v>
      </c>
      <c r="CD352" s="12">
        <f t="shared" si="185"/>
        <v>26</v>
      </c>
      <c r="CE352">
        <v>71.3</v>
      </c>
      <c r="CF352" s="3">
        <f t="shared" si="186"/>
        <v>0.364656381486676</v>
      </c>
      <c r="CH352" s="13">
        <v>42.1</v>
      </c>
      <c r="CI352">
        <v>22.6</v>
      </c>
      <c r="CJ352">
        <f t="shared" si="187"/>
        <v>19.5</v>
      </c>
      <c r="CK352">
        <v>25.1</v>
      </c>
      <c r="CL352">
        <f t="shared" si="188"/>
        <v>0.776892430278884</v>
      </c>
      <c r="CN352" s="10">
        <v>3.6</v>
      </c>
      <c r="CO352">
        <v>3</v>
      </c>
      <c r="CP352" s="12">
        <f t="shared" si="189"/>
        <v>0.6</v>
      </c>
      <c r="CQ352">
        <v>3.4</v>
      </c>
      <c r="CR352" s="3">
        <f t="shared" si="190"/>
        <v>0.176470588235294</v>
      </c>
    </row>
    <row r="353" spans="2:96">
      <c r="B353" s="1">
        <v>42210</v>
      </c>
      <c r="C353">
        <v>32416</v>
      </c>
      <c r="D353" s="2">
        <f t="shared" si="191"/>
        <v>9794</v>
      </c>
      <c r="E353">
        <v>31904</v>
      </c>
      <c r="F353" s="3">
        <f t="shared" si="160"/>
        <v>0.306983450351053</v>
      </c>
      <c r="H353" s="1">
        <v>39031</v>
      </c>
      <c r="I353">
        <v>31145</v>
      </c>
      <c r="J353" s="2">
        <f t="shared" si="161"/>
        <v>7886</v>
      </c>
      <c r="K353">
        <v>32760</v>
      </c>
      <c r="L353" s="3">
        <f t="shared" si="162"/>
        <v>0.240720390720391</v>
      </c>
      <c r="N353" s="4">
        <v>204.161330711772</v>
      </c>
      <c r="O353">
        <v>201.27</v>
      </c>
      <c r="P353" s="5">
        <f t="shared" si="163"/>
        <v>2.89133071177199</v>
      </c>
      <c r="Q353">
        <v>79.69</v>
      </c>
      <c r="R353" s="3">
        <f t="shared" si="164"/>
        <v>0.036282227528824</v>
      </c>
      <c r="T353" s="4">
        <v>122.80924506651</v>
      </c>
      <c r="U353">
        <v>100.23</v>
      </c>
      <c r="V353" s="5">
        <f t="shared" si="165"/>
        <v>22.57924506651</v>
      </c>
      <c r="W353">
        <v>410.93</v>
      </c>
      <c r="X353" s="3">
        <f t="shared" si="166"/>
        <v>0.054946694246003</v>
      </c>
      <c r="Z353" s="4">
        <v>28.4777771203013</v>
      </c>
      <c r="AA353">
        <v>13.25</v>
      </c>
      <c r="AB353" s="5">
        <f t="shared" si="167"/>
        <v>15.2277771203013</v>
      </c>
      <c r="AC353">
        <v>33.93</v>
      </c>
      <c r="AD353" s="3">
        <f t="shared" si="168"/>
        <v>0.44879979723847</v>
      </c>
      <c r="AF353" s="4">
        <v>5.18</v>
      </c>
      <c r="AG353">
        <v>2.09</v>
      </c>
      <c r="AH353" s="5">
        <f t="shared" si="169"/>
        <v>3.09</v>
      </c>
      <c r="AI353">
        <v>3.85</v>
      </c>
      <c r="AJ353" s="3">
        <f t="shared" si="170"/>
        <v>0.802597402597403</v>
      </c>
      <c r="AL353" s="4">
        <v>7.7458956898229</v>
      </c>
      <c r="AM353">
        <v>6.1</v>
      </c>
      <c r="AN353" s="5">
        <f t="shared" si="171"/>
        <v>1.6458956898229</v>
      </c>
      <c r="AO353">
        <v>1.89</v>
      </c>
      <c r="AP353" s="3">
        <f t="shared" si="172"/>
        <v>0.870844280329577</v>
      </c>
      <c r="AR353" s="4">
        <v>0.0159019825187843</v>
      </c>
      <c r="AS353">
        <v>0.02</v>
      </c>
      <c r="AT353" s="5">
        <f t="shared" si="173"/>
        <v>-0.0040980174812157</v>
      </c>
      <c r="AU353">
        <v>2.84</v>
      </c>
      <c r="AV353" s="3">
        <f t="shared" si="174"/>
        <v>-0.00144296390183651</v>
      </c>
      <c r="AX353" s="4">
        <v>16.4379430047619</v>
      </c>
      <c r="AY353">
        <v>3.44</v>
      </c>
      <c r="AZ353" s="5">
        <f t="shared" si="175"/>
        <v>12.9979430047619</v>
      </c>
      <c r="BA353">
        <v>29.17</v>
      </c>
      <c r="BB353" s="3">
        <f t="shared" si="176"/>
        <v>0.445592835267806</v>
      </c>
      <c r="BD353" s="4">
        <v>0.450190485714286</v>
      </c>
      <c r="BE353">
        <v>0.17</v>
      </c>
      <c r="BF353" s="5">
        <f t="shared" si="177"/>
        <v>0.280190485714286</v>
      </c>
      <c r="BG353">
        <v>4</v>
      </c>
      <c r="BH353" s="3">
        <f t="shared" si="178"/>
        <v>0.0700476214285715</v>
      </c>
      <c r="BJ353" s="9">
        <v>12.4921904619048</v>
      </c>
      <c r="BK353">
        <v>4.8</v>
      </c>
      <c r="BL353" s="5">
        <f t="shared" si="179"/>
        <v>7.6921904619048</v>
      </c>
      <c r="BM353">
        <v>8.9</v>
      </c>
      <c r="BN353" s="3">
        <f t="shared" si="180"/>
        <v>0.864291063135371</v>
      </c>
      <c r="BP353" s="9">
        <v>0.26307619047619</v>
      </c>
      <c r="BQ353">
        <v>0.09</v>
      </c>
      <c r="BR353" s="5">
        <f t="shared" si="181"/>
        <v>0.17307619047619</v>
      </c>
      <c r="BS353">
        <v>0.43</v>
      </c>
      <c r="BT353" s="3">
        <f t="shared" si="182"/>
        <v>0.402502768549279</v>
      </c>
      <c r="BV353" s="4">
        <v>6.8299333047619</v>
      </c>
      <c r="BW353">
        <v>6.18</v>
      </c>
      <c r="BX353" s="5">
        <f t="shared" si="183"/>
        <v>0.6499333047619</v>
      </c>
      <c r="BY353">
        <v>1.68</v>
      </c>
      <c r="BZ353" s="3">
        <f t="shared" si="184"/>
        <v>0.386865062358274</v>
      </c>
      <c r="CB353" s="10">
        <v>80.4</v>
      </c>
      <c r="CC353">
        <v>54.3</v>
      </c>
      <c r="CD353" s="12">
        <f t="shared" si="185"/>
        <v>26.1</v>
      </c>
      <c r="CE353">
        <v>71.3</v>
      </c>
      <c r="CF353" s="3">
        <f t="shared" si="186"/>
        <v>0.366058906030856</v>
      </c>
      <c r="CH353" s="13">
        <v>39.5</v>
      </c>
      <c r="CI353">
        <v>22.6</v>
      </c>
      <c r="CJ353">
        <f t="shared" si="187"/>
        <v>16.9</v>
      </c>
      <c r="CK353">
        <v>25.1</v>
      </c>
      <c r="CL353">
        <f t="shared" si="188"/>
        <v>0.673306772908366</v>
      </c>
      <c r="CN353" s="10">
        <v>3.4</v>
      </c>
      <c r="CO353">
        <v>3</v>
      </c>
      <c r="CP353" s="12">
        <f t="shared" si="189"/>
        <v>0.4</v>
      </c>
      <c r="CQ353">
        <v>3.4</v>
      </c>
      <c r="CR353" s="3">
        <f t="shared" si="190"/>
        <v>0.117647058823529</v>
      </c>
    </row>
    <row r="354" spans="2:96">
      <c r="B354" s="1">
        <v>43301</v>
      </c>
      <c r="C354">
        <v>32416</v>
      </c>
      <c r="D354" s="2">
        <f t="shared" si="191"/>
        <v>10885</v>
      </c>
      <c r="E354">
        <v>31904</v>
      </c>
      <c r="F354" s="3">
        <f t="shared" si="160"/>
        <v>0.341179789368104</v>
      </c>
      <c r="H354" s="1">
        <v>42748</v>
      </c>
      <c r="I354">
        <v>31145</v>
      </c>
      <c r="J354" s="2">
        <f t="shared" si="161"/>
        <v>11603</v>
      </c>
      <c r="K354">
        <v>32760</v>
      </c>
      <c r="L354" s="3">
        <f t="shared" si="162"/>
        <v>0.354181929181929</v>
      </c>
      <c r="N354" s="4">
        <v>249.216123728702</v>
      </c>
      <c r="O354">
        <v>201.27</v>
      </c>
      <c r="P354" s="5">
        <f t="shared" si="163"/>
        <v>47.946123728702</v>
      </c>
      <c r="Q354">
        <v>79.69</v>
      </c>
      <c r="R354" s="3">
        <f t="shared" si="164"/>
        <v>0.601657971247358</v>
      </c>
      <c r="T354" s="4">
        <v>152.552309718387</v>
      </c>
      <c r="U354">
        <v>100.23</v>
      </c>
      <c r="V354" s="5">
        <f t="shared" si="165"/>
        <v>52.322309718387</v>
      </c>
      <c r="W354">
        <v>410.93</v>
      </c>
      <c r="X354" s="3">
        <f t="shared" si="166"/>
        <v>0.127326575617227</v>
      </c>
      <c r="Z354" s="4">
        <v>34.0578451569471</v>
      </c>
      <c r="AA354">
        <v>13.25</v>
      </c>
      <c r="AB354" s="5">
        <f t="shared" si="167"/>
        <v>20.8078451569471</v>
      </c>
      <c r="AC354">
        <v>33.93</v>
      </c>
      <c r="AD354" s="3">
        <f t="shared" si="168"/>
        <v>0.613258035866404</v>
      </c>
      <c r="AF354" s="4">
        <v>4.08</v>
      </c>
      <c r="AG354">
        <v>2.09</v>
      </c>
      <c r="AH354" s="5">
        <f t="shared" si="169"/>
        <v>1.99</v>
      </c>
      <c r="AI354">
        <v>3.85</v>
      </c>
      <c r="AJ354" s="3">
        <f t="shared" si="170"/>
        <v>0.516883116883117</v>
      </c>
      <c r="AL354" s="4">
        <v>7.49585157606999</v>
      </c>
      <c r="AM354">
        <v>6.1</v>
      </c>
      <c r="AN354" s="5">
        <f t="shared" si="171"/>
        <v>1.39585157606999</v>
      </c>
      <c r="AO354">
        <v>1.89</v>
      </c>
      <c r="AP354" s="3">
        <f t="shared" si="172"/>
        <v>0.738545807444439</v>
      </c>
      <c r="AR354" s="4">
        <v>0.422775909425055</v>
      </c>
      <c r="AS354">
        <v>0.02</v>
      </c>
      <c r="AT354" s="5">
        <f t="shared" si="173"/>
        <v>0.402775909425055</v>
      </c>
      <c r="AU354">
        <v>2.84</v>
      </c>
      <c r="AV354" s="3">
        <f t="shared" si="174"/>
        <v>0.141822503318681</v>
      </c>
      <c r="AX354" s="4">
        <v>13.6933333571429</v>
      </c>
      <c r="AY354">
        <v>3.44</v>
      </c>
      <c r="AZ354" s="5">
        <f t="shared" si="175"/>
        <v>10.2533333571429</v>
      </c>
      <c r="BA354">
        <v>29.17</v>
      </c>
      <c r="BB354" s="3">
        <f t="shared" si="176"/>
        <v>0.351502686223617</v>
      </c>
      <c r="BD354" s="4">
        <v>0.31247619047619</v>
      </c>
      <c r="BE354">
        <v>0.17</v>
      </c>
      <c r="BF354" s="5">
        <f t="shared" si="177"/>
        <v>0.14247619047619</v>
      </c>
      <c r="BG354">
        <v>4</v>
      </c>
      <c r="BH354" s="3">
        <f t="shared" si="178"/>
        <v>0.0356190476190475</v>
      </c>
      <c r="BJ354" s="9">
        <v>12.1520952571429</v>
      </c>
      <c r="BK354">
        <v>4.8</v>
      </c>
      <c r="BL354" s="5">
        <f t="shared" si="179"/>
        <v>7.3520952571429</v>
      </c>
      <c r="BM354">
        <v>8.9</v>
      </c>
      <c r="BN354" s="3">
        <f t="shared" si="180"/>
        <v>0.826078118780101</v>
      </c>
      <c r="BP354" s="9">
        <v>0.243809523809524</v>
      </c>
      <c r="BQ354">
        <v>0.09</v>
      </c>
      <c r="BR354" s="5">
        <f t="shared" si="181"/>
        <v>0.153809523809524</v>
      </c>
      <c r="BS354">
        <v>0.43</v>
      </c>
      <c r="BT354" s="3">
        <f t="shared" si="182"/>
        <v>0.357696566998893</v>
      </c>
      <c r="BV354" s="4">
        <v>6.87733337142857</v>
      </c>
      <c r="BW354">
        <v>6.18</v>
      </c>
      <c r="BX354" s="5">
        <f t="shared" si="183"/>
        <v>0.69733337142857</v>
      </c>
      <c r="BY354">
        <v>1.68</v>
      </c>
      <c r="BZ354" s="3">
        <f t="shared" si="184"/>
        <v>0.415079387755101</v>
      </c>
      <c r="CB354" s="10">
        <v>79.1</v>
      </c>
      <c r="CC354">
        <v>54.3</v>
      </c>
      <c r="CD354" s="12">
        <f t="shared" si="185"/>
        <v>24.8</v>
      </c>
      <c r="CE354">
        <v>71.3</v>
      </c>
      <c r="CF354" s="3">
        <f t="shared" si="186"/>
        <v>0.347826086956522</v>
      </c>
      <c r="CH354" s="13">
        <v>37.2</v>
      </c>
      <c r="CI354">
        <v>22.6</v>
      </c>
      <c r="CJ354">
        <f t="shared" si="187"/>
        <v>14.6</v>
      </c>
      <c r="CK354">
        <v>25.1</v>
      </c>
      <c r="CL354">
        <f t="shared" si="188"/>
        <v>0.581673306772908</v>
      </c>
      <c r="CN354" s="11">
        <v>3.1</v>
      </c>
      <c r="CO354">
        <v>3</v>
      </c>
      <c r="CP354" s="12">
        <f t="shared" si="189"/>
        <v>0.1</v>
      </c>
      <c r="CQ354">
        <v>3.4</v>
      </c>
      <c r="CR354" s="3">
        <f t="shared" si="190"/>
        <v>0.0294117647058824</v>
      </c>
    </row>
    <row r="355" spans="2:96">
      <c r="B355" s="1">
        <v>41291</v>
      </c>
      <c r="C355">
        <v>32416</v>
      </c>
      <c r="D355" s="2">
        <f t="shared" si="191"/>
        <v>8875</v>
      </c>
      <c r="E355">
        <v>31904</v>
      </c>
      <c r="F355" s="3">
        <f t="shared" si="160"/>
        <v>0.278178284854564</v>
      </c>
      <c r="H355" s="1">
        <v>45396</v>
      </c>
      <c r="I355">
        <v>31145</v>
      </c>
      <c r="J355" s="2">
        <f t="shared" si="161"/>
        <v>14251</v>
      </c>
      <c r="K355">
        <v>32760</v>
      </c>
      <c r="L355" s="3">
        <f t="shared" si="162"/>
        <v>0.43501221001221</v>
      </c>
      <c r="N355" s="4">
        <v>246.090929951095</v>
      </c>
      <c r="O355">
        <v>201.27</v>
      </c>
      <c r="P355" s="5">
        <f t="shared" si="163"/>
        <v>44.820929951095</v>
      </c>
      <c r="Q355">
        <v>79.69</v>
      </c>
      <c r="R355" s="3">
        <f t="shared" si="164"/>
        <v>0.562441083587589</v>
      </c>
      <c r="T355" s="4">
        <v>129.761251865429</v>
      </c>
      <c r="U355">
        <v>100.23</v>
      </c>
      <c r="V355" s="5">
        <f t="shared" si="165"/>
        <v>29.531251865429</v>
      </c>
      <c r="W355">
        <v>410.93</v>
      </c>
      <c r="X355" s="3">
        <f t="shared" si="166"/>
        <v>0.0718644340044022</v>
      </c>
      <c r="Z355" s="4">
        <v>42.2811446210365</v>
      </c>
      <c r="AA355">
        <v>13.25</v>
      </c>
      <c r="AB355" s="5">
        <f t="shared" si="167"/>
        <v>29.0311446210365</v>
      </c>
      <c r="AC355">
        <v>33.93</v>
      </c>
      <c r="AD355" s="3">
        <f t="shared" si="168"/>
        <v>0.85561876277738</v>
      </c>
      <c r="AF355" s="4">
        <v>4.33</v>
      </c>
      <c r="AG355">
        <v>2.09</v>
      </c>
      <c r="AH355" s="5">
        <f t="shared" si="169"/>
        <v>2.24</v>
      </c>
      <c r="AI355">
        <v>3.85</v>
      </c>
      <c r="AJ355" s="3">
        <f t="shared" si="170"/>
        <v>0.581818181818182</v>
      </c>
      <c r="AL355" s="4">
        <v>7.04472705399323</v>
      </c>
      <c r="AM355">
        <v>6.1</v>
      </c>
      <c r="AN355" s="5">
        <f t="shared" si="171"/>
        <v>0.944727053993231</v>
      </c>
      <c r="AO355">
        <v>1.89</v>
      </c>
      <c r="AP355" s="3">
        <f t="shared" si="172"/>
        <v>0.499855584123402</v>
      </c>
      <c r="AR355" s="4">
        <v>1.02327476300472</v>
      </c>
      <c r="AS355">
        <v>0.02</v>
      </c>
      <c r="AT355" s="5">
        <f t="shared" si="173"/>
        <v>1.00327476300472</v>
      </c>
      <c r="AU355">
        <v>2.84</v>
      </c>
      <c r="AV355" s="3">
        <f t="shared" si="174"/>
        <v>0.35326576162138</v>
      </c>
      <c r="AX355" s="4">
        <v>13.3941054</v>
      </c>
      <c r="AY355">
        <v>3.44</v>
      </c>
      <c r="AZ355" s="5">
        <f t="shared" si="175"/>
        <v>9.9541054</v>
      </c>
      <c r="BA355">
        <v>29.17</v>
      </c>
      <c r="BB355" s="3">
        <f t="shared" si="176"/>
        <v>0.341244614329791</v>
      </c>
      <c r="BD355" s="4">
        <v>0.304631578947368</v>
      </c>
      <c r="BE355">
        <v>0.17</v>
      </c>
      <c r="BF355" s="5">
        <f t="shared" si="177"/>
        <v>0.134631578947368</v>
      </c>
      <c r="BG355">
        <v>4</v>
      </c>
      <c r="BH355" s="3">
        <f t="shared" si="178"/>
        <v>0.033657894736842</v>
      </c>
      <c r="BJ355" s="9">
        <v>10.2670526</v>
      </c>
      <c r="BK355">
        <v>4.8</v>
      </c>
      <c r="BL355" s="5">
        <f t="shared" si="179"/>
        <v>5.4670526</v>
      </c>
      <c r="BM355">
        <v>8.9</v>
      </c>
      <c r="BN355" s="3">
        <f t="shared" si="180"/>
        <v>0.614275573033708</v>
      </c>
      <c r="BP355" s="9">
        <v>0.229336842105263</v>
      </c>
      <c r="BQ355">
        <v>0.09</v>
      </c>
      <c r="BR355" s="5">
        <f t="shared" si="181"/>
        <v>0.139336842105263</v>
      </c>
      <c r="BS355">
        <v>0.43</v>
      </c>
      <c r="BT355" s="3">
        <f t="shared" si="182"/>
        <v>0.324039167686658</v>
      </c>
      <c r="BV355" s="4">
        <v>6.88461053684211</v>
      </c>
      <c r="BW355">
        <v>6.18</v>
      </c>
      <c r="BX355" s="5">
        <f t="shared" si="183"/>
        <v>0.70461053684211</v>
      </c>
      <c r="BY355">
        <v>1.68</v>
      </c>
      <c r="BZ355" s="3">
        <f t="shared" si="184"/>
        <v>0.419411033834589</v>
      </c>
      <c r="CB355" s="10">
        <v>79.4</v>
      </c>
      <c r="CC355">
        <v>54.3</v>
      </c>
      <c r="CD355" s="12">
        <f t="shared" si="185"/>
        <v>25.1</v>
      </c>
      <c r="CE355">
        <v>71.3</v>
      </c>
      <c r="CF355" s="3">
        <f t="shared" si="186"/>
        <v>0.35203366058906</v>
      </c>
      <c r="CH355" s="13">
        <v>36.6</v>
      </c>
      <c r="CI355">
        <v>22.6</v>
      </c>
      <c r="CJ355">
        <f t="shared" si="187"/>
        <v>14</v>
      </c>
      <c r="CK355">
        <v>25.1</v>
      </c>
      <c r="CL355">
        <f t="shared" si="188"/>
        <v>0.557768924302789</v>
      </c>
      <c r="CN355" s="10">
        <v>3.7</v>
      </c>
      <c r="CO355">
        <v>3</v>
      </c>
      <c r="CP355" s="12">
        <f t="shared" si="189"/>
        <v>0.7</v>
      </c>
      <c r="CQ355">
        <v>3.4</v>
      </c>
      <c r="CR355" s="3">
        <f t="shared" si="190"/>
        <v>0.205882352941177</v>
      </c>
    </row>
    <row r="356" spans="2:96">
      <c r="B356" s="1">
        <v>42678</v>
      </c>
      <c r="C356">
        <v>32416</v>
      </c>
      <c r="D356" s="2">
        <f t="shared" si="191"/>
        <v>10262</v>
      </c>
      <c r="E356">
        <v>31904</v>
      </c>
      <c r="F356" s="3">
        <f t="shared" si="160"/>
        <v>0.321652457372116</v>
      </c>
      <c r="H356" s="1">
        <v>41279</v>
      </c>
      <c r="I356">
        <v>31145</v>
      </c>
      <c r="J356" s="2">
        <f t="shared" si="161"/>
        <v>10134</v>
      </c>
      <c r="K356">
        <v>32760</v>
      </c>
      <c r="L356" s="3">
        <f t="shared" si="162"/>
        <v>0.309340659340659</v>
      </c>
      <c r="N356" s="4">
        <v>247.050067606703</v>
      </c>
      <c r="O356">
        <v>201.27</v>
      </c>
      <c r="P356" s="5">
        <f t="shared" si="163"/>
        <v>45.780067606703</v>
      </c>
      <c r="Q356">
        <v>79.69</v>
      </c>
      <c r="R356" s="3">
        <f t="shared" si="164"/>
        <v>0.574476943238838</v>
      </c>
      <c r="T356" s="4">
        <v>112.644250738306</v>
      </c>
      <c r="U356">
        <v>100.23</v>
      </c>
      <c r="V356" s="5">
        <f t="shared" si="165"/>
        <v>12.414250738306</v>
      </c>
      <c r="W356">
        <v>410.93</v>
      </c>
      <c r="X356" s="3">
        <f t="shared" si="166"/>
        <v>0.0302101349093665</v>
      </c>
      <c r="Z356" s="4">
        <v>38.4907131392547</v>
      </c>
      <c r="AA356">
        <v>13.25</v>
      </c>
      <c r="AB356" s="5">
        <f t="shared" si="167"/>
        <v>25.2407131392547</v>
      </c>
      <c r="AC356">
        <v>33.93</v>
      </c>
      <c r="AD356" s="3">
        <f t="shared" si="168"/>
        <v>0.743905485978624</v>
      </c>
      <c r="AF356" s="4">
        <v>3.75</v>
      </c>
      <c r="AG356">
        <v>2.09</v>
      </c>
      <c r="AH356" s="5">
        <f t="shared" si="169"/>
        <v>1.66</v>
      </c>
      <c r="AI356">
        <v>3.85</v>
      </c>
      <c r="AJ356" s="3">
        <f t="shared" si="170"/>
        <v>0.431168831168831</v>
      </c>
      <c r="AL356" s="4">
        <v>7.24413871861196</v>
      </c>
      <c r="AM356">
        <v>6.1</v>
      </c>
      <c r="AN356" s="5">
        <f t="shared" si="171"/>
        <v>1.14413871861196</v>
      </c>
      <c r="AO356">
        <v>1.89</v>
      </c>
      <c r="AP356" s="3">
        <f t="shared" si="172"/>
        <v>0.605364401381989</v>
      </c>
      <c r="AR356" s="4">
        <v>0.633348182198375</v>
      </c>
      <c r="AS356">
        <v>0.02</v>
      </c>
      <c r="AT356" s="5">
        <f t="shared" si="173"/>
        <v>0.613348182198375</v>
      </c>
      <c r="AU356">
        <v>2.84</v>
      </c>
      <c r="AV356" s="3">
        <f t="shared" si="174"/>
        <v>0.21596766978816</v>
      </c>
      <c r="AX356" s="4">
        <v>12.265760185</v>
      </c>
      <c r="AY356">
        <v>3.44</v>
      </c>
      <c r="AZ356" s="5">
        <f t="shared" si="175"/>
        <v>8.825760185</v>
      </c>
      <c r="BA356">
        <v>29.17</v>
      </c>
      <c r="BB356" s="3">
        <f t="shared" si="176"/>
        <v>0.302562913438464</v>
      </c>
      <c r="BD356" s="4">
        <v>0.4258</v>
      </c>
      <c r="BE356">
        <v>0.17</v>
      </c>
      <c r="BF356" s="5">
        <f t="shared" si="177"/>
        <v>0.2558</v>
      </c>
      <c r="BG356">
        <v>4</v>
      </c>
      <c r="BH356" s="3">
        <f t="shared" si="178"/>
        <v>0.06395</v>
      </c>
      <c r="BJ356" s="9">
        <v>10.84350005</v>
      </c>
      <c r="BK356">
        <v>4.8</v>
      </c>
      <c r="BL356" s="5">
        <f t="shared" si="179"/>
        <v>6.04350005</v>
      </c>
      <c r="BM356">
        <v>8.9</v>
      </c>
      <c r="BN356" s="3">
        <f t="shared" si="180"/>
        <v>0.679044949438202</v>
      </c>
      <c r="BP356" s="9">
        <v>0.23292</v>
      </c>
      <c r="BQ356">
        <v>0.09</v>
      </c>
      <c r="BR356" s="5">
        <f t="shared" si="181"/>
        <v>0.14292</v>
      </c>
      <c r="BS356">
        <v>0.43</v>
      </c>
      <c r="BT356" s="3">
        <f t="shared" si="182"/>
        <v>0.332372093023256</v>
      </c>
      <c r="BV356" s="4">
        <v>6.930279995</v>
      </c>
      <c r="BW356">
        <v>6.18</v>
      </c>
      <c r="BX356" s="5">
        <f t="shared" si="183"/>
        <v>0.750279995000001</v>
      </c>
      <c r="BY356">
        <v>1.68</v>
      </c>
      <c r="BZ356" s="3">
        <f t="shared" si="184"/>
        <v>0.446595235119048</v>
      </c>
      <c r="CB356" s="10">
        <v>77.2</v>
      </c>
      <c r="CC356">
        <v>54.3</v>
      </c>
      <c r="CD356" s="12">
        <f t="shared" si="185"/>
        <v>22.9</v>
      </c>
      <c r="CE356">
        <v>71.3</v>
      </c>
      <c r="CF356" s="3">
        <f t="shared" si="186"/>
        <v>0.321178120617111</v>
      </c>
      <c r="CH356" s="13">
        <v>34.3</v>
      </c>
      <c r="CI356">
        <v>22.6</v>
      </c>
      <c r="CJ356">
        <f t="shared" si="187"/>
        <v>11.7</v>
      </c>
      <c r="CK356">
        <v>25.1</v>
      </c>
      <c r="CL356">
        <f t="shared" si="188"/>
        <v>0.46613545816733</v>
      </c>
      <c r="CN356" s="10">
        <v>3.5</v>
      </c>
      <c r="CO356">
        <v>3</v>
      </c>
      <c r="CP356" s="12">
        <f t="shared" si="189"/>
        <v>0.5</v>
      </c>
      <c r="CQ356">
        <v>3.4</v>
      </c>
      <c r="CR356" s="3">
        <f t="shared" si="190"/>
        <v>0.147058823529412</v>
      </c>
    </row>
    <row r="357" spans="2:96">
      <c r="B357" s="1">
        <v>43570</v>
      </c>
      <c r="C357">
        <v>32416</v>
      </c>
      <c r="D357" s="2">
        <f t="shared" si="191"/>
        <v>11154</v>
      </c>
      <c r="E357">
        <v>31904</v>
      </c>
      <c r="F357" s="3">
        <f t="shared" si="160"/>
        <v>0.349611334002006</v>
      </c>
      <c r="H357" s="1">
        <v>44077</v>
      </c>
      <c r="I357">
        <v>31145</v>
      </c>
      <c r="J357" s="2">
        <f t="shared" si="161"/>
        <v>12932</v>
      </c>
      <c r="K357">
        <v>32760</v>
      </c>
      <c r="L357" s="3">
        <f t="shared" si="162"/>
        <v>0.394749694749695</v>
      </c>
      <c r="N357" s="4">
        <v>242.425804899878</v>
      </c>
      <c r="O357">
        <v>201.27</v>
      </c>
      <c r="P357" s="5">
        <f t="shared" si="163"/>
        <v>41.155804899878</v>
      </c>
      <c r="Q357">
        <v>79.69</v>
      </c>
      <c r="R357" s="3">
        <f t="shared" si="164"/>
        <v>0.51644880034983</v>
      </c>
      <c r="T357" s="4">
        <v>134.300924652735</v>
      </c>
      <c r="U357">
        <v>100.23</v>
      </c>
      <c r="V357" s="5">
        <f t="shared" si="165"/>
        <v>34.070924652735</v>
      </c>
      <c r="W357">
        <v>410.93</v>
      </c>
      <c r="X357" s="3">
        <f t="shared" si="166"/>
        <v>0.0829117481146059</v>
      </c>
      <c r="Z357" s="4">
        <v>32.5800518575672</v>
      </c>
      <c r="AA357">
        <v>13.25</v>
      </c>
      <c r="AB357" s="5">
        <f t="shared" si="167"/>
        <v>19.3300518575672</v>
      </c>
      <c r="AC357">
        <v>33.93</v>
      </c>
      <c r="AD357" s="3">
        <f t="shared" si="168"/>
        <v>0.569703856692225</v>
      </c>
      <c r="AF357" s="4">
        <v>4.14</v>
      </c>
      <c r="AG357">
        <v>2.09</v>
      </c>
      <c r="AH357" s="5">
        <f t="shared" si="169"/>
        <v>2.05</v>
      </c>
      <c r="AI357">
        <v>3.85</v>
      </c>
      <c r="AJ357" s="3">
        <f t="shared" si="170"/>
        <v>0.532467532467532</v>
      </c>
      <c r="AL357" s="4">
        <v>7.60574627719281</v>
      </c>
      <c r="AM357">
        <v>6.1</v>
      </c>
      <c r="AN357" s="5">
        <f t="shared" si="171"/>
        <v>1.50574627719281</v>
      </c>
      <c r="AO357">
        <v>1.89</v>
      </c>
      <c r="AP357" s="3">
        <f t="shared" si="172"/>
        <v>0.796691151953868</v>
      </c>
      <c r="AR357" s="4">
        <v>1.91822623669596</v>
      </c>
      <c r="AS357">
        <v>0.02</v>
      </c>
      <c r="AT357" s="5">
        <f t="shared" si="173"/>
        <v>1.89822623669596</v>
      </c>
      <c r="AU357">
        <v>2.84</v>
      </c>
      <c r="AV357" s="3">
        <f t="shared" si="174"/>
        <v>0.668389519963366</v>
      </c>
      <c r="AX357" s="4">
        <v>17.3879619047619</v>
      </c>
      <c r="AY357">
        <v>3.44</v>
      </c>
      <c r="AZ357" s="5">
        <f t="shared" si="175"/>
        <v>13.9479619047619</v>
      </c>
      <c r="BA357">
        <v>29.17</v>
      </c>
      <c r="BB357" s="3">
        <f t="shared" si="176"/>
        <v>0.47816118974158</v>
      </c>
      <c r="BD357" s="4">
        <v>0.669047619047619</v>
      </c>
      <c r="BE357">
        <v>0.17</v>
      </c>
      <c r="BF357" s="5">
        <f t="shared" si="177"/>
        <v>0.499047619047619</v>
      </c>
      <c r="BG357">
        <v>4</v>
      </c>
      <c r="BH357" s="3">
        <f t="shared" si="178"/>
        <v>0.124761904761905</v>
      </c>
      <c r="BJ357" s="9">
        <v>13.3976190238095</v>
      </c>
      <c r="BK357">
        <v>4.8</v>
      </c>
      <c r="BL357" s="5">
        <f t="shared" si="179"/>
        <v>8.5976190238095</v>
      </c>
      <c r="BM357">
        <v>8.9</v>
      </c>
      <c r="BN357" s="3">
        <f t="shared" si="180"/>
        <v>0.966024609416798</v>
      </c>
      <c r="BP357" s="9">
        <v>0.258047619047619</v>
      </c>
      <c r="BQ357">
        <v>0.09</v>
      </c>
      <c r="BR357" s="5">
        <f t="shared" si="181"/>
        <v>0.168047619047619</v>
      </c>
      <c r="BS357">
        <v>0.43</v>
      </c>
      <c r="BT357" s="3">
        <f t="shared" si="182"/>
        <v>0.390808416389812</v>
      </c>
      <c r="BV357" s="4">
        <v>6.87299999523809</v>
      </c>
      <c r="BW357">
        <v>6.18</v>
      </c>
      <c r="BX357" s="5">
        <f t="shared" si="183"/>
        <v>0.692999995238091</v>
      </c>
      <c r="BY357">
        <v>1.68</v>
      </c>
      <c r="BZ357" s="3">
        <f t="shared" si="184"/>
        <v>0.41249999716553</v>
      </c>
      <c r="CB357" s="10">
        <v>76.1</v>
      </c>
      <c r="CC357">
        <v>54.3</v>
      </c>
      <c r="CD357" s="12">
        <f t="shared" si="185"/>
        <v>21.8</v>
      </c>
      <c r="CE357">
        <v>71.3</v>
      </c>
      <c r="CF357" s="3">
        <f t="shared" si="186"/>
        <v>0.305750350631136</v>
      </c>
      <c r="CH357" s="13">
        <v>35.4</v>
      </c>
      <c r="CI357">
        <v>22.6</v>
      </c>
      <c r="CJ357">
        <f t="shared" si="187"/>
        <v>12.8</v>
      </c>
      <c r="CK357">
        <v>25.1</v>
      </c>
      <c r="CL357">
        <f t="shared" si="188"/>
        <v>0.50996015936255</v>
      </c>
      <c r="CN357" s="10">
        <v>3.2</v>
      </c>
      <c r="CO357">
        <v>3</v>
      </c>
      <c r="CP357" s="12">
        <f t="shared" si="189"/>
        <v>0.2</v>
      </c>
      <c r="CQ357">
        <v>3.4</v>
      </c>
      <c r="CR357" s="3">
        <f t="shared" si="190"/>
        <v>0.0588235294117648</v>
      </c>
    </row>
    <row r="358" spans="2:96">
      <c r="B358" s="1">
        <v>47033</v>
      </c>
      <c r="C358">
        <v>32416</v>
      </c>
      <c r="D358" s="2">
        <f t="shared" si="191"/>
        <v>14617</v>
      </c>
      <c r="E358">
        <v>31904</v>
      </c>
      <c r="F358" s="3">
        <f t="shared" si="160"/>
        <v>0.458155717151454</v>
      </c>
      <c r="H358" s="1">
        <v>48233</v>
      </c>
      <c r="I358">
        <v>31145</v>
      </c>
      <c r="J358" s="2">
        <f t="shared" si="161"/>
        <v>17088</v>
      </c>
      <c r="K358">
        <v>32760</v>
      </c>
      <c r="L358" s="3">
        <f t="shared" si="162"/>
        <v>0.521611721611722</v>
      </c>
      <c r="N358" s="4">
        <v>208.206884863884</v>
      </c>
      <c r="O358">
        <v>201.27</v>
      </c>
      <c r="P358" s="5">
        <f t="shared" si="163"/>
        <v>6.93688486388399</v>
      </c>
      <c r="Q358">
        <v>79.69</v>
      </c>
      <c r="R358" s="3">
        <f t="shared" si="164"/>
        <v>0.0870483732448738</v>
      </c>
      <c r="T358" s="4">
        <v>104.982108295534</v>
      </c>
      <c r="U358">
        <v>100.23</v>
      </c>
      <c r="V358" s="5">
        <f t="shared" si="165"/>
        <v>4.752108295534</v>
      </c>
      <c r="W358">
        <v>410.93</v>
      </c>
      <c r="X358" s="3">
        <f t="shared" si="166"/>
        <v>0.0115642768732728</v>
      </c>
      <c r="Z358" s="4">
        <v>38.515720971687</v>
      </c>
      <c r="AA358">
        <v>13.25</v>
      </c>
      <c r="AB358" s="5">
        <f t="shared" si="167"/>
        <v>25.265720971687</v>
      </c>
      <c r="AC358">
        <v>33.93</v>
      </c>
      <c r="AD358" s="3">
        <f t="shared" si="168"/>
        <v>0.744642527901179</v>
      </c>
      <c r="AF358" s="4">
        <v>4.38</v>
      </c>
      <c r="AG358">
        <v>2.09</v>
      </c>
      <c r="AH358" s="5">
        <f t="shared" si="169"/>
        <v>2.29</v>
      </c>
      <c r="AI358">
        <v>3.85</v>
      </c>
      <c r="AJ358" s="3">
        <f t="shared" si="170"/>
        <v>0.594805194805195</v>
      </c>
      <c r="AL358" s="4">
        <v>7.51812475005271</v>
      </c>
      <c r="AM358">
        <v>6.1</v>
      </c>
      <c r="AN358" s="5">
        <f t="shared" si="171"/>
        <v>1.41812475005271</v>
      </c>
      <c r="AO358">
        <v>1.89</v>
      </c>
      <c r="AP358" s="3">
        <f t="shared" si="172"/>
        <v>0.750330555583445</v>
      </c>
      <c r="AR358" s="4">
        <v>1.40277888754186</v>
      </c>
      <c r="AS358">
        <v>0.02</v>
      </c>
      <c r="AT358" s="5">
        <f t="shared" si="173"/>
        <v>1.38277888754186</v>
      </c>
      <c r="AU358">
        <v>2.84</v>
      </c>
      <c r="AV358" s="3">
        <f t="shared" si="174"/>
        <v>0.48689397448657</v>
      </c>
      <c r="AX358" s="4">
        <v>12.98959994</v>
      </c>
      <c r="AY358">
        <v>3.44</v>
      </c>
      <c r="AZ358" s="5">
        <f t="shared" si="175"/>
        <v>9.54959994</v>
      </c>
      <c r="BA358">
        <v>29.17</v>
      </c>
      <c r="BB358" s="3">
        <f t="shared" si="176"/>
        <v>0.327377440521083</v>
      </c>
      <c r="BD358" s="4">
        <v>1.046200005</v>
      </c>
      <c r="BE358">
        <v>0.17</v>
      </c>
      <c r="BF358" s="5">
        <f t="shared" si="177"/>
        <v>0.876200005</v>
      </c>
      <c r="BG358">
        <v>4</v>
      </c>
      <c r="BH358" s="3">
        <f t="shared" si="178"/>
        <v>0.21905000125</v>
      </c>
      <c r="BJ358" s="9">
        <v>12.604300115</v>
      </c>
      <c r="BK358">
        <v>4.8</v>
      </c>
      <c r="BL358" s="5">
        <f t="shared" si="179"/>
        <v>7.804300115</v>
      </c>
      <c r="BM358">
        <v>8.9</v>
      </c>
      <c r="BN358" s="3">
        <f t="shared" si="180"/>
        <v>0.876887653370786</v>
      </c>
      <c r="BP358" s="9">
        <v>0.24235</v>
      </c>
      <c r="BQ358">
        <v>0.09</v>
      </c>
      <c r="BR358" s="5">
        <f t="shared" si="181"/>
        <v>0.15235</v>
      </c>
      <c r="BS358">
        <v>0.43</v>
      </c>
      <c r="BT358" s="3">
        <f t="shared" si="182"/>
        <v>0.354302325581395</v>
      </c>
      <c r="BV358" s="4">
        <v>6.87036005</v>
      </c>
      <c r="BW358">
        <v>6.18</v>
      </c>
      <c r="BX358" s="5">
        <f t="shared" si="183"/>
        <v>0.690360050000001</v>
      </c>
      <c r="BY358">
        <v>1.68</v>
      </c>
      <c r="BZ358" s="3">
        <f t="shared" si="184"/>
        <v>0.410928601190477</v>
      </c>
      <c r="CB358" s="10">
        <v>77.7</v>
      </c>
      <c r="CC358">
        <v>54.3</v>
      </c>
      <c r="CD358" s="12">
        <f t="shared" si="185"/>
        <v>23.4</v>
      </c>
      <c r="CE358">
        <v>71.3</v>
      </c>
      <c r="CF358" s="3">
        <f t="shared" si="186"/>
        <v>0.328190743338009</v>
      </c>
      <c r="CH358" s="13">
        <v>34.2</v>
      </c>
      <c r="CI358">
        <v>22.6</v>
      </c>
      <c r="CJ358">
        <f t="shared" si="187"/>
        <v>11.6</v>
      </c>
      <c r="CK358">
        <v>25.1</v>
      </c>
      <c r="CL358">
        <f t="shared" si="188"/>
        <v>0.462151394422311</v>
      </c>
      <c r="CN358" s="10">
        <v>3.3</v>
      </c>
      <c r="CO358">
        <v>3</v>
      </c>
      <c r="CP358" s="12">
        <f t="shared" si="189"/>
        <v>0.3</v>
      </c>
      <c r="CQ358">
        <v>3.4</v>
      </c>
      <c r="CR358" s="3">
        <f t="shared" si="190"/>
        <v>0.088235294117647</v>
      </c>
    </row>
    <row r="359" spans="2:96">
      <c r="B359" s="1">
        <v>42574</v>
      </c>
      <c r="C359">
        <v>32416</v>
      </c>
      <c r="D359" s="2">
        <f t="shared" si="191"/>
        <v>10158</v>
      </c>
      <c r="E359">
        <v>31904</v>
      </c>
      <c r="F359" s="3">
        <f t="shared" si="160"/>
        <v>0.318392678034102</v>
      </c>
      <c r="H359" s="1">
        <v>41387</v>
      </c>
      <c r="I359">
        <v>31145</v>
      </c>
      <c r="J359" s="2">
        <f t="shared" si="161"/>
        <v>10242</v>
      </c>
      <c r="K359">
        <v>32760</v>
      </c>
      <c r="L359" s="3">
        <f t="shared" si="162"/>
        <v>0.312637362637363</v>
      </c>
      <c r="N359" s="4">
        <v>216.796084218057</v>
      </c>
      <c r="O359">
        <v>201.27</v>
      </c>
      <c r="P359" s="5">
        <f t="shared" si="163"/>
        <v>15.526084218057</v>
      </c>
      <c r="Q359">
        <v>79.69</v>
      </c>
      <c r="R359" s="3">
        <f t="shared" si="164"/>
        <v>0.194831022939603</v>
      </c>
      <c r="T359" s="4">
        <v>118.769816242421</v>
      </c>
      <c r="U359">
        <v>100.23</v>
      </c>
      <c r="V359" s="5">
        <f t="shared" si="165"/>
        <v>18.539816242421</v>
      </c>
      <c r="W359">
        <v>410.93</v>
      </c>
      <c r="X359" s="3">
        <f t="shared" si="166"/>
        <v>0.0451167260662911</v>
      </c>
      <c r="Z359" s="4">
        <v>29.1786202312803</v>
      </c>
      <c r="AA359">
        <v>13.25</v>
      </c>
      <c r="AB359" s="5">
        <f t="shared" si="167"/>
        <v>15.9286202312803</v>
      </c>
      <c r="AC359">
        <v>33.93</v>
      </c>
      <c r="AD359" s="3">
        <f t="shared" si="168"/>
        <v>0.469455356064848</v>
      </c>
      <c r="AF359" s="4">
        <v>4.75</v>
      </c>
      <c r="AG359">
        <v>2.09</v>
      </c>
      <c r="AH359" s="5">
        <f t="shared" si="169"/>
        <v>2.66</v>
      </c>
      <c r="AI359">
        <v>3.85</v>
      </c>
      <c r="AJ359" s="3">
        <f t="shared" si="170"/>
        <v>0.690909090909091</v>
      </c>
      <c r="AL359" s="4">
        <v>7.20012403165444</v>
      </c>
      <c r="AM359">
        <v>6.1</v>
      </c>
      <c r="AN359" s="5">
        <f t="shared" si="171"/>
        <v>1.10012403165444</v>
      </c>
      <c r="AO359">
        <v>1.89</v>
      </c>
      <c r="AP359" s="3">
        <f t="shared" si="172"/>
        <v>0.582076207224572</v>
      </c>
      <c r="AR359" s="4">
        <v>0.0509498329479021</v>
      </c>
      <c r="AS359">
        <v>0.02</v>
      </c>
      <c r="AT359" s="5">
        <f t="shared" si="173"/>
        <v>0.0309498329479021</v>
      </c>
      <c r="AU359">
        <v>2.84</v>
      </c>
      <c r="AV359" s="3">
        <f t="shared" si="174"/>
        <v>0.0108978285027824</v>
      </c>
      <c r="AX359" s="4">
        <v>11.3152001</v>
      </c>
      <c r="AY359">
        <v>3.44</v>
      </c>
      <c r="AZ359" s="5">
        <f t="shared" si="175"/>
        <v>7.8752001</v>
      </c>
      <c r="BA359">
        <v>29.17</v>
      </c>
      <c r="BB359" s="3">
        <f t="shared" si="176"/>
        <v>0.269976006170723</v>
      </c>
      <c r="BD359" s="4">
        <v>0.795714290476191</v>
      </c>
      <c r="BE359">
        <v>0.17</v>
      </c>
      <c r="BF359" s="5">
        <f t="shared" si="177"/>
        <v>0.625714290476191</v>
      </c>
      <c r="BG359">
        <v>4</v>
      </c>
      <c r="BH359" s="3">
        <f t="shared" si="178"/>
        <v>0.156428572619048</v>
      </c>
      <c r="BJ359" s="9">
        <v>12.5341905047619</v>
      </c>
      <c r="BK359">
        <v>4.8</v>
      </c>
      <c r="BL359" s="5">
        <f t="shared" si="179"/>
        <v>7.7341905047619</v>
      </c>
      <c r="BM359">
        <v>8.9</v>
      </c>
      <c r="BN359" s="3">
        <f t="shared" si="180"/>
        <v>0.869010169074371</v>
      </c>
      <c r="BP359" s="9">
        <v>0.238961904761905</v>
      </c>
      <c r="BQ359">
        <v>0.09</v>
      </c>
      <c r="BR359" s="5">
        <f t="shared" si="181"/>
        <v>0.148961904761905</v>
      </c>
      <c r="BS359">
        <v>0.43</v>
      </c>
      <c r="BT359" s="3">
        <f t="shared" si="182"/>
        <v>0.346423034330012</v>
      </c>
      <c r="BV359" s="4">
        <v>6.84546660952381</v>
      </c>
      <c r="BW359">
        <v>6.18</v>
      </c>
      <c r="BX359" s="5">
        <f t="shared" si="183"/>
        <v>0.66546660952381</v>
      </c>
      <c r="BY359">
        <v>1.68</v>
      </c>
      <c r="BZ359" s="3">
        <f t="shared" si="184"/>
        <v>0.396111077097506</v>
      </c>
      <c r="CB359" s="10">
        <v>77.3</v>
      </c>
      <c r="CC359">
        <v>54.3</v>
      </c>
      <c r="CD359" s="12">
        <f t="shared" si="185"/>
        <v>23</v>
      </c>
      <c r="CE359">
        <v>71.3</v>
      </c>
      <c r="CF359" s="3">
        <f t="shared" si="186"/>
        <v>0.32258064516129</v>
      </c>
      <c r="CH359" s="13">
        <v>38.6</v>
      </c>
      <c r="CI359">
        <v>22.6</v>
      </c>
      <c r="CJ359">
        <f t="shared" si="187"/>
        <v>16</v>
      </c>
      <c r="CK359">
        <v>25.1</v>
      </c>
      <c r="CL359">
        <f t="shared" si="188"/>
        <v>0.637450199203187</v>
      </c>
      <c r="CN359" s="10">
        <v>3</v>
      </c>
      <c r="CO359">
        <v>3</v>
      </c>
      <c r="CP359" s="12">
        <f t="shared" si="189"/>
        <v>0</v>
      </c>
      <c r="CQ359">
        <v>3.4</v>
      </c>
      <c r="CR359" s="3">
        <f t="shared" si="190"/>
        <v>0</v>
      </c>
    </row>
    <row r="360" spans="2:96">
      <c r="B360" s="1">
        <v>40437</v>
      </c>
      <c r="C360">
        <v>32416</v>
      </c>
      <c r="D360" s="2">
        <f t="shared" si="191"/>
        <v>8021</v>
      </c>
      <c r="E360">
        <v>31904</v>
      </c>
      <c r="F360" s="3">
        <f t="shared" si="160"/>
        <v>0.251410481444333</v>
      </c>
      <c r="H360" s="1">
        <v>42879</v>
      </c>
      <c r="I360">
        <v>31145</v>
      </c>
      <c r="J360" s="2">
        <f t="shared" si="161"/>
        <v>11734</v>
      </c>
      <c r="K360">
        <v>32760</v>
      </c>
      <c r="L360" s="3">
        <f t="shared" si="162"/>
        <v>0.358180708180708</v>
      </c>
      <c r="N360" s="4">
        <v>251.963185482984</v>
      </c>
      <c r="O360">
        <v>201.27</v>
      </c>
      <c r="P360" s="5">
        <f t="shared" si="163"/>
        <v>50.693185482984</v>
      </c>
      <c r="Q360">
        <v>79.69</v>
      </c>
      <c r="R360" s="3">
        <f t="shared" si="164"/>
        <v>0.636129821595984</v>
      </c>
      <c r="T360" s="4">
        <v>113.997083331743</v>
      </c>
      <c r="U360">
        <v>100.23</v>
      </c>
      <c r="V360" s="5">
        <f t="shared" si="165"/>
        <v>13.767083331743</v>
      </c>
      <c r="W360">
        <v>410.93</v>
      </c>
      <c r="X360" s="3">
        <f t="shared" si="166"/>
        <v>0.0335022590994646</v>
      </c>
      <c r="Z360" s="4">
        <v>44.0203056149575</v>
      </c>
      <c r="AA360">
        <v>13.25</v>
      </c>
      <c r="AB360" s="5">
        <f t="shared" si="167"/>
        <v>30.7703056149575</v>
      </c>
      <c r="AC360">
        <v>33.93</v>
      </c>
      <c r="AD360" s="3">
        <f t="shared" si="168"/>
        <v>0.906876086500368</v>
      </c>
      <c r="AF360" s="4">
        <v>4.18</v>
      </c>
      <c r="AG360">
        <v>2.09</v>
      </c>
      <c r="AH360" s="5">
        <f t="shared" si="169"/>
        <v>2.09</v>
      </c>
      <c r="AI360">
        <v>3.85</v>
      </c>
      <c r="AJ360" s="3">
        <f t="shared" si="170"/>
        <v>0.542857142857143</v>
      </c>
      <c r="AL360" s="4">
        <v>7.51583394677271</v>
      </c>
      <c r="AM360">
        <v>6.1</v>
      </c>
      <c r="AN360" s="5">
        <f t="shared" si="171"/>
        <v>1.41583394677271</v>
      </c>
      <c r="AO360">
        <v>1.89</v>
      </c>
      <c r="AP360" s="3">
        <f t="shared" si="172"/>
        <v>0.749118490355931</v>
      </c>
      <c r="AR360" s="4">
        <v>1.00689710652279</v>
      </c>
      <c r="AS360">
        <v>0.02</v>
      </c>
      <c r="AT360" s="5">
        <f t="shared" si="173"/>
        <v>0.98689710652279</v>
      </c>
      <c r="AU360">
        <v>2.84</v>
      </c>
      <c r="AV360" s="3">
        <f t="shared" si="174"/>
        <v>0.347498981169997</v>
      </c>
      <c r="AX360" s="4">
        <v>12.7679158736842</v>
      </c>
      <c r="AY360">
        <v>3.44</v>
      </c>
      <c r="AZ360" s="5">
        <f t="shared" si="175"/>
        <v>9.3279158736842</v>
      </c>
      <c r="BA360">
        <v>29.17</v>
      </c>
      <c r="BB360" s="3">
        <f t="shared" si="176"/>
        <v>0.319777712502029</v>
      </c>
      <c r="BD360" s="4">
        <v>0.228631578947368</v>
      </c>
      <c r="BE360">
        <v>0.17</v>
      </c>
      <c r="BF360" s="5">
        <f t="shared" si="177"/>
        <v>0.058631578947368</v>
      </c>
      <c r="BG360">
        <v>4</v>
      </c>
      <c r="BH360" s="3">
        <f t="shared" si="178"/>
        <v>0.014657894736842</v>
      </c>
      <c r="BJ360" s="9">
        <v>11.9775790210526</v>
      </c>
      <c r="BK360">
        <v>4.8</v>
      </c>
      <c r="BL360" s="5">
        <f t="shared" si="179"/>
        <v>7.1775790210526</v>
      </c>
      <c r="BM360">
        <v>8.9</v>
      </c>
      <c r="BN360" s="3">
        <f t="shared" si="180"/>
        <v>0.806469552927258</v>
      </c>
      <c r="BP360" s="9">
        <v>0.208305263157895</v>
      </c>
      <c r="BQ360">
        <v>0.09</v>
      </c>
      <c r="BR360" s="5">
        <f t="shared" si="181"/>
        <v>0.118305263157895</v>
      </c>
      <c r="BS360">
        <v>0.43</v>
      </c>
      <c r="BT360" s="3">
        <f t="shared" si="182"/>
        <v>0.275128518971849</v>
      </c>
      <c r="BV360" s="4">
        <v>6.87576841052632</v>
      </c>
      <c r="BW360">
        <v>6.18</v>
      </c>
      <c r="BX360" s="5">
        <f t="shared" si="183"/>
        <v>0.695768410526321</v>
      </c>
      <c r="BY360">
        <v>1.68</v>
      </c>
      <c r="BZ360" s="3">
        <f t="shared" si="184"/>
        <v>0.414147863408524</v>
      </c>
      <c r="CB360" s="10">
        <v>76.3</v>
      </c>
      <c r="CC360">
        <v>54.3</v>
      </c>
      <c r="CD360" s="12">
        <f t="shared" si="185"/>
        <v>22</v>
      </c>
      <c r="CE360">
        <v>71.3</v>
      </c>
      <c r="CF360" s="3">
        <f t="shared" si="186"/>
        <v>0.308555399719495</v>
      </c>
      <c r="CH360" s="13">
        <v>39.3</v>
      </c>
      <c r="CI360">
        <v>22.6</v>
      </c>
      <c r="CJ360">
        <f t="shared" si="187"/>
        <v>16.7</v>
      </c>
      <c r="CK360">
        <v>25.1</v>
      </c>
      <c r="CL360">
        <f t="shared" si="188"/>
        <v>0.665338645418326</v>
      </c>
      <c r="CN360" s="10">
        <v>3.7</v>
      </c>
      <c r="CO360">
        <v>3</v>
      </c>
      <c r="CP360" s="12">
        <f t="shared" si="189"/>
        <v>0.7</v>
      </c>
      <c r="CQ360">
        <v>3.4</v>
      </c>
      <c r="CR360" s="3">
        <f t="shared" si="190"/>
        <v>0.205882352941177</v>
      </c>
    </row>
    <row r="361" spans="2:96">
      <c r="B361" s="1">
        <v>43123</v>
      </c>
      <c r="C361">
        <v>32416</v>
      </c>
      <c r="D361" s="2">
        <f t="shared" si="191"/>
        <v>10707</v>
      </c>
      <c r="E361">
        <v>31904</v>
      </c>
      <c r="F361" s="3">
        <f t="shared" si="160"/>
        <v>0.335600551654965</v>
      </c>
      <c r="H361" s="1">
        <v>39023</v>
      </c>
      <c r="I361">
        <v>31145</v>
      </c>
      <c r="J361" s="2">
        <f t="shared" si="161"/>
        <v>7878</v>
      </c>
      <c r="K361">
        <v>32760</v>
      </c>
      <c r="L361" s="3">
        <f t="shared" si="162"/>
        <v>0.24047619047619</v>
      </c>
      <c r="N361" s="4">
        <v>207.068837446327</v>
      </c>
      <c r="O361">
        <v>201.27</v>
      </c>
      <c r="P361" s="5">
        <f t="shared" si="163"/>
        <v>5.79883744632698</v>
      </c>
      <c r="Q361">
        <v>79.69</v>
      </c>
      <c r="R361" s="3">
        <f t="shared" si="164"/>
        <v>0.0727674419165138</v>
      </c>
      <c r="T361" s="4">
        <v>160.398645962837</v>
      </c>
      <c r="U361">
        <v>100.23</v>
      </c>
      <c r="V361" s="5">
        <f t="shared" si="165"/>
        <v>60.168645962837</v>
      </c>
      <c r="W361">
        <v>410.93</v>
      </c>
      <c r="X361" s="3">
        <f t="shared" si="166"/>
        <v>0.1464206700967</v>
      </c>
      <c r="Z361" s="4">
        <v>35.1276617308893</v>
      </c>
      <c r="AA361">
        <v>13.25</v>
      </c>
      <c r="AB361" s="5">
        <f t="shared" si="167"/>
        <v>21.8776617308893</v>
      </c>
      <c r="AC361">
        <v>33.93</v>
      </c>
      <c r="AD361" s="3">
        <f t="shared" si="168"/>
        <v>0.644788144146457</v>
      </c>
      <c r="AF361" s="4">
        <v>3.63</v>
      </c>
      <c r="AG361">
        <v>2.09</v>
      </c>
      <c r="AH361" s="5">
        <f t="shared" si="169"/>
        <v>1.54</v>
      </c>
      <c r="AI361">
        <v>3.85</v>
      </c>
      <c r="AJ361" s="3">
        <f t="shared" si="170"/>
        <v>0.4</v>
      </c>
      <c r="AL361" s="4">
        <v>7.75986694708794</v>
      </c>
      <c r="AM361">
        <v>6.1</v>
      </c>
      <c r="AN361" s="5">
        <f t="shared" si="171"/>
        <v>1.65986694708794</v>
      </c>
      <c r="AO361">
        <v>1.89</v>
      </c>
      <c r="AP361" s="3">
        <f t="shared" si="172"/>
        <v>0.878236479940709</v>
      </c>
      <c r="AR361" s="4">
        <v>1.26960819277403</v>
      </c>
      <c r="AS361">
        <v>0.02</v>
      </c>
      <c r="AT361" s="5">
        <f t="shared" si="173"/>
        <v>1.24960819277403</v>
      </c>
      <c r="AU361">
        <v>2.84</v>
      </c>
      <c r="AV361" s="3">
        <f t="shared" si="174"/>
        <v>0.440002884779588</v>
      </c>
      <c r="AX361" s="4">
        <v>14.1618286952381</v>
      </c>
      <c r="AY361">
        <v>3.44</v>
      </c>
      <c r="AZ361" s="5">
        <f t="shared" si="175"/>
        <v>10.7218286952381</v>
      </c>
      <c r="BA361">
        <v>29.17</v>
      </c>
      <c r="BB361" s="3">
        <f t="shared" si="176"/>
        <v>0.367563548002677</v>
      </c>
      <c r="BD361" s="4">
        <v>0.191428571428571</v>
      </c>
      <c r="BE361">
        <v>0.17</v>
      </c>
      <c r="BF361" s="5">
        <f t="shared" si="177"/>
        <v>0.021428571428571</v>
      </c>
      <c r="BG361">
        <v>4</v>
      </c>
      <c r="BH361" s="3">
        <f t="shared" si="178"/>
        <v>0.00535714285714275</v>
      </c>
      <c r="BJ361" s="4">
        <v>12.0619046809524</v>
      </c>
      <c r="BK361">
        <v>4.8</v>
      </c>
      <c r="BL361" s="5">
        <f t="shared" si="179"/>
        <v>7.2619046809524</v>
      </c>
      <c r="BM361">
        <v>8.9</v>
      </c>
      <c r="BN361" s="3">
        <f t="shared" si="180"/>
        <v>0.815944346174427</v>
      </c>
      <c r="BP361" s="4">
        <v>0.216104761904762</v>
      </c>
      <c r="BQ361">
        <v>0.09</v>
      </c>
      <c r="BR361" s="5">
        <f t="shared" si="181"/>
        <v>0.126104761904762</v>
      </c>
      <c r="BS361">
        <v>0.43</v>
      </c>
      <c r="BT361" s="3">
        <f t="shared" si="182"/>
        <v>0.293266888150609</v>
      </c>
      <c r="BV361" s="4">
        <v>6.84773332380952</v>
      </c>
      <c r="BW361">
        <v>6.18</v>
      </c>
      <c r="BX361" s="5">
        <f t="shared" si="183"/>
        <v>0.667733323809521</v>
      </c>
      <c r="BY361">
        <v>1.68</v>
      </c>
      <c r="BZ361" s="3">
        <f t="shared" si="184"/>
        <v>0.397460311791381</v>
      </c>
      <c r="CB361" s="10">
        <v>78.2</v>
      </c>
      <c r="CC361">
        <v>54.3</v>
      </c>
      <c r="CD361" s="12">
        <f t="shared" si="185"/>
        <v>23.9</v>
      </c>
      <c r="CE361">
        <v>71.3</v>
      </c>
      <c r="CF361" s="3">
        <f t="shared" si="186"/>
        <v>0.335203366058906</v>
      </c>
      <c r="CH361" s="13">
        <v>42.3</v>
      </c>
      <c r="CI361">
        <v>22.6</v>
      </c>
      <c r="CJ361">
        <f t="shared" si="187"/>
        <v>19.7</v>
      </c>
      <c r="CK361">
        <v>25.1</v>
      </c>
      <c r="CL361">
        <f t="shared" si="188"/>
        <v>0.784860557768924</v>
      </c>
      <c r="CN361" s="10">
        <v>3.9</v>
      </c>
      <c r="CO361">
        <v>3</v>
      </c>
      <c r="CP361" s="12">
        <f t="shared" si="189"/>
        <v>0.9</v>
      </c>
      <c r="CQ361">
        <v>3.4</v>
      </c>
      <c r="CR361" s="3">
        <f t="shared" si="190"/>
        <v>0.264705882352941</v>
      </c>
    </row>
    <row r="362" spans="2:96">
      <c r="B362" s="1">
        <v>41233</v>
      </c>
      <c r="C362">
        <v>32416</v>
      </c>
      <c r="D362" s="2">
        <f t="shared" si="191"/>
        <v>8817</v>
      </c>
      <c r="E362">
        <v>31904</v>
      </c>
      <c r="F362" s="3">
        <f t="shared" si="160"/>
        <v>0.276360330992979</v>
      </c>
      <c r="H362" s="1">
        <v>37562</v>
      </c>
      <c r="I362">
        <v>31145</v>
      </c>
      <c r="J362" s="2">
        <f t="shared" si="161"/>
        <v>6417</v>
      </c>
      <c r="K362">
        <v>32760</v>
      </c>
      <c r="L362" s="3">
        <f t="shared" si="162"/>
        <v>0.195879120879121</v>
      </c>
      <c r="N362" s="4">
        <v>248.837789939928</v>
      </c>
      <c r="O362">
        <v>201.27</v>
      </c>
      <c r="P362" s="5">
        <f t="shared" si="163"/>
        <v>47.567789939928</v>
      </c>
      <c r="Q362">
        <v>79.69</v>
      </c>
      <c r="R362" s="3">
        <f t="shared" si="164"/>
        <v>0.596910402057071</v>
      </c>
      <c r="T362" s="4">
        <v>140.499301676495</v>
      </c>
      <c r="U362">
        <v>100.23</v>
      </c>
      <c r="V362" s="5">
        <f t="shared" si="165"/>
        <v>40.269301676495</v>
      </c>
      <c r="W362">
        <v>410.93</v>
      </c>
      <c r="X362" s="3">
        <f t="shared" si="166"/>
        <v>0.0979955264314969</v>
      </c>
      <c r="Z362" s="4">
        <v>35.2544615486565</v>
      </c>
      <c r="AA362">
        <v>13.25</v>
      </c>
      <c r="AB362" s="5">
        <f t="shared" si="167"/>
        <v>22.0044615486565</v>
      </c>
      <c r="AC362">
        <v>33.93</v>
      </c>
      <c r="AD362" s="3">
        <f t="shared" si="168"/>
        <v>0.648525244581683</v>
      </c>
      <c r="AF362" s="4">
        <v>4.35</v>
      </c>
      <c r="AG362">
        <v>2.09</v>
      </c>
      <c r="AH362" s="5">
        <f t="shared" si="169"/>
        <v>2.26</v>
      </c>
      <c r="AI362">
        <v>3.85</v>
      </c>
      <c r="AJ362" s="3">
        <f t="shared" si="170"/>
        <v>0.587012987012987</v>
      </c>
      <c r="AL362" s="4">
        <v>7.06328656102839</v>
      </c>
      <c r="AM362">
        <v>6.1</v>
      </c>
      <c r="AN362" s="5">
        <f t="shared" si="171"/>
        <v>0.96328656102839</v>
      </c>
      <c r="AO362">
        <v>1.89</v>
      </c>
      <c r="AP362" s="3">
        <f t="shared" si="172"/>
        <v>0.50967542911555</v>
      </c>
      <c r="AR362" s="4">
        <v>0.56239054911063</v>
      </c>
      <c r="AS362">
        <v>0.02</v>
      </c>
      <c r="AT362" s="5">
        <f t="shared" si="173"/>
        <v>0.54239054911063</v>
      </c>
      <c r="AU362">
        <v>2.84</v>
      </c>
      <c r="AV362" s="3">
        <f t="shared" si="174"/>
        <v>0.190982587715011</v>
      </c>
      <c r="AX362" s="4">
        <v>16.2360421210526</v>
      </c>
      <c r="AY362">
        <v>3.44</v>
      </c>
      <c r="AZ362" s="5">
        <f t="shared" si="175"/>
        <v>12.7960421210526</v>
      </c>
      <c r="BA362">
        <v>29.17</v>
      </c>
      <c r="BB362" s="3">
        <f t="shared" si="176"/>
        <v>0.438671310286342</v>
      </c>
      <c r="BD362" s="4">
        <v>0.269052631578947</v>
      </c>
      <c r="BE362">
        <v>0.17</v>
      </c>
      <c r="BF362" s="5">
        <f t="shared" si="177"/>
        <v>0.099052631578947</v>
      </c>
      <c r="BG362">
        <v>4</v>
      </c>
      <c r="BH362" s="3">
        <f t="shared" si="178"/>
        <v>0.0247631578947367</v>
      </c>
      <c r="BJ362" s="4">
        <v>12.7510526526316</v>
      </c>
      <c r="BK362">
        <v>4.8</v>
      </c>
      <c r="BL362" s="5">
        <f t="shared" si="179"/>
        <v>7.9510526526316</v>
      </c>
      <c r="BM362">
        <v>8.9</v>
      </c>
      <c r="BN362" s="3">
        <f t="shared" si="180"/>
        <v>0.893376702542876</v>
      </c>
      <c r="BP362" s="4">
        <v>0.215442105263158</v>
      </c>
      <c r="BQ362">
        <v>0.09</v>
      </c>
      <c r="BR362" s="5">
        <f t="shared" si="181"/>
        <v>0.125442105263158</v>
      </c>
      <c r="BS362">
        <v>0.43</v>
      </c>
      <c r="BT362" s="3">
        <f t="shared" si="182"/>
        <v>0.291725826193391</v>
      </c>
      <c r="BV362" s="4">
        <v>6.85160012105263</v>
      </c>
      <c r="BW362">
        <v>6.18</v>
      </c>
      <c r="BX362" s="5">
        <f t="shared" si="183"/>
        <v>0.67160012105263</v>
      </c>
      <c r="BY362">
        <v>1.68</v>
      </c>
      <c r="BZ362" s="3">
        <f t="shared" si="184"/>
        <v>0.399761976817042</v>
      </c>
      <c r="CB362" s="10">
        <v>79.4</v>
      </c>
      <c r="CC362">
        <v>54.3</v>
      </c>
      <c r="CD362" s="12">
        <f t="shared" si="185"/>
        <v>25.1</v>
      </c>
      <c r="CE362">
        <v>71.3</v>
      </c>
      <c r="CF362" s="3">
        <f t="shared" si="186"/>
        <v>0.35203366058906</v>
      </c>
      <c r="CH362" s="13">
        <v>44.9</v>
      </c>
      <c r="CI362">
        <v>22.6</v>
      </c>
      <c r="CJ362">
        <f t="shared" si="187"/>
        <v>22.3</v>
      </c>
      <c r="CK362">
        <v>25.1</v>
      </c>
      <c r="CL362">
        <f t="shared" si="188"/>
        <v>0.888446215139442</v>
      </c>
      <c r="CN362" s="11">
        <v>3.4</v>
      </c>
      <c r="CO362">
        <v>3</v>
      </c>
      <c r="CP362" s="12">
        <f t="shared" si="189"/>
        <v>0.4</v>
      </c>
      <c r="CQ362">
        <v>3.4</v>
      </c>
      <c r="CR362" s="3">
        <f t="shared" si="190"/>
        <v>0.117647058823529</v>
      </c>
    </row>
    <row r="363" spans="2:96">
      <c r="B363" s="1">
        <v>41051</v>
      </c>
      <c r="C363">
        <v>32416</v>
      </c>
      <c r="D363" s="2">
        <f t="shared" si="191"/>
        <v>8635</v>
      </c>
      <c r="E363">
        <v>31904</v>
      </c>
      <c r="F363" s="3">
        <f t="shared" si="160"/>
        <v>0.270655717151454</v>
      </c>
      <c r="H363" s="1">
        <v>44168</v>
      </c>
      <c r="I363">
        <v>31145</v>
      </c>
      <c r="J363" s="2">
        <f t="shared" si="161"/>
        <v>13023</v>
      </c>
      <c r="K363">
        <v>32760</v>
      </c>
      <c r="L363" s="3">
        <f t="shared" si="162"/>
        <v>0.397527472527473</v>
      </c>
      <c r="N363" s="4">
        <v>257.599377041559</v>
      </c>
      <c r="O363">
        <v>201.27</v>
      </c>
      <c r="P363" s="5">
        <f t="shared" si="163"/>
        <v>56.329377041559</v>
      </c>
      <c r="Q363">
        <v>79.69</v>
      </c>
      <c r="R363" s="3">
        <f t="shared" si="164"/>
        <v>0.706856281108784</v>
      </c>
      <c r="T363" s="4">
        <v>150.747865551037</v>
      </c>
      <c r="U363">
        <v>100.23</v>
      </c>
      <c r="V363" s="5">
        <f t="shared" si="165"/>
        <v>50.517865551037</v>
      </c>
      <c r="W363">
        <v>410.93</v>
      </c>
      <c r="X363" s="3">
        <f t="shared" si="166"/>
        <v>0.122935452634359</v>
      </c>
      <c r="Z363" s="4">
        <v>35.3211318478446</v>
      </c>
      <c r="AA363">
        <v>13.25</v>
      </c>
      <c r="AB363" s="5">
        <f t="shared" si="167"/>
        <v>22.0711318478446</v>
      </c>
      <c r="AC363">
        <v>33.93</v>
      </c>
      <c r="AD363" s="3">
        <f t="shared" si="168"/>
        <v>0.650490181192001</v>
      </c>
      <c r="AF363" s="4">
        <v>4.42</v>
      </c>
      <c r="AG363">
        <v>2.09</v>
      </c>
      <c r="AH363" s="5">
        <f t="shared" si="169"/>
        <v>2.33</v>
      </c>
      <c r="AI363">
        <v>3.85</v>
      </c>
      <c r="AJ363" s="3">
        <f t="shared" si="170"/>
        <v>0.605194805194805</v>
      </c>
      <c r="AL363" s="4">
        <v>7.46277847757069</v>
      </c>
      <c r="AM363">
        <v>6.1</v>
      </c>
      <c r="AN363" s="5">
        <f t="shared" si="171"/>
        <v>1.36277847757069</v>
      </c>
      <c r="AO363">
        <v>1.89</v>
      </c>
      <c r="AP363" s="3">
        <f t="shared" si="172"/>
        <v>0.721046813529466</v>
      </c>
      <c r="AR363" s="4">
        <v>0.757554847734804</v>
      </c>
      <c r="AS363">
        <v>0.02</v>
      </c>
      <c r="AT363" s="5">
        <f t="shared" si="173"/>
        <v>0.737554847734804</v>
      </c>
      <c r="AU363">
        <v>2.84</v>
      </c>
      <c r="AV363" s="3">
        <f t="shared" si="174"/>
        <v>0.259702411174227</v>
      </c>
      <c r="AX363" s="4">
        <v>14.628640025</v>
      </c>
      <c r="AY363">
        <v>3.44</v>
      </c>
      <c r="AZ363" s="5">
        <f t="shared" si="175"/>
        <v>11.188640025</v>
      </c>
      <c r="BA363">
        <v>29.17</v>
      </c>
      <c r="BB363" s="3">
        <f t="shared" si="176"/>
        <v>0.383566678950977</v>
      </c>
      <c r="BD363" s="4">
        <v>0.1883</v>
      </c>
      <c r="BE363">
        <v>0.17</v>
      </c>
      <c r="BF363" s="5">
        <f t="shared" si="177"/>
        <v>0.0183</v>
      </c>
      <c r="BG363">
        <v>4</v>
      </c>
      <c r="BH363" s="3">
        <f t="shared" si="178"/>
        <v>0.004575</v>
      </c>
      <c r="BJ363" s="4">
        <v>11.039699835</v>
      </c>
      <c r="BK363">
        <v>4.8</v>
      </c>
      <c r="BL363" s="5">
        <f t="shared" si="179"/>
        <v>6.239699835</v>
      </c>
      <c r="BM363">
        <v>8.9</v>
      </c>
      <c r="BN363" s="3">
        <f t="shared" si="180"/>
        <v>0.701089869101124</v>
      </c>
      <c r="BP363" s="4">
        <v>0.20083</v>
      </c>
      <c r="BQ363">
        <v>0.09</v>
      </c>
      <c r="BR363" s="5">
        <f t="shared" si="181"/>
        <v>0.11083</v>
      </c>
      <c r="BS363">
        <v>0.43</v>
      </c>
      <c r="BT363" s="3">
        <f t="shared" si="182"/>
        <v>0.257744186046512</v>
      </c>
      <c r="BV363" s="4">
        <v>6.90697002</v>
      </c>
      <c r="BW363">
        <v>6.18</v>
      </c>
      <c r="BX363" s="5">
        <f t="shared" si="183"/>
        <v>0.72697002</v>
      </c>
      <c r="BY363">
        <v>1.68</v>
      </c>
      <c r="BZ363" s="3">
        <f t="shared" si="184"/>
        <v>0.43272025</v>
      </c>
      <c r="CB363" s="10">
        <v>80.1</v>
      </c>
      <c r="CC363">
        <v>54.3</v>
      </c>
      <c r="CD363" s="12">
        <f t="shared" si="185"/>
        <v>25.8</v>
      </c>
      <c r="CE363">
        <v>71.3</v>
      </c>
      <c r="CF363" s="3">
        <f t="shared" si="186"/>
        <v>0.361851332398317</v>
      </c>
      <c r="CH363" s="13">
        <v>43.1</v>
      </c>
      <c r="CI363">
        <v>22.6</v>
      </c>
      <c r="CJ363">
        <f t="shared" si="187"/>
        <v>20.5</v>
      </c>
      <c r="CK363">
        <v>25.1</v>
      </c>
      <c r="CL363">
        <f t="shared" si="188"/>
        <v>0.816733067729084</v>
      </c>
      <c r="CN363" s="10">
        <v>3.8</v>
      </c>
      <c r="CO363">
        <v>3</v>
      </c>
      <c r="CP363" s="12">
        <f t="shared" si="189"/>
        <v>0.8</v>
      </c>
      <c r="CQ363">
        <v>3.4</v>
      </c>
      <c r="CR363" s="3">
        <f t="shared" si="190"/>
        <v>0.235294117647059</v>
      </c>
    </row>
    <row r="364" spans="2:96">
      <c r="B364" s="1">
        <v>43123</v>
      </c>
      <c r="C364">
        <v>32416</v>
      </c>
      <c r="D364" s="2">
        <f t="shared" si="191"/>
        <v>10707</v>
      </c>
      <c r="E364">
        <v>31904</v>
      </c>
      <c r="F364" s="3">
        <f t="shared" si="160"/>
        <v>0.335600551654965</v>
      </c>
      <c r="H364" s="1">
        <v>43259</v>
      </c>
      <c r="I364">
        <v>31145</v>
      </c>
      <c r="J364" s="2">
        <f t="shared" si="161"/>
        <v>12114</v>
      </c>
      <c r="K364">
        <v>32760</v>
      </c>
      <c r="L364" s="3">
        <f t="shared" si="162"/>
        <v>0.36978021978022</v>
      </c>
      <c r="N364" s="4">
        <v>207.080089503725</v>
      </c>
      <c r="O364">
        <v>201.27</v>
      </c>
      <c r="P364" s="5">
        <f t="shared" si="163"/>
        <v>5.81008950372498</v>
      </c>
      <c r="Q364">
        <v>79.69</v>
      </c>
      <c r="R364" s="3">
        <f t="shared" si="164"/>
        <v>0.0729086397756931</v>
      </c>
      <c r="T364" s="4">
        <v>173.729414233848</v>
      </c>
      <c r="U364">
        <v>100.23</v>
      </c>
      <c r="V364" s="5">
        <f t="shared" si="165"/>
        <v>73.499414233848</v>
      </c>
      <c r="W364">
        <v>410.93</v>
      </c>
      <c r="X364" s="3">
        <f t="shared" si="166"/>
        <v>0.178861154536899</v>
      </c>
      <c r="Z364" s="4">
        <v>31.5633921741549</v>
      </c>
      <c r="AA364">
        <v>13.25</v>
      </c>
      <c r="AB364" s="5">
        <f t="shared" si="167"/>
        <v>18.3133921741549</v>
      </c>
      <c r="AC364">
        <v>33.93</v>
      </c>
      <c r="AD364" s="3">
        <f t="shared" si="168"/>
        <v>0.539740411852487</v>
      </c>
      <c r="AF364" s="4">
        <v>3.74</v>
      </c>
      <c r="AG364">
        <v>2.09</v>
      </c>
      <c r="AH364" s="5">
        <f t="shared" si="169"/>
        <v>1.65</v>
      </c>
      <c r="AI364">
        <v>3.85</v>
      </c>
      <c r="AJ364" s="3">
        <f t="shared" si="170"/>
        <v>0.428571428571429</v>
      </c>
      <c r="AL364" s="4">
        <v>7.5313523996362</v>
      </c>
      <c r="AM364">
        <v>6.1</v>
      </c>
      <c r="AN364" s="5">
        <f t="shared" si="171"/>
        <v>1.4313523996362</v>
      </c>
      <c r="AO364">
        <v>1.89</v>
      </c>
      <c r="AP364" s="3">
        <f t="shared" si="172"/>
        <v>0.757329311976826</v>
      </c>
      <c r="AR364" s="4">
        <v>0.919124785883555</v>
      </c>
      <c r="AS364">
        <v>0.02</v>
      </c>
      <c r="AT364" s="5">
        <f t="shared" si="173"/>
        <v>0.899124785883555</v>
      </c>
      <c r="AU364">
        <v>2.84</v>
      </c>
      <c r="AV364" s="3">
        <f t="shared" si="174"/>
        <v>0.31659323446604</v>
      </c>
      <c r="AX364" s="4">
        <v>17.0431238285714</v>
      </c>
      <c r="AY364">
        <v>3.44</v>
      </c>
      <c r="AZ364" s="5">
        <f t="shared" si="175"/>
        <v>13.6031238285714</v>
      </c>
      <c r="BA364">
        <v>29.17</v>
      </c>
      <c r="BB364" s="3">
        <f t="shared" si="176"/>
        <v>0.46633952103433</v>
      </c>
      <c r="BD364" s="4">
        <v>0.188952380952381</v>
      </c>
      <c r="BE364">
        <v>0.17</v>
      </c>
      <c r="BF364" s="5">
        <f t="shared" si="177"/>
        <v>0.018952380952381</v>
      </c>
      <c r="BG364">
        <v>4</v>
      </c>
      <c r="BH364" s="3">
        <f t="shared" si="178"/>
        <v>0.00473809523809525</v>
      </c>
      <c r="BJ364" s="4">
        <v>12.8093333095238</v>
      </c>
      <c r="BK364">
        <v>4.8</v>
      </c>
      <c r="BL364" s="5">
        <f t="shared" si="179"/>
        <v>8.0093333095238</v>
      </c>
      <c r="BM364">
        <v>8.9</v>
      </c>
      <c r="BN364" s="3">
        <f t="shared" si="180"/>
        <v>0.89992509095773</v>
      </c>
      <c r="BP364" s="4">
        <v>0.234895238095238</v>
      </c>
      <c r="BQ364">
        <v>0.09</v>
      </c>
      <c r="BR364" s="5">
        <f t="shared" si="181"/>
        <v>0.144895238095238</v>
      </c>
      <c r="BS364">
        <v>0.43</v>
      </c>
      <c r="BT364" s="3">
        <f t="shared" si="182"/>
        <v>0.336965669988926</v>
      </c>
      <c r="BV364" s="4">
        <v>6.95020001428571</v>
      </c>
      <c r="BW364">
        <v>6.18</v>
      </c>
      <c r="BX364" s="5">
        <f t="shared" si="183"/>
        <v>0.77020001428571</v>
      </c>
      <c r="BY364">
        <v>1.68</v>
      </c>
      <c r="BZ364" s="3">
        <f t="shared" si="184"/>
        <v>0.45845238945578</v>
      </c>
      <c r="CB364" s="10">
        <v>79.2</v>
      </c>
      <c r="CC364">
        <v>54.3</v>
      </c>
      <c r="CD364" s="12">
        <f t="shared" si="185"/>
        <v>24.9</v>
      </c>
      <c r="CE364">
        <v>71.3</v>
      </c>
      <c r="CF364" s="3">
        <f t="shared" si="186"/>
        <v>0.349228611500701</v>
      </c>
      <c r="CH364" s="13">
        <v>42.5</v>
      </c>
      <c r="CI364">
        <v>22.6</v>
      </c>
      <c r="CJ364">
        <f t="shared" si="187"/>
        <v>19.9</v>
      </c>
      <c r="CK364">
        <v>25.1</v>
      </c>
      <c r="CL364">
        <f t="shared" si="188"/>
        <v>0.792828685258964</v>
      </c>
      <c r="CN364" s="10">
        <v>3.6</v>
      </c>
      <c r="CO364">
        <v>3</v>
      </c>
      <c r="CP364" s="12">
        <f t="shared" si="189"/>
        <v>0.6</v>
      </c>
      <c r="CQ364">
        <v>3.4</v>
      </c>
      <c r="CR364" s="3">
        <f t="shared" si="190"/>
        <v>0.176470588235294</v>
      </c>
    </row>
    <row r="365" spans="2:96">
      <c r="B365" s="1">
        <v>43300</v>
      </c>
      <c r="C365">
        <v>32416</v>
      </c>
      <c r="D365" s="2">
        <f t="shared" si="191"/>
        <v>10884</v>
      </c>
      <c r="E365">
        <v>31904</v>
      </c>
      <c r="F365" s="3">
        <f t="shared" si="160"/>
        <v>0.341148445336008</v>
      </c>
      <c r="H365" s="1">
        <v>45342</v>
      </c>
      <c r="I365">
        <v>31145</v>
      </c>
      <c r="J365" s="2">
        <f t="shared" si="161"/>
        <v>14197</v>
      </c>
      <c r="K365">
        <v>32760</v>
      </c>
      <c r="L365" s="3">
        <f t="shared" si="162"/>
        <v>0.433363858363858</v>
      </c>
      <c r="N365" s="4">
        <v>247.27843264345</v>
      </c>
      <c r="O365">
        <v>201.27</v>
      </c>
      <c r="P365" s="5">
        <f t="shared" si="163"/>
        <v>46.00843264345</v>
      </c>
      <c r="Q365">
        <v>79.69</v>
      </c>
      <c r="R365" s="3">
        <f t="shared" si="164"/>
        <v>0.57734261065943</v>
      </c>
      <c r="T365" s="4">
        <v>160.854605223211</v>
      </c>
      <c r="U365">
        <v>100.23</v>
      </c>
      <c r="V365" s="5">
        <f t="shared" si="165"/>
        <v>60.624605223211</v>
      </c>
      <c r="W365">
        <v>410.93</v>
      </c>
      <c r="X365" s="3">
        <f t="shared" si="166"/>
        <v>0.147530249003993</v>
      </c>
      <c r="Z365" s="4">
        <v>31.3580884093175</v>
      </c>
      <c r="AA365">
        <v>13.25</v>
      </c>
      <c r="AB365" s="5">
        <f t="shared" si="167"/>
        <v>18.1080884093175</v>
      </c>
      <c r="AC365">
        <v>33.93</v>
      </c>
      <c r="AD365" s="3">
        <f t="shared" si="168"/>
        <v>0.533689608291114</v>
      </c>
      <c r="AF365" s="4">
        <v>4.22</v>
      </c>
      <c r="AG365">
        <v>2.09</v>
      </c>
      <c r="AH365" s="5">
        <f t="shared" si="169"/>
        <v>2.13</v>
      </c>
      <c r="AI365">
        <v>3.85</v>
      </c>
      <c r="AJ365" s="3">
        <f t="shared" si="170"/>
        <v>0.553246753246753</v>
      </c>
      <c r="AL365" s="4">
        <v>7.43947848068506</v>
      </c>
      <c r="AM365">
        <v>6.1</v>
      </c>
      <c r="AN365" s="5">
        <f t="shared" si="171"/>
        <v>1.33947848068506</v>
      </c>
      <c r="AO365">
        <v>1.89</v>
      </c>
      <c r="AP365" s="3">
        <f t="shared" si="172"/>
        <v>0.708718772849238</v>
      </c>
      <c r="AR365" s="4">
        <v>1.68379521042095</v>
      </c>
      <c r="AS365">
        <v>0.02</v>
      </c>
      <c r="AT365" s="5">
        <f t="shared" si="173"/>
        <v>1.66379521042095</v>
      </c>
      <c r="AU365">
        <v>2.84</v>
      </c>
      <c r="AV365" s="3">
        <f t="shared" si="174"/>
        <v>0.585843383951039</v>
      </c>
      <c r="AX365" s="4">
        <v>18.933200165</v>
      </c>
      <c r="AY365">
        <v>3.44</v>
      </c>
      <c r="AZ365" s="5">
        <f t="shared" si="175"/>
        <v>15.493200165</v>
      </c>
      <c r="BA365">
        <v>29.17</v>
      </c>
      <c r="BB365" s="3">
        <f t="shared" si="176"/>
        <v>0.531134733116215</v>
      </c>
      <c r="BD365" s="4">
        <v>1.69960002</v>
      </c>
      <c r="BE365">
        <v>0.17</v>
      </c>
      <c r="BF365" s="5">
        <f t="shared" si="177"/>
        <v>1.52960002</v>
      </c>
      <c r="BG365">
        <v>4</v>
      </c>
      <c r="BH365" s="3">
        <f t="shared" si="178"/>
        <v>0.382400005</v>
      </c>
      <c r="BJ365" s="4">
        <v>13.50300003</v>
      </c>
      <c r="BK365">
        <v>4.8</v>
      </c>
      <c r="BL365" s="5">
        <f t="shared" si="179"/>
        <v>8.70300003</v>
      </c>
      <c r="BM365">
        <v>8.9</v>
      </c>
      <c r="BN365" s="3">
        <f t="shared" si="180"/>
        <v>0.977865171910113</v>
      </c>
      <c r="BP365" s="4">
        <v>0.27761</v>
      </c>
      <c r="BQ365">
        <v>0.09</v>
      </c>
      <c r="BR365" s="5">
        <f t="shared" si="181"/>
        <v>0.18761</v>
      </c>
      <c r="BS365">
        <v>0.43</v>
      </c>
      <c r="BT365" s="3">
        <f t="shared" si="182"/>
        <v>0.436302325581395</v>
      </c>
      <c r="BV365" s="4">
        <v>6.97507999</v>
      </c>
      <c r="BW365">
        <v>6.18</v>
      </c>
      <c r="BX365" s="5">
        <f t="shared" si="183"/>
        <v>0.795079990000001</v>
      </c>
      <c r="BY365">
        <v>1.68</v>
      </c>
      <c r="BZ365" s="3">
        <f t="shared" si="184"/>
        <v>0.473261898809524</v>
      </c>
      <c r="CB365" s="1">
        <v>79.3</v>
      </c>
      <c r="CC365">
        <v>54.3</v>
      </c>
      <c r="CD365" s="12">
        <f t="shared" si="185"/>
        <v>25</v>
      </c>
      <c r="CE365">
        <v>71.3</v>
      </c>
      <c r="CF365" s="3">
        <f t="shared" si="186"/>
        <v>0.350631136044881</v>
      </c>
      <c r="CH365" s="13">
        <v>40.2</v>
      </c>
      <c r="CI365">
        <v>22.6</v>
      </c>
      <c r="CJ365">
        <f t="shared" si="187"/>
        <v>17.6</v>
      </c>
      <c r="CK365">
        <v>25.1</v>
      </c>
      <c r="CL365">
        <f t="shared" si="188"/>
        <v>0.701195219123506</v>
      </c>
      <c r="CN365" s="13">
        <v>3.3</v>
      </c>
      <c r="CO365">
        <v>3</v>
      </c>
      <c r="CP365" s="12">
        <f t="shared" si="189"/>
        <v>0.3</v>
      </c>
      <c r="CQ365">
        <v>3.4</v>
      </c>
      <c r="CR365" s="3">
        <f t="shared" si="190"/>
        <v>0.088235294117647</v>
      </c>
    </row>
    <row r="366" spans="2:96">
      <c r="B366" s="1">
        <v>42026</v>
      </c>
      <c r="C366">
        <v>32416</v>
      </c>
      <c r="D366" s="2">
        <f t="shared" si="191"/>
        <v>9610</v>
      </c>
      <c r="E366">
        <v>31904</v>
      </c>
      <c r="F366" s="3">
        <f t="shared" si="160"/>
        <v>0.301216148445336</v>
      </c>
      <c r="H366" s="1">
        <v>43122</v>
      </c>
      <c r="I366">
        <v>31145</v>
      </c>
      <c r="J366" s="2">
        <f t="shared" si="161"/>
        <v>11977</v>
      </c>
      <c r="K366">
        <v>32760</v>
      </c>
      <c r="L366" s="3">
        <f t="shared" si="162"/>
        <v>0.365598290598291</v>
      </c>
      <c r="N366" s="4">
        <v>208.89558932055</v>
      </c>
      <c r="O366">
        <v>201.27</v>
      </c>
      <c r="P366" s="5">
        <f t="shared" si="163"/>
        <v>7.62558932054998</v>
      </c>
      <c r="Q366">
        <v>79.69</v>
      </c>
      <c r="R366" s="3">
        <f t="shared" si="164"/>
        <v>0.0956906678447732</v>
      </c>
      <c r="T366" s="4">
        <v>159.121979723842</v>
      </c>
      <c r="U366">
        <v>100.23</v>
      </c>
      <c r="V366" s="5">
        <f t="shared" si="165"/>
        <v>58.891979723842</v>
      </c>
      <c r="W366">
        <v>410.93</v>
      </c>
      <c r="X366" s="3">
        <f t="shared" si="166"/>
        <v>0.14331389707211</v>
      </c>
      <c r="Z366" s="4">
        <v>30.3063191272544</v>
      </c>
      <c r="AA366">
        <v>13.25</v>
      </c>
      <c r="AB366" s="5">
        <f t="shared" si="167"/>
        <v>17.0563191272544</v>
      </c>
      <c r="AC366">
        <v>33.93</v>
      </c>
      <c r="AD366" s="3">
        <f t="shared" si="168"/>
        <v>0.502691397797065</v>
      </c>
      <c r="AF366" s="4">
        <v>5.22</v>
      </c>
      <c r="AG366">
        <v>2.09</v>
      </c>
      <c r="AH366" s="5">
        <f t="shared" si="169"/>
        <v>3.13</v>
      </c>
      <c r="AI366">
        <v>3.85</v>
      </c>
      <c r="AJ366" s="3">
        <f t="shared" si="170"/>
        <v>0.812987012987013</v>
      </c>
      <c r="AL366" s="4">
        <v>7.00485776675987</v>
      </c>
      <c r="AM366">
        <v>6.1</v>
      </c>
      <c r="AN366" s="5">
        <f t="shared" si="171"/>
        <v>0.904857766759871</v>
      </c>
      <c r="AO366">
        <v>1.89</v>
      </c>
      <c r="AP366" s="3">
        <f t="shared" si="172"/>
        <v>0.478760723153371</v>
      </c>
      <c r="AR366" s="4">
        <v>1.32068584543709</v>
      </c>
      <c r="AS366">
        <v>0.02</v>
      </c>
      <c r="AT366" s="5">
        <f t="shared" si="173"/>
        <v>1.30068584543709</v>
      </c>
      <c r="AU366">
        <v>2.84</v>
      </c>
      <c r="AV366" s="3">
        <f t="shared" si="174"/>
        <v>0.457987973745454</v>
      </c>
      <c r="AX366" s="4">
        <v>18.16880015</v>
      </c>
      <c r="AY366">
        <v>3.44</v>
      </c>
      <c r="AZ366" s="5">
        <f t="shared" si="175"/>
        <v>14.72880015</v>
      </c>
      <c r="BA366">
        <v>29.17</v>
      </c>
      <c r="BB366" s="3">
        <f t="shared" si="176"/>
        <v>0.504929727459719</v>
      </c>
      <c r="BD366" s="4">
        <v>3.14091662083333</v>
      </c>
      <c r="BE366">
        <v>0.17</v>
      </c>
      <c r="BF366" s="5">
        <f t="shared" si="177"/>
        <v>2.97091662083333</v>
      </c>
      <c r="BG366">
        <v>4</v>
      </c>
      <c r="BH366" s="3">
        <f t="shared" si="178"/>
        <v>0.742729155208332</v>
      </c>
      <c r="BJ366" s="4">
        <v>12.0464167208333</v>
      </c>
      <c r="BK366">
        <v>4.8</v>
      </c>
      <c r="BL366" s="5">
        <f t="shared" si="179"/>
        <v>7.2464167208333</v>
      </c>
      <c r="BM366">
        <v>8.9</v>
      </c>
      <c r="BN366" s="3">
        <f t="shared" si="180"/>
        <v>0.814204125936326</v>
      </c>
      <c r="BP366" s="4">
        <v>0.293508333333333</v>
      </c>
      <c r="BQ366">
        <v>0.09</v>
      </c>
      <c r="BR366" s="5">
        <f t="shared" si="181"/>
        <v>0.203508333333333</v>
      </c>
      <c r="BS366">
        <v>0.43</v>
      </c>
      <c r="BT366" s="3">
        <f t="shared" si="182"/>
        <v>0.473275193798449</v>
      </c>
      <c r="BV366" s="4">
        <v>6.93163335</v>
      </c>
      <c r="BW366">
        <v>6.18</v>
      </c>
      <c r="BX366" s="5">
        <f t="shared" si="183"/>
        <v>0.751633350000001</v>
      </c>
      <c r="BY366">
        <v>1.68</v>
      </c>
      <c r="BZ366" s="3">
        <f t="shared" si="184"/>
        <v>0.447400803571429</v>
      </c>
      <c r="CB366" s="1">
        <v>80.1</v>
      </c>
      <c r="CC366">
        <v>54.3</v>
      </c>
      <c r="CD366" s="12">
        <f t="shared" si="185"/>
        <v>25.8</v>
      </c>
      <c r="CE366">
        <v>71.3</v>
      </c>
      <c r="CF366" s="3">
        <f t="shared" si="186"/>
        <v>0.361851332398317</v>
      </c>
      <c r="CH366" s="13">
        <v>41.8</v>
      </c>
      <c r="CI366">
        <v>22.6</v>
      </c>
      <c r="CJ366">
        <f t="shared" si="187"/>
        <v>19.2</v>
      </c>
      <c r="CK366">
        <v>25.1</v>
      </c>
      <c r="CL366">
        <f t="shared" si="188"/>
        <v>0.764940239043824</v>
      </c>
      <c r="CN366" s="13">
        <v>3.1</v>
      </c>
      <c r="CO366">
        <v>3</v>
      </c>
      <c r="CP366" s="12">
        <f t="shared" si="189"/>
        <v>0.1</v>
      </c>
      <c r="CQ366">
        <v>3.4</v>
      </c>
      <c r="CR366" s="3">
        <f t="shared" si="190"/>
        <v>0.0294117647058824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WPS_1686913044</cp:lastModifiedBy>
  <dcterms:created xsi:type="dcterms:W3CDTF">2024-02-03T12:28:00Z</dcterms:created>
  <dcterms:modified xsi:type="dcterms:W3CDTF">2026-09-15T08:20:55Z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AF73740C97EA4EC9832B65162726A13A_13</vt:lpwstr>
  </property>
  <property fmtid="{D5CDD505-2E9C-101B-9397-08002B2CF9AE}" pid="3" name="KSOProductBuildVer">
    <vt:lpwstr>2052-11.1.0.10009</vt:lpwstr>
  </property>
  <property fmtid="{D5CDD505-2E9C-101B-9397-08002B2CF9AE}" pid="4" name="CalculationRule">
    <vt:i4>0</vt:i4>
  </property>
</Properties>
</file>